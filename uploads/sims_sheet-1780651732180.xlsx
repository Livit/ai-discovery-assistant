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5" sheetId="1" r:id="rId5"/>
    <sheet state="hidden" name="All Simulations from CMS" sheetId="2" r:id="rId6"/>
    <sheet state="hidden" name="Sheet6" sheetId="3" r:id="rId7"/>
    <sheet state="hidden" name="Sheet4" sheetId="4" r:id="rId8"/>
    <sheet state="visible" name="Labster Simulations" sheetId="5" r:id="rId9"/>
  </sheets>
  <definedNames>
    <definedName hidden="1" localSheetId="4" name="_xlnm._FilterDatabase">'Labster Simulations'!$A$4:$R$315</definedName>
  </definedNames>
  <calcPr/>
</workbook>
</file>

<file path=xl/sharedStrings.xml><?xml version="1.0" encoding="utf-8"?>
<sst xmlns="http://schemas.openxmlformats.org/spreadsheetml/2006/main" count="24769" uniqueCount="3247">
  <si>
    <t>GS</t>
  </si>
  <si>
    <t>Simulation Name</t>
  </si>
  <si>
    <t>3 letter code</t>
  </si>
  <si>
    <t>Simulation Format</t>
  </si>
  <si>
    <t>Launch URL</t>
  </si>
  <si>
    <t>Related Simulations</t>
  </si>
  <si>
    <t>Launch</t>
  </si>
  <si>
    <t>VR Daydream Compatible</t>
  </si>
  <si>
    <t>Pico  VR Compatible</t>
  </si>
  <si>
    <t>Completion Time (min)</t>
  </si>
  <si>
    <t>Languages</t>
  </si>
  <si>
    <t>Availability</t>
  </si>
  <si>
    <t>Section</t>
  </si>
  <si>
    <t>Subsection</t>
  </si>
  <si>
    <t>NPS</t>
  </si>
  <si>
    <t>Popular</t>
  </si>
  <si>
    <t>Level</t>
  </si>
  <si>
    <t>Next Generation Science Standard (NGSS)</t>
  </si>
  <si>
    <t>International Baccalaureate (IB) Curriculum</t>
  </si>
  <si>
    <t>Advanced Placement Curriculum</t>
  </si>
  <si>
    <t>Schoology Compatible</t>
  </si>
  <si>
    <t>Quiz Editor Compatible</t>
  </si>
  <si>
    <t>Project/TM collaborator</t>
  </si>
  <si>
    <t>Accessible (Y/N)</t>
  </si>
  <si>
    <t>Simulation Type</t>
  </si>
  <si>
    <t>Techniques</t>
  </si>
  <si>
    <t>Learning Objectives</t>
  </si>
  <si>
    <t>Short description (Get Started Now)</t>
  </si>
  <si>
    <t>Marketing Description</t>
  </si>
  <si>
    <t>Sales helper notes</t>
  </si>
  <si>
    <t>All Simulations</t>
  </si>
  <si>
    <t>General Biology (101 and 102)</t>
  </si>
  <si>
    <t>Introduction to Biology (100)</t>
  </si>
  <si>
    <t>General Chemistry (101 and 102)</t>
  </si>
  <si>
    <t>Intro Chemistry (100)</t>
  </si>
  <si>
    <t>General, Organic, and Biological Chemistry I</t>
  </si>
  <si>
    <t>Microbiology</t>
  </si>
  <si>
    <t>Genetics</t>
  </si>
  <si>
    <t>Biochemistry</t>
  </si>
  <si>
    <t>Cellular and Molecular Biology</t>
  </si>
  <si>
    <t>Ecology</t>
  </si>
  <si>
    <t>Anatomy &amp; Physiology</t>
  </si>
  <si>
    <t>General Physics</t>
  </si>
  <si>
    <t>Biotechnology</t>
  </si>
  <si>
    <t>Organic Chemistry</t>
  </si>
  <si>
    <t>Biology 300</t>
  </si>
  <si>
    <t>Environmental Sciences</t>
  </si>
  <si>
    <t>Animal Physiology</t>
  </si>
  <si>
    <t>Engineering</t>
  </si>
  <si>
    <t>Evolution and Diversity</t>
  </si>
  <si>
    <t>Food Science &amp; Nutrition</t>
  </si>
  <si>
    <t>Biomedical Sciences</t>
  </si>
  <si>
    <t>Earth Sciences</t>
  </si>
  <si>
    <t>High School Package - All</t>
  </si>
  <si>
    <t>High School Biology</t>
  </si>
  <si>
    <t>High School Chemistry</t>
  </si>
  <si>
    <t>High School Physics</t>
  </si>
  <si>
    <t>High School Earth and Space Science</t>
  </si>
  <si>
    <t>Lab Safety</t>
  </si>
  <si>
    <t>Professional Training</t>
  </si>
  <si>
    <t>Biosciences for Nursing</t>
  </si>
  <si>
    <t>Is Accessible</t>
  </si>
  <si>
    <t>Is Adapted</t>
  </si>
  <si>
    <t>Higher Education level</t>
  </si>
  <si>
    <t>International Baccalaureate (IB)</t>
  </si>
  <si>
    <t>Advanced Placement (AP)</t>
  </si>
  <si>
    <t>College / University</t>
  </si>
  <si>
    <t>a0K7R000011IKPHUA4</t>
  </si>
  <si>
    <t>Cellular Respiration: Glycolysis</t>
  </si>
  <si>
    <t>CR1</t>
  </si>
  <si>
    <t>Adapted Simulation</t>
  </si>
  <si>
    <t>English (United States)</t>
  </si>
  <si>
    <t>Available</t>
  </si>
  <si>
    <t>Biology</t>
  </si>
  <si>
    <t>General Biology</t>
  </si>
  <si>
    <t>High School; University / College</t>
  </si>
  <si>
    <t>HS-LS1-7</t>
  </si>
  <si>
    <t>Y</t>
  </si>
  <si>
    <t>Concept-based</t>
  </si>
  <si>
    <t>Measure and analyze blood glucose levels</t>
  </si>
  <si>
    <t>Contextualize glucose and ATP in the glycolytic pathway
Analyze blood glucose levels of athletes before and after exercise</t>
  </si>
  <si>
    <t xml:space="preserve">Help the basketball players understand how the food they eat gets converted to energy by investigating glycolysis, the first stage of cellular respiration. 
</t>
  </si>
  <si>
    <t xml:space="preserve">This short, targeted simulation is adapted from the full-length “Cellular Respiration” simulation.
What does it mean to work up an appetite? In this simulation, you will learn all about the first stage of aerobic respiration, glycolysis. You have been employed by the council to help a basketball team understand the science behind cellular respiration, so they can improve their training and durability! You will learn about how we metabolize glucose through aerobic respiration via the use of cutting-edge, futuristic technology.
Measure Blood Glucose Levels
After meeting the basketball players at the court, you will take their blood samples back to the lab. Using the blood samples you will investigate how different foods and exercise intensity can impact blood glucose levels. You will personally be involved in the experiment by virtually supplying your own blood sample to compare with the athletes’! You will learn how to measure blood glucose levels within a laboratory setting and apply this knowledge to answer engaging quiz questions throughout.
Evaluate the stages of Glycolysis
The experimental portion of this simulation is supported with strong theoretical explanations of the central steps of glycolysis, using 3D molecules and interactive feedback. You will use the futuristic holotable to inspect the molecules from each stage of glycolysis and explore the reactions that take place.
Help athletes perform during exercise
After learning all about the first stage of aerobic respiration and carrying out your investigation you are able to pass on your knowledge to the basketball players, giving them advice on how they can keep energized during their game and improve how they train in the future!
</t>
  </si>
  <si>
    <t>All sims</t>
  </si>
  <si>
    <t>Core</t>
  </si>
  <si>
    <t>Related</t>
  </si>
  <si>
    <t>Yes</t>
  </si>
  <si>
    <t>Biology 8.2 Cell respiration</t>
  </si>
  <si>
    <t>Biology 3.6 Cellular Respiration</t>
  </si>
  <si>
    <t>a0K2X00000tlEfLUAU</t>
  </si>
  <si>
    <t>Basic Electricity: Understand how electricity works</t>
  </si>
  <si>
    <t>ELE</t>
  </si>
  <si>
    <t>Original Simulation</t>
  </si>
  <si>
    <t>https://api2.labster.com/simulation/a0K2X00000tlEfLUAU/play</t>
  </si>
  <si>
    <t>English (United States)
Spanish
French
German
Italian</t>
  </si>
  <si>
    <t>Electricity
Physics</t>
  </si>
  <si>
    <t>HS-PS3-5</t>
  </si>
  <si>
    <t>Circuit Building</t>
  </si>
  <si>
    <t>Define the concepts of charge, voltage, current, and their units
Describe the flow of current and electrons in a circuit
Define the essential components of a basic electric circuit
Build a functional basic electric circuit
Apply the principles of charge and energy conservation to a basic circuit</t>
  </si>
  <si>
    <t xml:space="preserve">Help the scientists get electricity back in their lab by understanding how electricity works.
</t>
  </si>
  <si>
    <t xml:space="preserve">Electricity? We are surrounded by it! In this simulation, you will learn the very basics of electricity. What is the difference between charge, current, and voltage? How do we know what light bulb or battery do we need to use? You will find it all in this simulation, plus, you will be able to see the effects of different components in your circuit!
Get the lights back on in the lab
By understanding how electricity works, you will be able to create a circuit to restore the power supply to the lab and allow the scientists to keep working! Sometimes turning on the lights is not as easy as just pressing a switch. Help the scientists by providing a temporary solution while the lights are repaired.
Build the circuit
You will be able to build a circuit, and see how different voltages and currents will have different outcomes. What difference would it make to use a 20 volts battery or a 6 volts battery? Will a light bulb be able to work with both of them? You will discover it in this simulation.
Visualize the electricity and control it
You will be able to slow things down and see how electricity behaves, build your circuit and see the effects of adding different components. Will you be capable of bringing the lights back to the lab?
</t>
  </si>
  <si>
    <t>Physics 5.1
Physics 5.3
5.1 – Electric fields</t>
  </si>
  <si>
    <t>Physics 1 Unit 8.3
Physics 1 Unit 8.1
Physics 1 Unit 9.1
Physics 1 Unit 8.2</t>
  </si>
  <si>
    <t>a0K7R000011IMp1UAG</t>
  </si>
  <si>
    <t>States of Matter</t>
  </si>
  <si>
    <t>DI2</t>
  </si>
  <si>
    <t>https://api2.labster.com/simulation/a0K7R000011IMpBUAW/play</t>
  </si>
  <si>
    <t>Matter and Phase Changes: Distil ethanol
Exploring a Distillation Apparatus
Heating Curves and Phase Changes: Distil Ethanol
Separating Mixtures: Using distillation to concentrate ethanol</t>
  </si>
  <si>
    <t>Chemistry</t>
  </si>
  <si>
    <t>General Chemistry</t>
  </si>
  <si>
    <t>High School</t>
  </si>
  <si>
    <t>HS-PS1-3
HS-PS1-4
HS-PS1-6</t>
  </si>
  <si>
    <t>University of Copenhagen</t>
  </si>
  <si>
    <t>Phase changes: Boiling, melting, evaporation, freezing and sublimation</t>
  </si>
  <si>
    <t>Explain solid, liquid, and gas states in terms of particle interaction and bonding energy
Describe and explain the characteristics of a phase change
Name the main phase changes: boiling, evaporation, freezing, melting, and sublimation</t>
  </si>
  <si>
    <t xml:space="preserve">Dive into water at the molecular level to learn about the behavior of the molecules in the three different states of matter: solid, liquid and gas. Learn about the bonding interactions between the molecules during different phase transitions.
</t>
  </si>
  <si>
    <t xml:space="preserve">This short, targeted simulation is adapted from the full-length “Matter and Phase Changes: Distil ethanol” simulation.
Get ready to encounter all three states of matter.  In this simulation, you will manipulate the states of matter and inspect the numerous possible phase changes of a single substance. Will you be able to see that almost everything you interact with matters?
Identify the states of matter
In this simulation, you will get the chance to explore Dr.One’s favorite movie scene using our high tech hologram! You will use it to explore physical representations of the three states of matter using water as our example. Can you guess what movie scene would be the perfect example to use?
Explore the intermolecular forces in matter
In the States of Matter simulation, you must first master the definition of matter and the interaction of the molecules at each phase. Only then will you be able to apply it to the process of phase changes. You will dive into water at the molecular level and examine the dynamics of intermolecular forces of the molecules during the phase changes. With the help of 3D animations, you will learn about the molecular configuration in three states of matter: solid, liquid, and gas. 
Review your knowledge
With the help of the 3D animations, test your knowledge on the different phase transitions. Draw upon the knowledge that you had learnt previously about the behavior of a substance in each state of matter at the molecular level. Answer the quiz questions with the help of our insightful theory pages to better your learning on the whole topic. 
</t>
  </si>
  <si>
    <t>Chemistry 4.4 Intermolecular forces</t>
  </si>
  <si>
    <t>Chemistry 2.2 Intermolecular Force and Potential Energy
Chemistry 3.1. Intermolecular Forces
Chemistry 3.2 Properties of Solids
Chemistry 3.3 Solids, Liquids, and Gases
Chemistry 4.4 Physical and Chemical Changes
Chemistry 6.5 Energy of Phase Changes</t>
  </si>
  <si>
    <t>a0K2X00000uuagUUAQ</t>
  </si>
  <si>
    <t>Electrical Resistance: Apply Ohm's law to simple circuits</t>
  </si>
  <si>
    <t>RES</t>
  </si>
  <si>
    <t>https://api2.labster.com/simulation/a0K2X00000uuagUUAQ/play</t>
  </si>
  <si>
    <t>English (United States)
German
Spanish
Italian
French</t>
  </si>
  <si>
    <t>HS-PS3-5, HS-ETS1-2</t>
  </si>
  <si>
    <t>Define the concepts of resistivity and resistance
Explain how resitance is affected by length, width, type of material, and temperature
Apply Ohm’s law to simple circuits
Determine the effect of combining resistances in series and parallel
Apply the principles of charge and energy conservation to more advanced circuits</t>
  </si>
  <si>
    <t xml:space="preserve">Build your own resistor to repair a broken radio.
</t>
  </si>
  <si>
    <t xml:space="preserve">Join the resistance! In this simulation, you will learn how resistors affect electric current and how modifying the size of a resistor can modify its resistance. You will also get the chance to build your own circuit to repair a broken radio and contact your scientist colleagues.
Repair your radio to contact scientists in Antarctica
Your radio transmitter broke down and you will need to repair it in order to contact your fellow colleagues in Antarctica. To do this, you will need to learn how resistors work and how their resistance is modified by different parameters or by how they are wired.
Build your own circuit
You will get the chance to carry out your own experiments to see how the resistance changes when you change the length or width of a resistor. From what you’ve learned, you will have to replace the broken circuit in the radio and decide on how to create your own! Practice wiring your circuits with Labster’s new circuit tables, where you can visualize the many different resistors you can use.
Combine resistors and make the radio work
You will be able to test many different circuits and see how they work. Additionally, you will see how voltage, resistance and current are linked by using Ohm’s Law. With this knowledge and the battery you have available, you will have to decide which resistors you would need to use. Will you be able to get back into contact with your fellow scientists in Antarctica?
</t>
  </si>
  <si>
    <t xml:space="preserve">For resistors that obey Ohm's law, voltage and current are directly proportional. Connecting resistors in different ways in a circuit allows us to obtain different total resistances.  In this simulation, the student will learn how to set up series, parallel, and series-parallel circuits to get different total resistances of the circuit with ohmic resistors. They will be able to predict and calculate the current, voltage, and resistance of any given circuit element or branch, and they will be introduced to elementary lab techniques such as setting up simple circuits and using multimeters. (internal notes
)
Setting up a series circuit (10:38 in screencast) (Learn-by-doing, Experiment, Lab Technique)
Setting up a series circuit (10:38 in screencast) (Learn-by-doing, Experiment, Lab Technique)
Setting up a parallel circuit (16:48 in screencast) (Learn-by-doing, Experiment, Lab Technique)
Setting up a parallel circuit (16:48 in screencast) (Learn-by-doing, Experiment, Lab Technique)
Setting up a series-parallel circuit (19:38 in screencast) (Learn-by-doing, Experiment, Lab Technique)
Setting up a series-parallel circuit (19:38 in screencast) (Learn-by-doing, Experiment, Lab Technique)
</t>
  </si>
  <si>
    <t>Core (Showcase)</t>
  </si>
  <si>
    <t>Physics 5.3
Physics 5
Physics 5.2</t>
  </si>
  <si>
    <t>9.3 Ohm’s Law, Kirchhoff’s Loop Rule (Resistors in Series and Parallel)
9.1 Definition of a Circuit
9.2 Resistivity</t>
  </si>
  <si>
    <t>a0K2X000010rH33UAE</t>
  </si>
  <si>
    <t>Fermentation: Optimize bio-ethanol production</t>
  </si>
  <si>
    <t>FEM</t>
  </si>
  <si>
    <t>English (United States)
German
Spanish
French</t>
  </si>
  <si>
    <t>Professional; High School; University / College</t>
  </si>
  <si>
    <t>No direct alignment</t>
  </si>
  <si>
    <t>Technique-based</t>
  </si>
  <si>
    <t>Aseptic Technique
Bioreactor or fermentor</t>
  </si>
  <si>
    <t>Simulate yeast batch fermentation
Outline the principles of fermentation and its applications
Summarize the principal components of a fermentor and their function
Experiment with the effect of temperature, pH, gas, and agitation on fermentation
Analyze growth curves qualitatively to identify optimal growth parameters</t>
  </si>
  <si>
    <t xml:space="preserve">Learn how to optimize alcohol production in a fermentor. Will you be able to create the ideal conditions for the yeast Saccharomyces cerevisiae to produce bioethanol?
</t>
  </si>
  <si>
    <t xml:space="preserve">This simulation has been adapted from the original, longer “Fermentation” simulation.
You will experiment with the growth conditions of the yeast Saccharomyces cerevisiae in order to produce as much bio-ethanol as quickly as possible. The production of ethanol through fermentation by the yeast is widely used to produce alcoholic drinks such as beer and wine. It can also be harnessed to sustainably produce bio-ethanol that could be used as fuel.
Setting up your experiment
Your mission will be to optimize bio-ethanol production on a pilot scale. After setting up the bench-top fermentor or bioreactor, you will add a yeast inoculum and run a fermentation experiment. Dr. One will guide you through the first experiment, including how to work aseptically and the first set of culture conditions. Once you are familiar with the equipment you can experiment freely with the fermentor.
Pilot scale fermentation
Because you are working in the virtual lab, you will be able to gather data very quickly. This allows you to test many different growth parameters and see the effects of different combinations of temperature, gas composition, level of stirring, and pH in a matter of minutes.
Qualitative data analysis
Once you have performed a number of fermentation experiments, you will compare the results. Dr. One will guide you through qualitative analysis of key parameters of the fermentation process. Can you decide together which culture conditions should be used tor optimal bio-ethanol production on an industrial scale.
RELATED SIMULATIONS
Fermentation
Aseptic Technique
</t>
  </si>
  <si>
    <t>B.1 Microbiology: organisms in industry</t>
  </si>
  <si>
    <t>Support for laboratory skills at all levels</t>
  </si>
  <si>
    <t>a0K7R000011IKHDUA4</t>
  </si>
  <si>
    <t>Perform a Dry Western Blot</t>
  </si>
  <si>
    <t>ST1</t>
  </si>
  <si>
    <t>English (United States)
Spanish
French
Italian
German</t>
  </si>
  <si>
    <t>University / College</t>
  </si>
  <si>
    <t>Western blotting
Inhibitor treatment
Histology
Cell culture</t>
  </si>
  <si>
    <t>Explain how a Western Blot is performed
Explain how to interpret Western Blot results
Explain receptor tyrosine kinase (RTK) cell signaling
Analyze dysregulated signal transduction in human cancer cells
Understand the connection between angiogenesis and tumor growth
Investigate the involvement of vascular endothelial growth factor receptor (VEGFR) signaling in human breast cancer</t>
  </si>
  <si>
    <t xml:space="preserve">Perform a western blot experiment to ultimately provide data and knowledge to identify a promising treatment for breast cancer. Investigate the connection between blood vessel growth and cancer development, by understanding signal transduction.
</t>
  </si>
  <si>
    <t xml:space="preserve">This short, targeted simulation is adapted from the full-length “Signal Transduction” simulation.
What is the western blot and what can it be used for? In this simulation, you will learn how tumor cells send signals to surrounding cells to help promote tumor growth, and how this signal is transmitted inside the cell. You will mainly apply the method of Western Blotting and SDS-PAGE to the case study of finding an effective treatment for breast cancer.
Analyze patient samples by western blotting
As a researcher in the R&amp;D department of a big pharma company, your mission will be to test the hypothesis that increased blood vessel growth, also called angiogenesis, plays a role in breast cancer development. To investigate this idea, you will perform a western blot experiment to test for the expression of vascular endothelial growth factor receptor (VEGFR) expression in patient samples compared to healthy tissue samples.
Interpret the Western Blot results
Now that you have performed the western blot, you will be given the opportunity to learn how to interpret such results and detect the relevant information from it that you require to apply it to the case of breast treatment. You will be prompted to identify the key findings.
Report your findings
As expected when working as a part of any research group, you will be required to report your findings back to the head of the pharmaceutical research and decipher whether your western blot results validate the hypothesis you decided at the beginning after learning more about the research project.
Are you ready to contribute towards a major breakthrough in cancer treatment?
</t>
  </si>
  <si>
    <t>Supports Biology Unit 4: Cell communication and cell cycle</t>
  </si>
  <si>
    <t>a0K2X00000wlTKKUA2</t>
  </si>
  <si>
    <t>Demo Simulation</t>
  </si>
  <si>
    <t>DEM</t>
  </si>
  <si>
    <t>https://api2.labster.com/simulation/a0K2X00000wlTKKUA2/play</t>
  </si>
  <si>
    <t>German
Spanish
French
Italian
English (United States)</t>
  </si>
  <si>
    <t>Demo</t>
  </si>
  <si>
    <t>Professional; University / College; High School</t>
  </si>
  <si>
    <t>Introduces the Labster experience</t>
  </si>
  <si>
    <t>Gel electrophoresis</t>
  </si>
  <si>
    <t>Navigate through the virtual lab
Watch molecular-level animations
Identify a fundamental biological molecule</t>
  </si>
  <si>
    <t xml:space="preserve">In this demo virtual lab simulation, you will help Dr. One in identifying a fundamental biological molecule. During your mission, you will watch animations and explore lab equipment in the virtual lab.
</t>
  </si>
  <si>
    <t xml:space="preserve">In this demo virtual lab simulation, you will help Dr. One in identifying a fundamental biological molecule. During your mission, you will watch animations and explore lab equipment in the virtual lab.
Navigating through the lab
The virtual lab has lots of advanced equipment for you to explore and experiment with. But before you go and perform ground-breaking science experiments, you will need to learn how to navigate in the lab. In this demo simulation, you will get used to moving your cursor (browser version) or turning your head (VR version) to navigate in the virtual lab.
Dive into molecular animations and see the unseeable
There is a whole new world of things to explore inside our cells, which the naked eye cannot see. In a real lab, it requires much time and effort to capture a moment of molecular interaction inside the cell. But In this demo simulation, you can look into the cell to see life sciences at the molecular level with ease.
Complete your mission and explore the lab further
At the end of this demo, you will share your findings with Dr. One, and then you can continue to explore the virtual lab. Are ready to take a leap into the virtual world?
</t>
  </si>
  <si>
    <t>a0Kw000000YbxfqEAB</t>
  </si>
  <si>
    <t>Light and Polarization: Learn from Einstein the properties of light</t>
  </si>
  <si>
    <t>LGH</t>
  </si>
  <si>
    <t>https://api2.labster.com/simulation/a0Kw000000YbxfqEAB/play</t>
  </si>
  <si>
    <t>English (United States)
German
Spanish
French
Italian</t>
  </si>
  <si>
    <t>Waves
Physics</t>
  </si>
  <si>
    <t>Polarizing filters
Optical table</t>
  </si>
  <si>
    <t>Define the wave/particle duality of light
Use the electromagnetic spectrum to classify waves based on their wavelength and frequency
Apply the law of reflection and refraction to predict how light interacts with interfaces
Show the principles of linear polarization
Use polarizing filters to adjust light intensity</t>
  </si>
  <si>
    <t xml:space="preserve">Learn how to use polarizing filters like real photographers do. Albert Einstein will help you shed light on the fascinating world of electromagnetic waves by playing with lasers, mirrors &amp; polarizing filters.
</t>
  </si>
  <si>
    <t xml:space="preserve">Light is everywhere around us. Not only does it help us see, but it also plays a key role in photography. In the Light and Polarization simulation you will meet Einstein who will introduce you to the the physics of light. Find out what light is, how it propagates, and how you can change its polarization using filters. You will become a light wizard and boost your photography skills by capturing the beauty of wildlife in a hostile environment like Antarctica.
Determine the source of electromagnetic waves
Join Einstein in the Light and Polarization lab and see how everyday objects produce waves of various frequencies and wavelengths that define the electromagnetic spectrum. Some of them are visible, others are not. But don’t worry, even though you cannot see them in real life, there are no restrictions in a virtual simulation!
Reflection and refraction
Learn how light is reflected and refracted when travelling from one medium to another. What happens to light when it hits a lake or ice? Here you will set up your own optical table with a laser, mirrors and glasses and become an expert in reflection and refraction.
Light polarization
From sunglasses to LCD technology, the applications of light polarization in our everyday life are endless! Here you will look at polarizing filters to learn the principles of light polarization, and you will use them to enhance the outcome of photography.
Are you ready to use science to get the best pictures?
</t>
  </si>
  <si>
    <t>a0K7R000011IKGyUAO</t>
  </si>
  <si>
    <t>Counting Cells: Control the epidemic</t>
  </si>
  <si>
    <t>EX1</t>
  </si>
  <si>
    <t>https://api2.labster.com/simulation/a0K7R000016wlcIUAQ/play</t>
  </si>
  <si>
    <t>Apoptosis assay
Cell staining
Microscope
Pipetting
Cell cultures</t>
  </si>
  <si>
    <t>Design an experiment and test a hypothesis
Find abnormalities in cells
Prepare samples and treat cell cultures
Select the correct experimental controls to verify your hypothesis
Understand the difference between experimental controls</t>
  </si>
  <si>
    <t xml:space="preserve">Work as a pharmaceutical detective to identify the link between a new drug and a recent epidemic. Use the scientific method to define the different variables and perform a fluorescent cell assay to test the effect of the drug on the cells.
</t>
  </si>
  <si>
    <t xml:space="preserve">This short, targeted simulation is adapted from the full-length “Experimental Design” simulation.
Are you ready to uncover the truth about a recent epidemic? In this simulation, as a pharmaceutical detective, you have the chance to perform experiments with human cell cultures. Make sure that you choose the correct experimental method to design a scientifically sound experiment for testing the effect of the suspicious drug.
The scientific method
Humans have always strived to explain natural phenomena. In the first mission of the experimental design simulation, you will learn how to use the scientific method to investigate phenomena, acquire new knowledge through background research. Strive to correct and integrate existing knowledge to execute an experiment that proves or disproves the hypothesis. Every tool you need to use is available in this virtual lab.
View cells under a microscope
In your next mission you have the freedom to examine slides containing cells of a healthy human and another containing the cells of a human consuming the drug under a microscope. Through this, you will be able to define your scientific question and formulate plans for the experiment and how you can provide conclusive evidence for this investigation. Don’t be afraid to make mistakes - in this virtual simulation you can repeat the experiment as many times as you want.
Experimental controls
You will notice that there are many experimental variables in your experiment. Learn how to adjust them and understand why it’s so important to use experimental controls to verify your results. These controls will let you conclude  whether a suspicious compound is the reason behind the reported epidemic. You’ll get to investigate the effect of different compounds and various concentrations of the same compound.
Will you be able to set up an experiment that can prove your suspicions?
</t>
  </si>
  <si>
    <t>Generic cell culture support</t>
  </si>
  <si>
    <t>a0Kw000000Iko9dEAB</t>
  </si>
  <si>
    <t>Evolution: Are you related to a sea monster?</t>
  </si>
  <si>
    <t>EVO</t>
  </si>
  <si>
    <t>https://api2.labster.com/simulation/a0Kw000000Iko9dEAB/play</t>
  </si>
  <si>
    <t>Danish
English (United States)
German
Spanish
French
Italian</t>
  </si>
  <si>
    <t>Evolution and Biodiversity</t>
  </si>
  <si>
    <t>HS-LS4-1
HS-LS4-2
HS-LS4-3
HS-LS4-4
HS-LS4-5
HS-LS3-3</t>
  </si>
  <si>
    <t>Eurostars2018</t>
  </si>
  <si>
    <t>Taxonomy
Phylogeny</t>
  </si>
  <si>
    <t>Understand how populations evolve by adapting to their environment
Understand the basic mechanisms of evolution
Understand evolution as the foundation of biology and show evidence for it
Use DNA sequencing and phylogenetic trees to identify an unknown creature
Deal with common misconceptions about the theory of evolution</t>
  </si>
  <si>
    <t xml:space="preserve">Learn the basic mechanisms of evolution in order to simulate how a population evolved over hundreds of years, and learn how random mutations are the basis of natural selection.
</t>
  </si>
  <si>
    <t xml:space="preserve">In the Evolution lab, your first task will be to identify an unknown sea creature that was washed ashore in Cambodia in 2013. By sequencing its DNA, you can compare it with other organisms in the sequencing database and construct a phylogenetic tree to depict its relatedness to other organisms. What is this creature? Can you identify it?
You will learn how mutations and natural selection result in adaptation. You will identify a mutation in an allele and observe how it’s passed on to subsequent generations, and can increase the genetic diversity of the population. You will also learn the basics of population genetics and the Hardy-Weinberg equilibrium.
</t>
  </si>
  <si>
    <t>Biology Unit 5: Evolution and biodiversity</t>
  </si>
  <si>
    <t>Biology Unit 7: Natural Selection
Biology Big Idea 1: Evolution</t>
  </si>
  <si>
    <t>a0K7R000010rMd9UAE</t>
  </si>
  <si>
    <t>Fluorescence Microscopy</t>
  </si>
  <si>
    <t>FLM</t>
  </si>
  <si>
    <t>https://api2.labster.com/simulation/a0Kw000000OwuRtEAJ/play</t>
  </si>
  <si>
    <t>HS-PS1-3</t>
  </si>
  <si>
    <t>TM-Florida</t>
  </si>
  <si>
    <t>Understand the basic principles and practical aspects of fluorescence microscopy
Explain the function of different parts of the fluorescence microscope
Optimize fluorophore choice
Describe the application and limitations of fluorescence microscopy in biology
Understand the need for staining</t>
  </si>
  <si>
    <t xml:space="preserve">Enter the virtual microscope room to see inside a tissue sample. Learn how a fluorescence microscope can create a high contrast image and answer biological questions.
</t>
  </si>
  <si>
    <t xml:space="preserve">This simulation, along with “Light Microscopy,” has been adapted from the original, larger “Microscopy” simulation.
Assemble the fluorescence microscope and discover how the key components help to create a high contrast image. In this simulation, you will learn how to use a fluorescence microscope to analyze an intestine tissue sample. You will discover what fluorescence is and what the applications and limitations of fluorescence microscopy in biology are. The sample has been prepared for you, your mission is to determine whether the cells in the intestine are infected with a virus.
Assemble the microscope
First, you will assemble the fluorescence microscope and discover the function of the key components. Learn how, together, the parts of the microscope can magnify the image up to 1000 times with high contrast. You will also discover how molecules called fluorophores emit fluorescent light after being brought to a higher energy state and how you can label structures of interest in your sample with these fluorophores.
Analyze the sample
The sample contains three fluorophores, each labeling a different biomolecule. Using the fluorescence microscope, you can study the localization of the virus in the tissue. Can you find out whether the cells of the intestine have been infected by the virus? Finally, you and Dr. One will compare microscopy techniques. Is the fluorescence microscope the one microscope to rule them all?
RELATED SIMULATIONS
Light Microscopy
Microscopy
</t>
  </si>
  <si>
    <t>10.1 Fundamentals of organic chemistry
10.2 Functional group chemistry
20.1 Types of organic reactions</t>
  </si>
  <si>
    <t>Unit 2: Ionic Compounds Structure and Properties</t>
  </si>
  <si>
    <t>a0K7R000016wkXwUAI</t>
  </si>
  <si>
    <t>Introduction to Immunology: Organs and cells of the immune system</t>
  </si>
  <si>
    <t>IG2</t>
  </si>
  <si>
    <t>https://api2.labster.com/simulation/a0K7R000016wkXwUAI/play</t>
  </si>
  <si>
    <t>Introduction to Immunology: Explore the immune system and save the world!
Immunology: Immunoassay for detecting SARS-CoV-2 antibodies</t>
  </si>
  <si>
    <t>LS1.A-H1
LS1.A-H3</t>
  </si>
  <si>
    <t>Identify the major organs of the immune system
Classify immune cell types by their role in responses
Explain the importance of lymphocyte clonal selection &amp; deletion processes</t>
  </si>
  <si>
    <t xml:space="preserve">The immune system is a complex structure of cells, tissues and organs that work together to protect our bodies from infection. Dive into the complex structures and functions of those organs and cells that protect us from various pathogens every day!
</t>
  </si>
  <si>
    <t xml:space="preserve">This short, targeted simulation is adapted from the full-length Introduction to Immunology simulation. 
Have you ever wondered how your organism manages to fight millions of pathogens that are trying to infect you daily? Which organs and cells are involved in that never ending battle? During this simulation, you’ll discover this complicated network of organs and cells that create an immunological system and protect you every day. Are you ready to meet your superheroes?
Explore the major organs of the immune system
Various organs in your body are responsible for production, maturation, and control of immune cells. Even though they are not present at the site of infection, without them the immune cells wouldn’t work properly and efficiently. Sometimes non obvious organs, like the heart, can be vital for proper function of the system. Will you be able to identify all those organs and guess their function in the immunological reaction?
Classify immune cell types and their role in the system
The immune system is a complex army of cells and tissues that work together to protect your body from infection. In the next mission you’ll meet all major cells that are fighting with pathogens and protect you every day. You’ll also meet the key cells involved in immune memory and learn how the adaptive immune system helps us fight recurring infections. 
</t>
  </si>
  <si>
    <t>Early Stage Bachelors Level
EHEA Short Cycle
EHEA First Cycle
FHEQ 4
FHEQ 5
SCQF 7
SCQF 8
US College Year 2
US College Year 1
US College Year 3</t>
  </si>
  <si>
    <t>a0K7R000011IKOxUAO</t>
  </si>
  <si>
    <t>Biuret’s Test for Proteins</t>
  </si>
  <si>
    <t>IF3</t>
  </si>
  <si>
    <t>English (United States)
Spanish
French
German</t>
  </si>
  <si>
    <t>Biuret’s Test</t>
  </si>
  <si>
    <t>Identify the primary, secondary, tertiary and quaternary structures of protein, and describe how they are related to each other.
Test for the presence of proteins in food samples.</t>
  </si>
  <si>
    <t xml:space="preserve">Have you ever wondered what protein is? Discover the structure of protein and how you can test for the presence of protein in food samples. 
</t>
  </si>
  <si>
    <t xml:space="preserve">This short, targeted simulation is adapted from the full-length “Introduction to Food Macromolecules” simulation.
Discover the protein in your food! In this simulation, you will be introduced to the chemical structures of protein and the importance of protein within our diets. Begin by learning the basics of amino acids and investigating the primary, secondary, tertiary and quaternary protein structures. Then learn how to test for the presence of proteins in food samples using the Biuret's test.
Jump into your food samples
Begin by jumping inside an egg to initiate an animation that explains the chemical building blocks that make up protein. Learn how the genetic information encoded in DNA can be translated into amino acids. Discover how these amino acids can form peptide bonds between each other to make a long polypeptide chain: the primary protein structure. Watch as the intramolecular forces between the polypeptide rearrange the chain to form the secondary and tertiary structures of the protein. Finally, return to the lab to perform an experiment which will test for the presence of protein.
Use Biuret's test
You will assay food samples using Biuret’s test for protein. A range of food samples have been prepared and their respective solution placed in a test tube. Perform the experiment for each food sample and observe the color change over time. Identify the positive and negative result for the test. Use what you have learnt to determine which food samples contain protein. Does your friend's salad contain protein?
Review your knowledge
Put your knowledge of proteins to the test in quizzes throughout the simulation. Do you know the name of a secondary protein structure?
</t>
  </si>
  <si>
    <t>Biology D.1 Human Nutrition
Biology 2.1 Molecules to metabolism</t>
  </si>
  <si>
    <t>Biology Unit 1.3
Biology Unit 1.5
Biology Unit 1.4
Biology Unit 1</t>
  </si>
  <si>
    <t>a0K2X00000tlEcRUAU</t>
  </si>
  <si>
    <t>Conservation of Energy: maximize the mechanical energy of a rollercoaster</t>
  </si>
  <si>
    <t>NRG</t>
  </si>
  <si>
    <t>https://api2.labster.com/simulation/a0K2X00000tlEcRUAU/play</t>
  </si>
  <si>
    <t>Physics
Classical Mechanics</t>
  </si>
  <si>
    <t>HS-PS3-1, HS-PS3-3, HS-PS3-4, HS-ETS1-2</t>
  </si>
  <si>
    <t>Manipulate formulae for potential, kinetic and mechanical energy</t>
  </si>
  <si>
    <t>Define the mechanical energy of an isolated system
Separate conservative from nonconservative forces
Define the mechanical energy of a body
Explain the conservation of mechanical energy
Apply conservation of energy to describe the movement of a body
Use the equations for kinetic and potential energy, related to velocity and displacement
Identify sources of energy and energy transformation</t>
  </si>
  <si>
    <t xml:space="preserve">Apply the concept of conservation of energy to make the Labster roller coaster ride faster and more exciting. Calculate potential, kinetic and mechanical energy using the formula board to determine how to best improve the roller coaster track.
</t>
  </si>
  <si>
    <t xml:space="preserve">What does it take to make a roller coaster go 100 km/h? In this simulation, you will learn how manipulating the mass, height, and velocity of a roller coaster affect its overall potential energy and kinetic energy. You will apply the concept of conservation of energy to calculate the mechanical energy of the roller coaster at different positions.
Design a new roller coaster
First, familiarize yourself with the components of the equations for potential and kinetic energy. Next, experiment using different masses of vehicles at different starting positions to discover the effect of mass and height on potential energy, velocity and kinetic energy. Finally, understand how energy transformation can be applied to the calculation of mechanical energy and use this information to design the fastest, most exciting roller coaster.
Calculate potential, kinetic and mechanical energy
Students will become comfortable with the components of the formulae for potential and kinetic energy and how these components are related to joules. By measuring energy in joules and converting from one type to another, students will discover how energy remains constant in an isolated system. Students will have the freedom to experiment with different masses of vehicles at each height to determine which combination fits their initial potential energy desire. Pulling the lever releases the rollercoaster and tracks the velocity, which can then be used to calculate the kinetic and mechanical energy.
Make the ride go 100 km/h
Choose the best vehicle and starting position then change the track by adding loops, dips and even an electric motor. Can you reach 100 km/h?
</t>
  </si>
  <si>
    <t>2.3 Work, energy and power</t>
  </si>
  <si>
    <t>4.1 Open and Closed Systems: Energy
4.2 Work and Mechanical Energy
4.3 Conservation of Energy, the Work-Energy Principle, and Power</t>
  </si>
  <si>
    <t>a0Kw000000TpSlDEAV</t>
  </si>
  <si>
    <t>Regeneration Biology</t>
  </si>
  <si>
    <t>RBL</t>
  </si>
  <si>
    <t>https://api2.labster.com/simulation/a0Kw000000TpSlDEAV/play</t>
  </si>
  <si>
    <t>Introduction to Immunology: Organs and cells of the immune system
Introduction to Immunology: Explore the immune system and save the world!</t>
  </si>
  <si>
    <t>Developmental Biology</t>
  </si>
  <si>
    <t>Microscopy
Fluorescent proteins
Dissection</t>
  </si>
  <si>
    <t>Understand that the ability to regenerate tissues varies throughout vertebrates
Describe what a blastema is and the cell types that compose this structure
Understand the concept of positional information in regenerative biology</t>
  </si>
  <si>
    <t xml:space="preserve">Check out how some vertebrates are able to regrow entire limbs and explore the cellular mechanisms behind tissue regeneration in cute axolotls using microscopy and fluorescent proteins.
</t>
  </si>
  <si>
    <t xml:space="preserve">Regeneration sounds like a superpower, but some reptiles and amphibians are perfectly able to regrow entire parts of their bodies. In the Regeneration Biology simulation, you get to dissect axolotls and observe the cells responsible for the restoration of missing limbs under the microscope.
Grasp the cellular mechanisms behind tissue regeneration
You will join Dr. Prometheus in his research to learn why some wounds can regenerate and others cannot, and how it translates into different treatments in a medical ward. You will experiment with axolotls in the Regeneration Biology lab to discover the critical steps required for regeneration to occur and learn about the cellular particularities of the blastema.
Tissue analysis and fluorescent constructs
In the Regeneration Biology lab, you will be able to virtually dissect axolotls and observe the regeneration process in a few minutes instead of weeks. In that way, you can experiment with different conditions, for example suturing a wound, and immediately see how it affects the tissues – all without harming any real animals. Using a microscope, you will also analyze the tissue samples from a regenerating stump to identify the involved cell types. Finally, you will use fluorescent proteins to explore the concept of positional information and its importance in regenerative biology through the creation of mutant axolotls.
Apply the data from axolotls to humans
You will apply your newly acquired knowledge of regeneration biology to understand the current treatments for open wounds and the possibilities for the future of medicine.
Will you be able to figure out why humans cannot regenerate as well as some other vertebrates?
</t>
  </si>
  <si>
    <t>Biology 1.1 Introduction to cells</t>
  </si>
  <si>
    <t>Early Stage Bachelors Level
EHEA First Cycle
FHEQ 6
Intermediate Stage Bachelors Level
Late Stage Bachelors Level
US College Year 1
US College Year 2
US College Year 3
US College Year 4</t>
  </si>
  <si>
    <t>a0Kw000000W9uH2EAJ</t>
  </si>
  <si>
    <t>Homogenization: Developing better-tasting milk</t>
  </si>
  <si>
    <t>HOM</t>
  </si>
  <si>
    <t>https://api2.labster.com/simulation/a0Kw000000W9uH2EAJ/play</t>
  </si>
  <si>
    <t>Nutrition</t>
  </si>
  <si>
    <t>Professional; University / College</t>
  </si>
  <si>
    <t>TM-Cambridge Assessment</t>
  </si>
  <si>
    <t>Homogenization</t>
  </si>
  <si>
    <t>Identify the different types of mixtures present in food
Understand the role of emulsifiers
Explain the molecular structure of milk
Describe the steps of homogenization and how a homogenizer works</t>
  </si>
  <si>
    <t xml:space="preserve">Help Adam the farmer grow his milk business by exploring the basic concepts of homogenization, a standard procedure in milk processing.
</t>
  </si>
  <si>
    <t xml:space="preserve">Dairy products are very common in your daily life, but do you know how they are made? In the Homogenization simulation, help Adam the farmer to improve his milk business and learn about the different processes needed to manufacture dairy products - from raw milk to the supermarket.
Introduction to mixtures
Did you know that milk is a mixture of water, fat globules, and protein micelles? Before you start the process of homogenization, you will be introduced to different kinds of mixtures that you can find in foods, such as colloids and emulsions. In this simulation, you will take a microscopic look at a drop of milk and discover its structure. By doing so, you will observe what makes processed commercial milk different from raw milk.
The milk homogenization process
Once you understand the basics of mixtures, colloids, and emulsions, you are ready to perform homogenization. In this simulation, you will use a portable homogenizer based on a 2-step homogenization. You will take samples to analyze under the microscope, and compare the differences between particle sizes of raw milk and milk that is homogenized at different steps of the process. To better understand the mechanics of the homogenizer, immerse yourself in 3D animations showcasing the main pistons and valves that make the machine work.
At the end of the simulation, you will meet Adam again and tell him all about your newly-acquired knowledge of milk homogenization.  Will you be able to help him understand the concept of homogenization to improve his business and provide tasty milk to more people?
</t>
  </si>
  <si>
    <t>Biology D.1 Human nutrition</t>
  </si>
  <si>
    <t>a0K7R000010rqZ6UAI</t>
  </si>
  <si>
    <t>Spectrophotometry: Learn the Beer-Lambert law with absorbance experiments</t>
  </si>
  <si>
    <t>ENL</t>
  </si>
  <si>
    <t>https://api2.labster.com/simulation/a0Kw000000cjHoLEAU/play</t>
  </si>
  <si>
    <t>Enzyme Kinetics</t>
  </si>
  <si>
    <t>English (United States)
Spanish
German
French
Italian</t>
  </si>
  <si>
    <t>Support for spectrophotometer introductions</t>
  </si>
  <si>
    <t>TM-DTU</t>
  </si>
  <si>
    <t>Spectrophotometry</t>
  </si>
  <si>
    <t>Summarize how a spectrophotometer is used to measure absorbance data
Link the major components of a spectrophotometer to their functions within the instrument
Choose a useful wavelength for measuring a compound of interest using absorbance spectrum data
Suggest a protocol for measuring the absorbance of a given substance using a spectrophotometer
Apply the Beer-Lambert equation to absorbance data to determine substance concentration</t>
  </si>
  <si>
    <t xml:space="preserve">Build your own spectrophotometer to measure the absorbance of a reaction product on Mars! 
</t>
  </si>
  <si>
    <t xml:space="preserve">Build your spectrophotometer 
Go under the hood of the spectrophotometer to understand how its components fit together. Can you figure out which pieces do what, and how they all work together in the finished instrument?
Learn by exploring! Try out different configurations and see how they impact the lightpath used to measure a sample. The virtual lab lets you try out your ideas without worrying about expensive mistakes. The complexity of the spectrophotometer’s components and function increases over four levels of interaction, guiding you from photometric first principles to data interpretation for protocol optimization.
Operate a spectrophotometer and collect your own data
Once you’ve successfully built your instrument, it’s time to try it out! To get started, you’ll need to interpret a little data and program the detection settings to the most optimal wavelength for your experiments. Once you’re ready, set the baseline and you’re off.
Try out different concentrations of reactant and catalyst to explore how the absorbance measured by the instrument is related to reaction rate. The simulation uses a simulated reaction kinetics model and will show your data plotted in real-time.
Build confidence in applying Beer-Lambert Law to your data
Throughout the simulation, the different conceptual elements of Beer-Lambert law are contextualized as the spectrophotometer’s function is explored. By linking abstract concepts like extinction coefficients to the physical attributes represented by each, the links between theory and practice become clear. Will you be able to rise to the final challenge, identify the important parameters, and convert your absorbance data for interpretation?
</t>
  </si>
  <si>
    <t>Generic support for spectrophotometer introductions</t>
  </si>
  <si>
    <t>a0K2X00000zhFiEUAU</t>
  </si>
  <si>
    <t>Muscle tissues: An overview</t>
  </si>
  <si>
    <t>MUT</t>
  </si>
  <si>
    <t>https://api2.labster.com/simulation/a0K2X00000zhFiEUAU/play</t>
  </si>
  <si>
    <t>Pipetting: Master the technique</t>
  </si>
  <si>
    <t>Physiology
Anatomy &amp; Physiology</t>
  </si>
  <si>
    <t>Alignment pending</t>
  </si>
  <si>
    <t>A&amp;P</t>
  </si>
  <si>
    <t>Pipetting</t>
  </si>
  <si>
    <t>Broadly describe the major roles of muscle tissue
Critically demonstrate how muscle contraction and relaxation is linked to thermoregulation, digestion, circulation and motor function
Compare different types of muscle contraction
Compare the contributions of different muscle types to body control and function
Differentiate smooth, cardiac and skeletal muscle based on their microstructure and relate to organ functions
Describe and identify the general organisation and structural components of a skeletal muscle
Define the sliding filament theory of skeletal muscle contraction</t>
  </si>
  <si>
    <t xml:space="preserve">Explore the distribution and function of the three different muscle tissues found in the human body. Examine them down to the cellular level and dive further into their molecular structures to reveal the fascinating mechanisms behind muscle contractions.
</t>
  </si>
  <si>
    <t xml:space="preserve">Did you know that you have more than 600 muscles in your body? Some of these muscles help to express your emotions through gesticulation and facial expressions, while the heart beats more than 3.3 billion times over 80 years! In this simulation, you will take a closer look at the three distinct muscle tissues we find in the human body and what purpose they serve.
Investigate the function of muscle tissues
Your first task is to learn about the different types of muscle tissues found in the human body. Interact with the anatomical 3D holograms to explore the distribution and main functions of skeletal, smooth, and cardiac muscle tissues. Using the control panel to navigate the different models, you will have to collect information about the tissues to solve different scenarios related to the muscular system.
Take a look inside the muscle cells
Continue your investigation by examining the muscle tissues at the cellular level to see how the individual muscle cells of each muscle tissue compare and contrast from one another. Pick up the cellular 3D models and examine the nuclei, myofibrils, mitochondria and more to understand how the intracellular components enable each muscle cell to perform the functions characteristic for that muscle tissue.
Observe how a muscle cell contracts
Follow the pathway that allows a nerve signal initiated in the brain to induce an actual muscle contraction in a skeletal muscle. Dive into the molecular level and see how the myofibrils are arranged in repeating units of sarcomeres. Compare a 3D model of a sarcomere to its electron micrograph and observe the changes that take place during contraction and relaxation. Finally, immerse yourself in the process of the sliding filament theory by interacting with the contractile proteins of a sarcomere.
Will you be able to figure out the molecular mechanisms that underlie muscle contraction?
</t>
  </si>
  <si>
    <t>Early Stage Bachelors Level
EHEA First Cycle
EHEA Short Cycle
FHEQ 4
FHEQ 5
FHEQ 6
Support for laboratory skills at all levels
US College Year 2
US College Year 1</t>
  </si>
  <si>
    <t>a0K7R000011IKOsUAO</t>
  </si>
  <si>
    <t>Benedict’s Test for Simple Carbohydrates</t>
  </si>
  <si>
    <t>IF1</t>
  </si>
  <si>
    <t>Benedict’s Test</t>
  </si>
  <si>
    <t>Recognise the structure of a simple carbohydrate.
Test for the presence of simple carbohydrates in food samples.
Identify similarities and differences between simple carbohydrates</t>
  </si>
  <si>
    <t xml:space="preserve">Have you ever wondered what a simple sugar is? Discover the structure of simple carbohydrates and how you can test for the presence of simple sugars in food samples. 
</t>
  </si>
  <si>
    <t xml:space="preserve">This short, targeted simulation is adapted from the full-length “Introduction to Food Macromolecules” simulation.
Discover the simple carbohydrates in your food! In this simulation, you will be introduced to the chemical structures of simple carbohydrates and the importance of simple carbohydrates within our diets. Begin by examining their structure and then learn how to test for the presence of simple sugars in food samples using Benedict's test.
Jump into the food sample
Begin by jumping inside a bottle of syrup to initiate an animation that explains the chemical building blocks that make up simple sugars. Identify the difference between aldose and ketose sugars. Learn about the linear and ring forms of monosaccharides, such as glucose and fructose, and find out how the linear form can change into ring form and vice versa. Discover how a glycosidic bond can form between two monosaccharides to make a disaccharide, such as lactose and sucrose. Finally, return to the lab to perform an experiment which will test for the presence of these simple sugars.
Use Benedict's test
You will assay food samples using Benedict’s test for simple carbohydrates. A range of food samples have been prepared and their respective solution placed in a test tube. Perform the test for each food sample and observe the color change over time. Identify the positive and negative result for the test. Then use what you have learnt to determine which food samples contain simple carbohydrates. Does your friend's salad contain simple carbohydrates?
Review your knowledge
Put your knowledge of simple carbohydrates to the test in quizzes throughout the simulation. Can you spot the differences and similarities between a variety of simple carbohydrates?
</t>
  </si>
  <si>
    <t>a0Kw000000Iko9jEAB</t>
  </si>
  <si>
    <t>Introductory Lab</t>
  </si>
  <si>
    <t>INT</t>
  </si>
  <si>
    <t>https://api2.labster.com/simulation/a0Kw000000Iko9jEAB/play</t>
  </si>
  <si>
    <t>English (United States)
Danish
Italian
German
French
Spanish</t>
  </si>
  <si>
    <t>Generic support for fume hood use, lab safety and good scientific practice</t>
  </si>
  <si>
    <t>Blood Typing
pH determination
Light microscopy</t>
  </si>
  <si>
    <t>Understand the basics of safety in the laboratory
Calculate pH of strong acids, weak acids, strong bases and weak bases
Understand how acid dissociates in water
Understand the principle of diffusion and osmosis
Understand the different blood type groups and how to perform blood type test</t>
  </si>
  <si>
    <t xml:space="preserve">Learn about lab safety, scientific methods, diffusion and osmosis, acids, bases and how to prepare buffers.
</t>
  </si>
  <si>
    <t xml:space="preserve">In the Introductory lab, you will learn about acids and bases, the concepts of diffusion and osmosis, and blood typing. Try out this lab and become an expert in risk evaluation in the laboratory!
Learn about acids and bases
Your first task is to mix acid/base with water. Watch a 3D animation to see how it dissociates to produce [H3O+] or [OH-]. You will learn how to calculate pH depending on if it is a strong acid/base or a weak acid/base. You will be introduced to the concept of acid dissociation constant (Ka) and base dissociation constant (Kb).
Diffusion and osmosis
Diffusion and osmosis are two fundamental concepts in biotechnology that are also important in daily life. In the Introductory lab, you will learn the difference between diffusion and osmosis. Observe under the microscope how cells adapt to hypotonic or hypertonic environments based on the principle of osmosis. You will learn that environments are dynamic by e.g. seeing that cells that are already swollen can be reverted back to normal by adding hypertonic solution.
Conduct a blood test experiment
In the introductory lab, you will also conduct a blood type test experiment. You will be presented with a patient that is in desperate need of a blood transfusion. To help the patient, you will first learn about the different blood type groups (both ABO and Rh) and the consequences of incompatible blood transfusions, and then you will use a typical blood type test card to determine the blood group. By observing the results, whether the sample clots or not, you will be able to draw a conclusion and determine the blood group.
Will you be able to save the patient with your newly acquired knowledge?
</t>
  </si>
  <si>
    <t>Generic technical support for practical skill development</t>
  </si>
  <si>
    <t>Generic experimental design support</t>
  </si>
  <si>
    <t>a0K7R000011IKPvUAO</t>
  </si>
  <si>
    <t>Photosynthesis: Electron transport chain</t>
  </si>
  <si>
    <t>ET1</t>
  </si>
  <si>
    <t>https://api2.labster.com/simulation/a0Kw000000dgIcVEAU/play</t>
  </si>
  <si>
    <t>TM-Bochum</t>
  </si>
  <si>
    <t>Concept-based simulation</t>
  </si>
  <si>
    <t>Understand the importance and uses of photosynthesis
Understand the photolysis of water and electron transport</t>
  </si>
  <si>
    <t xml:space="preserve">Discover the process of photosynthesis by jumping inside a plant cell. Observe the electron transport chain in action. How is light converted to chemical energy?
</t>
  </si>
  <si>
    <t xml:space="preserve">This short, targeted simulation is adapted from the full-length “Electron Transport Chain” simulation.
How does photosynthesis work? In this simulation, you will observe the inner workings of the electron transport chain inside a plant cell and learn about the process of photosynthesis. Watch electrons flow and molecules move during each step of the electron transport chain. How can a photon of light be converted into chemical energy?
Look inside a chloroplast
To understand how photosynthesis works, you will shrink to a tiny size and go inside the plant cell of a leaf. Travel further inside the cell into the chloroplast, and then look at the thylakoid membrane. The process of photosynthesis takes place here. Observe the different components of the electron transport chain, from the start of the chain at photosystem II, to the end of the chain at ATP synthase. Now it’s time to start the process!
Start the electron transport chain
Start the process by clicking on a photon of light. Watch as the photon goes into photosystem II and excites an electron. The electron will then move to the plastoquinone. Continue through each step in the electron transport chain. You will be able to see electrons and protons moving, water molecules splitting, and the ATP synthase spinning around to pump protons and produce ATP. A final review of the process will help you to remember the key steps before you return to the lab.
Review your knowledge
Now you have watched the animation, you can answer some questions about photosynthesis. Can you remember the key components and steps in the electron transport chain?
</t>
  </si>
  <si>
    <t>Biology 2.9 Photosynthesis</t>
  </si>
  <si>
    <t>Biology 3.5 Photosynthesis</t>
  </si>
  <si>
    <t>Early Stage Bachelors Level
EHEA First Cycle
EHEA Short Cycle
US College Year 1
US College Year 2</t>
  </si>
  <si>
    <t>a0K7R000011IKfjUAG</t>
  </si>
  <si>
    <t>Evolution: Taxonomic tree of life</t>
  </si>
  <si>
    <t>EV1</t>
  </si>
  <si>
    <t>HS-LS4-3</t>
  </si>
  <si>
    <t>Describe and compare the structural and functional organization of the major kingdoms of Life
Explain the evolutionary relationships linking and separating the five kingdoms
Predict the physiological and anatomical features of organisms within a kingdom and group
Explain why viruses are not part of any kingdom</t>
  </si>
  <si>
    <t xml:space="preserve">Build a taxonomic tree that unites all life on Earth by exploring the differences between organisms. 
</t>
  </si>
  <si>
    <t xml:space="preserve">This short, targeted simulation is adapted from the full-length “Evolution: Founding theories and principles” simulation.
What are the major kingdoms of life and how are they related to each other? In this simulation, we will answer this question by building a taxonomic tree of life and assigning different species to the kingdoms. Can you determine the key features of each kingdom, and assign the species?
Building the Tree of Life
Build your own taxonomic tree by comparing the biological differences that discriminate between the major kingdoms of life. To complete your tree, you’ll examine the fossil evidence for evolutionary divergence and assign the defining features to each kingdom. Discover the differences between the prokaryotes and eukaryotes, the bacteria and archaea, and the animalia and fungi kingdoms.
Assigning species
Once your tree is strong and clear, you’ll experiment with placing organisms into the different kingdoms. Discover the problems with placing these species into these kingdoms. Sometimes morphology alone can’t discriminate between species, for example, the venus fly trap is a plant but it is also a carnivore. In cases like these you’ll need to turn to the phylogenetic evidence to help determine the lineage of a species. However, spontaneous genetic transfer between species can make it difficult to follow the evolution of a species.
Examining troublesome species
Finally, attempt to fit the ancient species of viruses, which when following certain rules might not even be considered as alive, into the tree of life. By the end of this simulation you will know the major kingdoms of life and why not all species fit within these kingdoms.
</t>
  </si>
  <si>
    <t>Biology 5.3 Classification of biodiversity</t>
  </si>
  <si>
    <t>Biology 7.7 Common ancestry</t>
  </si>
  <si>
    <t>a0K7R000011IKPQUA4</t>
  </si>
  <si>
    <t>Iodine Test for Complex Carbohydrates</t>
  </si>
  <si>
    <t>IF2</t>
  </si>
  <si>
    <t>English (United States)
Spanish
German
French</t>
  </si>
  <si>
    <t>Iodine Test</t>
  </si>
  <si>
    <t>Recognise the structure of a complex carbohydrate, such as starch.
Test for the presence of complex carbohydrates in food samples.
Identify similarities and differences between complex carbohydrates</t>
  </si>
  <si>
    <t xml:space="preserve">Have you ever wondered what starch is? Discover the structure of complex carbohydrates and how you can test for the presence of complex carbohydrates in food samples. 
</t>
  </si>
  <si>
    <t xml:space="preserve">This short, targeted simulation is adapted from the full-length “Introduction to Food Macromolecules” simulation.
Discover the complex carbohydrates in your food! In this simulation, you will be introduced to the chemical structures of complex carbohydrates and the importance of complex carbohydrates within our diets. Begin by examining their structure, and then learn how to test for the presence of complex carbohydrates in food samples using the iodine test.
Jump into the food sample
Begin by jumping inside a potato to initiate an animation that explains the chemical building blocks that make up a complex carbohydrates. Identify the differences between alpha and beta glucose. Learn how a polymer made of simple carbohydrates, such as glucose, can form complex carbohydrates, such as starch. Compare the internal structures of potatoes and broccoli to discover how the structures of starch and cellulose differ despite them both being made from glucose polymer chains. Finally, return to the lab to perform an experiment which will test for the presence of these complex carbohydrates.
Use the Iodine test
You will assay food samples using the Iodine test for starch. A range of food samples have been prepared and their respective solution placed in a test tube. Perform the experiment for each food sample and observe the color change over time. Identify the positive and negative result for the test. Then use what you have learnt to determine which food samples contain complex carbohydrates. Does your friend's salad contain complex carbohydrates?
Review your knowledge
Put your knowledge of complex carbohydrates to the test in quizzes throughout the simulation. Do you know the difference between starch and cellulose?
</t>
  </si>
  <si>
    <t>a0K2X00000uuMQzUAM</t>
  </si>
  <si>
    <t>Forces and Free-body Diagrams: Learn how to navigate a drone</t>
  </si>
  <si>
    <t>FOR</t>
  </si>
  <si>
    <t>https://api2.labster.com/simulation/a0K2X00000uuMQzUAM/play</t>
  </si>
  <si>
    <t>HS-ETS1-2, HS-PS2-1</t>
  </si>
  <si>
    <t>Free-body diagrams</t>
  </si>
  <si>
    <t>Draw and interpret free-body force diagrams to represent forces
Understand the concept of center of gravity of an extended body
Determine the net force exerted on a body</t>
  </si>
  <si>
    <t xml:space="preserve">Finish your training in basic physics concepts to join a cutting edge mechanical engineering lab. Team up with Sir Isaac Newton and understand how various forces affect the motion of objects.
</t>
  </si>
  <si>
    <t xml:space="preserve">Get ready to train before entering the engineering lab
You move as a result of forces acting upon you. In this simulation, you will learn the basics of common forces as you experience them in your everyday life. You will visualize the reaction of an object in a given condition using the free-body diagrams.
Deriving the net force in one direction
Dr. One, our AI lab assistant, changed a few parts in her engine. These changes affected how she moved and now she needs your help to optimize her flying! In the process, you will determine the center of mass and gravity and learn the basic steps of creating a free-body diagram in a one-dimensional problem.
Free-body diagrams for common forces
To identify the motion of an object, you first have to identify all the external forces that are exerted on it. In the forces and free-body diagrams simulation, you will create free body diagrams for a mass attached to a spring, a mass being underwater and a mass rolling down a hill. Change the magnitude of these forces – how will they affect the motion of the mass?
</t>
  </si>
  <si>
    <t xml:space="preserve">This simulation offers a hilghly visual recourse to teach how to build a 2D free body diagram and force vector decomposition along perpendiclar axes, with multitude of detailed examples. (internal notes
)
Forces acting on Dr. One. Free body diagram on screen. (11:40 in screencast) (Visualisation)
Forces acting on Dr. One. Free body diagram on screen. (11:40 in screencast) (Visualisation)
Inclined plane (with friction) (9:14 in screencast) (Visualisation)
Inclined plane (with friction) (9:14 in screencast) (Visualisation)
Decomposition of forces acting on Dr. One on screen (12:12 in screencast) (Visualisation)
Decomposition of forces acting on Dr. One on screen (12:12 in screencast) (Visualisation)
</t>
  </si>
  <si>
    <t>2.2 – Forces</t>
  </si>
  <si>
    <t>3.7 Free-Body Diagrams for Objects in Uniform Circular Motion
3.2 Fundamental Forces
2.5 Newton’s Third Law and Free-Body Diagrams
2.3 Contact Forces</t>
  </si>
  <si>
    <t>a0K7R000011IKP7UAO</t>
  </si>
  <si>
    <t>Sudan IV Test for Lipids</t>
  </si>
  <si>
    <t>IF4</t>
  </si>
  <si>
    <t>Sudan IV Test</t>
  </si>
  <si>
    <t>Recognize the structure of triglycerides and the features of saturated, unsaturated, and trans fats.
Test for the presence of lipids in food samples.
Identify the reaction which changes unsaturated fats into saturated fats.</t>
  </si>
  <si>
    <t xml:space="preserve">Have you ever wondered what fat is? Discover the structure of lipids and how you can test for the presence of lipids in food samples. 
</t>
  </si>
  <si>
    <t xml:space="preserve">This short, targeted simulation is adapted from the full-length “Introduction to Food Macromolecules” simulation.
Discover the lipids in your food! In this simulation, you will be introduced to the chemical structures of lipids and the importance of lipids within our diets. Begin by examining the unique structure of triglycerides and identifying the features of saturated, unsaturated and trans fats. Then learn how to test for the presence of lipids in food samples using the Sudan IV test.
Jump into your food samples
Begin by jumping inside a block of butter to initiate an animation that explains the chemical building blocks that make up lipids. Discover the molecules which make up fats: glycerol and fatty acids. Observe the esterification reaction between glycerol and fatty acids which forms a triglyceride. Learn the structural differences between saturated, unsaturated, and trans fats. Understand why fats are a solid and oils are a liquid at room temperature with the help of molecular structures. Finally, return to the lab to perform an experiment.
Use the Sudan IV test
You will assay food samples using the Sudan IV test for lipids. A range of food samples have been prepared and their respective solution placed in a test tube. Perform the experiment for each food sample and observe the color change over time. Identify the positive and negative result for the test. Use what you have learnt to determine which food samples contain lipids. Does your friend's salad contain lipids?
Review your knowledge
Put your knowledge of lipids to the test in quizzes throughout the simulation. Do you know how to change an unsaturated fat into a saturated fat?
</t>
  </si>
  <si>
    <t>Biology 2.1 Molecules to metabolism.
Chemistry B.3 Lipids
Biology D.1 Human Nutrition</t>
  </si>
  <si>
    <t>a0K7R000016wl3dUAA</t>
  </si>
  <si>
    <t>Properties of Water</t>
  </si>
  <si>
    <t>H2O</t>
  </si>
  <si>
    <t>https://api2.labster.com/simulation/a0K7R000016wl3dUAA/play</t>
  </si>
  <si>
    <t>Foundation Concepts in Science
General Chemistry
General Science
General Biology</t>
  </si>
  <si>
    <t>PS1.A-H3</t>
  </si>
  <si>
    <t>Describe the nature and properties of water using appropriate terminology
 Relate observable phenomena of water to the molecular mechanisms that underpin them</t>
  </si>
  <si>
    <t xml:space="preserve">Water is essential for life, but how much do you know about how it works? In this simulation, you will build a water molecule, and figure out why it behaves the way it does. Are you ready to make a splash?
</t>
  </si>
  <si>
    <t xml:space="preserve">Water is all around you, and you might not even know it! You have arrived at a clearing in the forest, take a closer look at some mysterious natural phenomena. Can they be explained by the properties of water?
Piece together the fundamentals of water's polarity 
Why does water behave the way it does? It’s all down to charge distribution and polarity! Build your own water molecule on the holotable, and see for yourself how the distribution of charge across the molecule isn’t quite equal. Play around with the molecules to work out how this makes them attracted to each other, and unearth how they form hydrogen bonding networks.
Find evidence of cohesion and adhesion 
Once you have understood the fundamentals, it’s time to explore the forest and see if you can put some science behind your observations. Explore a spider's web, and how droplets of water will form. With your understanding of polarity you will bring to light the mechanism behind cohesion and adhesion, relating back to hydrogen bonding. Looking deeper inside the tree it is attached to, finding out how hydrogen bonding is integral to the transport of water inside the trunk. 
See the impact of surface tension on insects
Have you ever noticed that small insects can walk on water without sinking? We’ll study a water strider, and try to figure out how surface tension allows it to do this. 
Unfold waters solubility and thermal capacity capabilities
The fundamentals of polarity don’t just stop there.  You’ll see why water is so good at making things dissolve, making it an excellent solvent. You will also discover how the sea stays so cool even when the sand is hot, due to water's high thermal capacity. So, what are you waiting for? We hope you have brought your swimming goggles. 
</t>
  </si>
  <si>
    <t>Biology 2.2</t>
  </si>
  <si>
    <t>Biology Unit 1.1</t>
  </si>
  <si>
    <t>a0K2X00000h4MywUAE</t>
  </si>
  <si>
    <t>Invertebrate Model System: Find the genetic cause of a disease using C. elegans</t>
  </si>
  <si>
    <t>IMV</t>
  </si>
  <si>
    <t>https://api2.labster.com/simulation/a0K2X00000h4MywUAE/play</t>
  </si>
  <si>
    <t>Random mutagenesis
Genetic screening
Working with C. elegans</t>
  </si>
  <si>
    <t>Explain the importance of C. elegans as an invertebrate model system in medical research
Perform a forward genetic screen
Use sequencing data to discover the genes of interest</t>
  </si>
  <si>
    <t xml:space="preserve">Help a group of doctors in their search for the genetic cause of a rare disease by performing a genetic screening using C. elegans as the animal model.
</t>
  </si>
  <si>
    <t xml:space="preserve">A patient with a deformed head is examined at the hospital. He has been diagnosed with Saethre-Chotzen syndrome. In this simulation, you will learn how to use an invertebrate model system to perform a forward genetic screening and find out the cause of this rare disease.
Knowing your model organism
The experiments performed in this simulation are based on C. elegans, an invertebrate model system widely used to investigate genetic diseases. Using the microscope, you will learn about its life cycle and identify the different stages, as well as how to differentiate males from hermaphrodites.
Give a twist to your genetic screening using fluorescence
Despite mutations in the TWIST gene being associated with this rare disease, the doctors could not find any mutation in this gene in the patient. In order to investigate further, you will mutate your sample of C. elegans. They already carry the green fluorescent protein linked to the Twist protein so you can track the individuals carrying mutations under the fluorescence microscope throughout the experiment. You will be able to perform a complete genetic screening in this invertebrate model system in one-tenth of the time you would need in real life!
Discover what mutations are involved in the Saethre-Chotzen syndrome
You will analyze the initial cross progeny from breeding a mutated male worm with hermaphrodites and screen the subsequent F2 and F3 generations. During the process, you will understand the differences between dominant and recessive mutations, and you will be able to explore each plate with the different generations of this invertebrate model system as much as you want!
At the end of the screening, you will be able to discuss which mutations are related to the disease phenotype. Will you be able to find the mutated protein?
</t>
  </si>
  <si>
    <t>a0K2X00000vWxVBUA0</t>
  </si>
  <si>
    <t>Newton's Laws of Motion: Understand active and passive safety in motorsports</t>
  </si>
  <si>
    <t>NEW</t>
  </si>
  <si>
    <t>https://api2.labster.com/simulation/a0K2X00000vWxVBUA0/play</t>
  </si>
  <si>
    <t>Simple distillation</t>
  </si>
  <si>
    <t>Describe Newton's first law
Define inertia and frames of reference
Derive Newton's second law
Identify the action and reaction forces in different situations</t>
  </si>
  <si>
    <t xml:space="preserve">Join a team of motorsport engineers and learn the basics of Newton’s laws of motion. Understand the basic principles of passive and active safety while driving a high-class race car.
</t>
  </si>
  <si>
    <t xml:space="preserve">Enter the race car mechanics lab
Do you know why Labster’s race cars win so many motorsport championships? Because our drivers dare to reach the maximum potential of themselves and their cars. Motorsport drivers not only need all parts of their car to help them accelerate, but they also need to feel safe in doing so.  In this simulation, we will use Newton’s laws of motion to break down the passive and active safety features of a race car to enable our drivers to move faster in the safest way possible.
Understanding inertia
Have you noticed that when driving a vehicle and using the brakes to stop, your body continues moving forward? In the first mission, you will use Newton’s first law of motion to understand why this happens, and the importance of optimizing a car’s features to prevent drivers from hurtling forward when suddenly braking at high speeds.
Newton’s second law of motion
In order to understand Newton’s second law of motion, observe the motion of boxes as a result of external forces. From this mission, you will understand how friction between the tires and the road impacts the acceleration of a race car.
Action and reaction forces
In most interactions, there is a pair of forces acting on the two interacting objects. This is what Newton’s third law of motion describes. Check out examples of this law in motorsports and identify the action and reaction forces while driving.
Reference frames
Is the race car moving faster if you observe it from your seat at the stadium, from the TV, or if you are a passenger? Reference frames are used to explain how motion may be relative depending on your position as an observant. Do you have all the required knowledge to join the team of motorsport engineers?
</t>
  </si>
  <si>
    <t>2.4 Newton’s First Law
2.6 Newton’s Second Law
2.5 Newton’s Third Law and Free-Body Diagrams
2.7 Applications of Newton’s Second Law
3.7 Free-Body Diagrams for Objects in Uniform Circular Motion</t>
  </si>
  <si>
    <t>a0K7R000011IKfoUAG</t>
  </si>
  <si>
    <t>Evolution: Journey of the canids</t>
  </si>
  <si>
    <t>EV2</t>
  </si>
  <si>
    <t>https://api2.labster.com/simulation/a0Kw000000JFMjQEAX/play</t>
  </si>
  <si>
    <t>HS-LS2-8</t>
  </si>
  <si>
    <t>Hardy-Weinberg equilibrium
Genetic drift</t>
  </si>
  <si>
    <t>Critically determine how evolutionary processes have contributed to contemporary life
Describe how the theory of evolution was derived
Explain the concepts of natural selection, genetic drift, and mutation
Apply the Hardy-Weinberg principle to demonstrate genetic variance in evolution</t>
  </si>
  <si>
    <t xml:space="preserve">Follow the million-year evolutionary journey of a canid colony as you create random mutations in their DNA.
</t>
  </si>
  <si>
    <t xml:space="preserve">This short, targeted simulation is adapted from the full-length “Evolution: Founding theories and principles” simulation.
Have you ever wondered how the tiny, friendly chihuahua is related to the wild and ferocious ancestor canids of prehistory? In this simulation, we’ll explore the evidence that built the Theory of Evolution and the incremental genetic steps taken as one species branches from another.
Meet the dogs
Dr One has been caring for her lab assistant's dogs. The dogs are a variety of breeds and this has got Dr. One wondering about a few things. How is artificial selection different from natural selection? And how did dogs, foxes, and coyotes evolve from an ancient wolf-like species? Return to the lab to find out more.
Travel through time with a colony of canids
Evolution takes place over millions of years so experimenting with genetic information is practically impossible! In the virtual lab, you can time jump your way through thousands of years at the interactive holotable. Observe the impact of the random mutations you make in an organism’s DNA. Using Hardy-Weinberg theory, you will predict the genetic profile of your colony. Discover how your creatures look and behave after millions of years have passed. Changes to the environment, from a temperate forest to a snowy tundra, will also play a role in the survival of the fittest.
Review your evolutionary exploration
Return to lab assistants dogs and review your discoveries. Did you find artificial selection fascinating, or did you love the randomness of mutations? By the end of this simulation you will understand how the theory of evolution was derived, the key concepts of evolution, and the hardy weinberg principle.
</t>
  </si>
  <si>
    <t>Biology Topic 5: Evolution and biodiversity</t>
  </si>
  <si>
    <t>Biology 7.1 Introduction to natural selection</t>
  </si>
  <si>
    <t>a0Kw000000dKiMaEAK</t>
  </si>
  <si>
    <t>Experimental Design</t>
  </si>
  <si>
    <t>EXP</t>
  </si>
  <si>
    <t>https://api2.labster.com/simulation/a0Kw000000dKiMaEAK/play</t>
  </si>
  <si>
    <t>Universal Scientific Skills</t>
  </si>
  <si>
    <t>Apoptosis assay</t>
  </si>
  <si>
    <t>Explain and apply the scientific method
Design an experiment and test a hypothesis
Correctly use experimental controls</t>
  </si>
  <si>
    <t xml:space="preserve">Work as a pharmaceutical detective to identify the link between a new drug and a recent epidemic. Use the scientific method to design an experiment and perform a fluorescent cell assay to test your hypothesis.
</t>
  </si>
  <si>
    <t xml:space="preserve">About the Experimental Design Virtual Lab Simulation
In this simulation, you will learn how to design a scientific experiment. As a pharmaceutical detective, you have the chance to perform experiments with human volunteers, animals, and living human cells. Make sure that you choose the correct experimental model to design a scientifically sound experiment for testing the effect of the suspicious drug.
The scientific method
Humans have always strived to explain natural phenomena. In the first mission of the experimental design simulation, you will learn how to use the scientific method to investigate phenomena, acquire new knowledge, or correct and integrate existing knowledge. Every tool you need to use is available in this virtual lab.
Design an experiment and test your hypothesis
In your next mission you have the freedom to design your own experiment from scratch while examining biopsies under a microscope. Define your scientific question and choose the right model to test your hypothesis. And don’t be afraid to make mistakes – in this virtual simulation you can repeat the experiment as many times as you want.
Experimental controls
You will notice that there are many experimental variables in your experiment. Learn how to adjust them and understand why it’s so important to use experimental controls to verify your results. These controls will let you conclude  whether a suspicious compound is the reason behind the reported epidemic. You’ll get to investigate the effect of different compounds and various concentrations of the same compound.
Will you be able to set up an experiment that can prove your suspicions?
</t>
  </si>
  <si>
    <t xml:space="preserve">Dr. One have found a correlation bewtween what seems to be the beginning of a new epidemic and patient's use of a specific medicament. Are the population unknowingly poisoning themselves by taken medication? The students will help Dr. One identifying the cause of the epidimic, by designing an experiment using the scientific method. They will study the patient's symptoms by looking at kindey tissue under microscope and testing a hypothesis in the lab. (internal notes
)
Micoscopy of kidney tissue (03.19-7.25 in screencast) (Visualisation, lab tecnique)
Micoscopy of kidney tissue (03.19-7.25 in screencast) (Visualisation, lab tecnique)
Testing hypothesis through experiment (10.25-14.36 in screencast) (Learn by doing, experiment, lab tecnique)
Testing hypothesis through experiment (10.25-14.36 in screencast) (Learn by doing, experiment, lab tecnique)
Estimation of dead cells (16.49-18.35 in screencast) (Learn by doing, experiment, lab tecnique, visualisation)
Estimation of dead cells (16.49-18.35 in screencast) (Learn by doing, experiment, lab tecnique, visualisation)
</t>
  </si>
  <si>
    <t>a0K2X00000vWv8lUAC</t>
  </si>
  <si>
    <t>Wave Model of Light (Principles): Use reflection and refraction to take photos</t>
  </si>
  <si>
    <t>LG2</t>
  </si>
  <si>
    <t>https://api2.labster.com/simulation/a0K2X00000vWv8lUAC/play</t>
  </si>
  <si>
    <t>HS-PS4-3, HS-PS4-4, HS-PS4-5</t>
  </si>
  <si>
    <t>Optical table</t>
  </si>
  <si>
    <t>Understand the wave/particle duality of light and how it explains the different features of electromagnetic radiation
Apply the law of reflection and refraction to predict how light interacts with interfaces</t>
  </si>
  <si>
    <t xml:space="preserve">Visit Antarctica to take the perfect picture of a penguin! You will get help from Albert Einstein, who will teach you how reflection and refraction of light affect the photos you take among the snow and ice.
</t>
  </si>
  <si>
    <t xml:space="preserve">Join photographer Nicholas on his expedition to Antarctica to photograph the wildlife. In this simulation, you will learn about the wave-like behaviors of light. When light travels from one medium into another, the rays can reflect off of the surface. Depending on the angle and the media, the light can also refract. The angle of refraction is described by Snell’s law. You will experiment with different media and angles at the optical table to see Snell’s law in action.
Travel to the Antarctic
Meet photographer Nicholas in the Antarctic who is about to take the perfect photograph of a penguin - or is he? There is a lot of reflective snow and ice in the Antarctic and this will affect how much light Nicholas sees in his finished photographs. Can you help him optimize the settings of his camera?
Meet Einstein in the lab
To learn more about light, join Albert Einstein in the physics lab. You will have the option to first explore the electromagnetic spectrum and discover the similarities and differences between different types of electromagnetic radiation. Alternatively, you can dive straight into visible light.
Experiment with mirrors and glaciers
Learn how light is reflected and refracted when travelling from one medium to another. What happens to light when it hits a mirror? And how about an Antarctic glacier? Together with Albert Einstein, you will set up your own optical table with a laser, mirrors and glacier samples and discover what happens to a laser beam when it hits these media.
Optimize the camera settings
Now that you are an expert in reflection and refraction, you understand why Nicholas’ photo looked the way it did. Help him to get the optimal amount of light into his camera and capture that perfect picture!
</t>
  </si>
  <si>
    <t xml:space="preserve">This simulation teaches about the nature of light as an electromagnetic wave and its propagation through different mediums, with demonstrations on the angle of reflection and Snell's law using a virtual optical table (internal notes
)
Visualization of electromagnetic waves and the electromagnetic spectrum (6:00 in screencast) (Visualisation)
Visualization of electromagnetic waves and the electromagnetic spectrum (6:00 in screencast) (Visualisation)
Reflecting laser light with mirrors on an optical table (9:17 in screencast) (Experiment, Learn by doing)
Reflecting laser light with mirrors on an optical table (9:17 in screencast) (Experiment, Learn by doing)
Reflecting and refracting laser light on an optical table (10:24 in screencast) (Experiment, Learn by doing)
Reflecting and refracting laser light on an optical table (10:24 in screencast) (Experiment, Learn by doing)
</t>
  </si>
  <si>
    <t>4.4 Wave behaviour</t>
  </si>
  <si>
    <t>10.1 Properties of Waves</t>
  </si>
  <si>
    <t>a0K7R000011IKHCUA4</t>
  </si>
  <si>
    <t>The Scientific Method</t>
  </si>
  <si>
    <t>EX2</t>
  </si>
  <si>
    <t>https://api2.labster.com/simulation/a0Kw000000Iko9nEAB/play</t>
  </si>
  <si>
    <t>Describe the scientific method
Know what to consider when choosing an experimental model
Design an experiment and test a hypothesis
Select the correct experimental controls to verify your hypothesis</t>
  </si>
  <si>
    <t xml:space="preserve">Work as a pharmaceutical detective to identify the link between a new drug and a recent epidemic. Use the scientific method to come up with a hypothesis and subsequently design an experiment that will test the validity of your hypothesis.
</t>
  </si>
  <si>
    <t xml:space="preserve">This short, targeted simulation is adapted from the full-length “Experimental Design” simulation.
How do research scientists know where to begin? In this simulation, you will learn how to design a scientific experiment. As a pharmaceutical detective, you have the chance to perform experiments with human volunteers, animals, and living human cells. Make sure that you choose the correct experimental model to design a scientifically sound experiment for testing the effect of the suspicious drug.
The scientific method
Humans have always strived to explain natural phenomena. In the first mission of the experimental design simulation, you will learn how to use the scientific method to investigate phenomena, acquire new knowledge, or correct and integrate existing knowledge. Every tool you need to use is available in this virtual lab.
Design an experiment and formulate a hypothesis
In your next mission you have the freedom to design your own experiment from scratch while examining biopsies under a microscope. Define your scientific question and choose the right model to test your hypothesis. And don’t be afraid to make mistakes - in this virtual simulation you can repeat the experiment as many times as you want.
Experimental controls
You will notice that there are many experimental variables in your experiment. Learn how to adjust them and understand why it’s so important to use experimental controls to verify your results. These controls will let you conclude  whether a suspicious compound is the reason behind the reported epidemic. You’ll get to investigate the effect of different compounds and various concentrations of the same compound.
Will you be able to set up an experiment that can prove your suspicions?
</t>
  </si>
  <si>
    <t>a0K2X00000zhFa2UAE</t>
  </si>
  <si>
    <t>Homeostatic Control: How does the human body keep itself in balance?</t>
  </si>
  <si>
    <t>HST</t>
  </si>
  <si>
    <t>https://api2.labster.com/simulation/a0Kw000000JFMjVEAX/play</t>
  </si>
  <si>
    <t>HS-LS1-3</t>
  </si>
  <si>
    <t>Punett squares
Pedigree trees
Breeding mice</t>
  </si>
  <si>
    <t>List some of the main physiological variables under homeostatic control
Employ appropriate vocabulary to discuss the processes and concepts of homeostasis
Explain the steps in a homeostatic pathway from stimulus to response
Compare different types of feedback loops
Identify signs of homeostatic disruption and determine the underlying mechanism</t>
  </si>
  <si>
    <t xml:space="preserve">Ever wondered how your body constantly regulates itself to stay healthy? Visit the Homeostatic Control lab to learn all about the concept of homeostasis and how it can be applied to a wide range of systems, from blood pressure to body temperature.
</t>
  </si>
  <si>
    <t xml:space="preserve">The human body is a very complex combination of finely-tuned machinery. So how does it constantly keep everything in balance? In this simulation, you will learn about the basic workflow behind the homeostatic process, through the examples of body temperature, blood pressure and blood sugar regulation.
Observe homeostasis in action
Test different settings on our virtual volunteer, Phineas: switch the air conditioning on and off, have him practice different intensities of workout and feed him some yummy sugary snacks, all while observing how his body reacts to all these different stimuli. From your observations, you will have to find the sensors detecting the stimuli, the control center processing them and the effectors acting to counter them on Phineas’ body. You will also analyze the impact of the stimuli on essential physiological variables such as blood pressure, heart rate, body temperature and more.
Identify the actors in homeostatic regulation pathways
Using a 3D model of a human body, apply the basic model of homeostasis by identifying the sensors, control center and effectors for three different regulation pathways: body temperature, blood pressure and blood sugar. You will be able to control different stimuli to apply one or more at a time on the test subject, with an immediate visible impact on physiological variables. Finally, you will have to interpret the resulting changes in those variables to explain the homeostatic phenomenon.
Keep the test subject’s body in balance
Through the study of body temperature, blood pressure and blood sugar regulation, will you be able to prevent the body from going into shock and maintain a healthy balance?
</t>
  </si>
  <si>
    <t>a0K2X00000jGddEUAS</t>
  </si>
  <si>
    <t>Materials Science with Neutrons: Observe what happens inside a battery!</t>
  </si>
  <si>
    <t>NEU</t>
  </si>
  <si>
    <t>https://api2.labster.com/simulation/a0K2X00000jGddEUAS/play</t>
  </si>
  <si>
    <t>General Physics
Physics</t>
  </si>
  <si>
    <t>TM-KU</t>
  </si>
  <si>
    <t>Neutron diffraction
Quasielastic neutron scattering (QENS)
Neutron radiography (imaging)</t>
  </si>
  <si>
    <t>Distinguish the basic components of a rechargeable Li-ion battery
Recognize in which cases neutrons as a probe might be preferred over x-rays in materials science
Understand how and why neutrons are produced, moderated in wavelength, transported and detected in a large-scale materials research facility
Understand neutron transmission imaging and its advantages in materials science
Distinguish various forms of neutron interaction with a sample and the related neutron cross-sections
Relate atomic lattice distance in a powder sample to neutron scattering angle via Bragg’s law
Explain how slow molecular movement in a sample can be measured by quasi-elastic neutron scattering</t>
  </si>
  <si>
    <t xml:space="preserve">Perform neutron diffraction and quasi-elastic neutron scattering experiments at a research facility while helping a group of scientists in the Arctic. Observe the structure of atomic layers inside a battery and see how some atoms move when it discharges.
</t>
  </si>
  <si>
    <t xml:space="preserve">Are you curious to find out what happens inside a battery without any fear of breaking it? And have you ever wondered why your phone runs out of power more quickly when it is cold outside? In the Materials Science with Neutrons simulation, you will learn the basics of neutrons and how they can be used as probes in materials science. You will get to perform experiments in a modern large-scale research facility that requires special permission to enter.
Observe the principles of neutron diffraction
Neutrons are subatomic particles found in the nucleus of most atoms. Through a high-energy process neutrons can be expelled from atoms to produce a free neutron beam. You cannot see the neutron beam with the naked eye but it can penetrate through almost any material. In our experiment it interacts weakly with the sample as it passes through it before finally being recorded in a detector. In the Materials Science with Neutrons simulation you will get to validate Bragg’s law and observe how changes in the wavelength of neutrons and the distance between atomic layers in the sample affect the scattering pattern of neutrons from your sample.
Perform a neutrons diffraction experiment
Now that you are an expert in neutron diffraction you are allowed to enter the diffraction instrument room. You will insert your sample in the cryostat and observe how the neutron diffraction pattern changes when the battery discharges at various temperatures.
Perform a QENS experiment
When neutrons hit the sample, they sometimes change energy due to inelastic or quasi-elastic processes in the sample. Understand the principles of quasielastic neutron scattering (QENS) through an interactive animation and perform an experiment on your battery sample. Will you be able to use these results to explain why the battery doesn’t work properly in the cold, and will you be able to assist the scientists on their mission in the Arctic?
</t>
  </si>
  <si>
    <t>a0K7R000011INJkUAO</t>
  </si>
  <si>
    <t>Osmosis and Diffusion: Choose the right solution for an intravenous drip</t>
  </si>
  <si>
    <t>OSM</t>
  </si>
  <si>
    <t>https://api2.labster.com/simulation/a0K7R000011INJkUAO/play</t>
  </si>
  <si>
    <t>English (United States)
French
Spanish
German
Italian</t>
  </si>
  <si>
    <t>General Biology
Anatomy &amp; Physiology</t>
  </si>
  <si>
    <t>HS-LS1-2</t>
  </si>
  <si>
    <t>International School Hilversum</t>
  </si>
  <si>
    <t>Determine isotonic point
Microscopy</t>
  </si>
  <si>
    <t>Understand how solute concentration drives the movement of molecules across a semipermeable membrane
Distinguish between osmosis and diffusion
Define the terms osmosis and hypotonic, hypertonic and isotonic solutions
Compare and contrast osmosis in hypotonic and hypertonic solutions</t>
  </si>
  <si>
    <t xml:space="preserve">Help save Frank’s life by choosing the correct saline solution for an intravenous drip. Join Dr. One in the lab to discover what a hypotonic, isotonic and hypertonic solution is and how water is transported across the cell membrane in osmosis. 
</t>
  </si>
  <si>
    <t xml:space="preserve">Choosing an IV fluid
You will meet Frank in the hospital. He is dehydrated because of sunstroke and needs extra fluids. There are three solutions available, but which one is the correct one to avoid damaging Frank’s blood cells?
Finding the isotonic point
Join Dr. One in the lab to understand exactly how water is transported across the cell membrane in osmosis. An animation will show you how the solute concentration of a solution can be equalized through diffusion and osmosis. You will see how solutes can move through the solution via diffusion and how water is transported across a semipermeable membrane in osmosis. You will then place potato cubes in a serial dilution of saline to see how water moves either into or out of the cells depending on the salt concentration.
Once you have plotted your results, you will be able to identify the isotonic point where the salt concentration of the solution is exactly the same as the salt concentration inside the cells. You will also see in which direction the water moves in both a hypotonic and a hypertonic solution. Finally, you can see the effect of hypotonic and hypertonic solutions on cells by adding these solutions to a blood sample and observing the red blood cells under the microscope. 
Back to the hospital
After your experiments, you fully understand the three saline solutions that were available to Frank and the effect that the salt concentration will have on the cells in his blood. Review your hypothesis and advise Frank and his doctors on the correct IV solution.
</t>
  </si>
  <si>
    <t>2.2 Water
11.3 The kidney and osmoregulation
Biology 1.3 Membrane structure</t>
  </si>
  <si>
    <t>Unit 8: Ecology
High level content, may support:</t>
  </si>
  <si>
    <t>a0K7R000011IKOoUAO</t>
  </si>
  <si>
    <t>Cellular Respiration: The Electron Transport Chain</t>
  </si>
  <si>
    <t>CR3</t>
  </si>
  <si>
    <t>https://api2.labster.com/simulation/a0K2X00000d2VubUAE/play</t>
  </si>
  <si>
    <t>TM-ETH</t>
  </si>
  <si>
    <t>LC-MS/MS chromatogram interpretation
Kjeldahl method</t>
  </si>
  <si>
    <t>Detail the movement of electrons through the mitochondrial electron transport chain
State the end products of aerobic respiration
Describe where the electron transport chain and its component complexes are located in cells</t>
  </si>
  <si>
    <t xml:space="preserve">Take dive inside a mitochondrion to learn all about the electron transport chain (ETC) and pass on your findings to the basketball team so they can learn too!
</t>
  </si>
  <si>
    <t xml:space="preserve">This short, targeted simulation is adapted from the full-length “Cellular Respiration” simulation.
What is the electron transport chain and how is it linked to the Krebs cycle? In this simulation, you will cover the final stage in aerobic respiration, the electron transport chain. After the Krebs cycle, you won't have to travel far, as you will be shrunken down and squashed inside a mitochondrion. Here, we will make an abstract concept become a mechanism which can be visualised through a colourful and engaging animation.
Evaluate the Electron Transport Chain
Firstly, you will be transported straight from the high-tech laboratory to right inside a mitochondrion using our cutting-edge shrink rays and teleportation machine! Here, you will learn about the stages that take place in the electron transport chain by getting up close and personal with the transmembrane proteins. You will see how the products of the Krebs cycle get the motor running and the reactions which take place at each stage, along with verbal explanations. You will have the ability to visualise the mechanics of the ETC - something even real-life laboratories cannot do!
Review your Knowledge
After a thorough explanation of the ETC you will be prompted with some engaging quiz questions to reinforce your knowledge to further your learning of cellular respiration. To accompany the quiz questions there are relevant theory pages and informative diagrams to aid your learning.
Help athletes perform
After exploring the final stage of aerobic respiration you will be ready to pass on your knowledge to the basketball players, so they can improve their diet and training regime to remain energized.
</t>
  </si>
  <si>
    <t>a0K7R000011IKftUAG</t>
  </si>
  <si>
    <t>Evolution: Generations of an allele</t>
  </si>
  <si>
    <t>EV4</t>
  </si>
  <si>
    <t>High level content, may support HS-LS4-3</t>
  </si>
  <si>
    <t>Learn how populations evolve by adapting to their environment
Understand the basic mechanisms of evolution
Understand the evidences of evolution as the foundation of biology
Deal with common misconceptions about the theory of evolution</t>
  </si>
  <si>
    <t xml:space="preserve">Dive into the evolution of whales! Follow the path of a gene from a rare mutation to being stuck in a population through natural disasters and competition.
</t>
  </si>
  <si>
    <t xml:space="preserve">This short, targeted simulation is adapted from the full-length “Evolution” simulation.
Explore the evolution of the whale! In this simulation, you will learn about evolution and population genetics by investigating the population of small wolf-like creatures on a virtual island. How did evolution help a small, four-legged land dweller, called the Pakicetus to become the blue whale, the largest animal to ever swim the oceans?
The island
Start with two Pakicetus on your virtual island. Watch as the population size grows exponentially and observe the genetics of the population over time. Discover what resources limit the island's population size. Use the Hardy-Weinberg principle to predict the allelic frequency in the population over multiple generations. Will the island remain a safe haven for the Pakicetus?
Population genetics
Explore the mystery of how the Pakicetus evolved into the large blue whale. A single mutation caused some of the Pakicetus to struggle to catch prey on land and led them to search for food on beaches in order to survive. Observe the new allele that remains at low levels in the population of the Pakicetus over multiple generations. Will this new allele prove useful for future generations?
Disaster strikes the island
The climate on the island changes dramatically as a drought strikes the island, and the Pakicetus are pushed from the land to the beaches. Watch as the population of Pakicetus with the new allele increases and the hunting style of the Pakicetus changes from land to water to fit this new world. How will further sudden disasters affect the allelic frequencies as the Pakicetus population?
</t>
  </si>
  <si>
    <t>Biology 7.2 Natural Selection</t>
  </si>
  <si>
    <t>a0Kw000000dgIcVEAU</t>
  </si>
  <si>
    <t>Silo Design</t>
  </si>
  <si>
    <t>SLO</t>
  </si>
  <si>
    <t>English (United States)
German (Germany)</t>
  </si>
  <si>
    <t>Civil Engineering &amp; Material Science</t>
  </si>
  <si>
    <t>Direct shear test</t>
  </si>
  <si>
    <t>Understand the importance of storing bulk solids in silos
Distinguish between mass flow and funnel flow of the bulk solids
Learn the basic soil properties that can be assessed by soil mechanics tests
Learn how to perform a direct shear test
Learn how to design a silo for given material properties
Learn the basic elements of the pneumatic conveying system</t>
  </si>
  <si>
    <t xml:space="preserve">Learn how to design huge constructions called silos and perform soil mechanics tests to obtain the properties of powdered material. Observe the flow of bulk solids inside a silo and understand the principle of a pneumatic conveying pump.
</t>
  </si>
  <si>
    <t xml:space="preserve">While trying to store grains, ancient Greeks created large constructions, commonly known as silos. These are still used in the present day. Many types of powdered material, such as food or pharmaceutical products, have to be stored for long periods of time without being exposed to any kind of contaminating substances or weather conditions. In the silo design simulation, you will be taught the main aspects of the silo design process.
The flow of bulk solids
You will meet Mike the engineer and discuss the need of a silo construction to store a massive amount of sand. The silo has to be designed according to the properties of the material you want to store. You have to decide whether your sand is a Newtonian or a Hookean material. In the silo design simulation, you have the chance to observe the flow of bulk solids from inside the silo.
Direct shear test
In order to identify the material properties of the sand, you need to perform a direct shear test. The outcome of this experiment will determine the friction angle of the sand and the wall material of the silo. Messy and time consuming experiments can be conducted in a small amount of time. The angle and opening of the silo will be designed according to your findings.
Pneumatic conveying system
Once you manage to create a silo to store huge amounts of sand, you need to understand the main principles of a pneumatic conveying system, in order to transfer the sand across long vertical distances.
Will you be able to store sand so far away from the nearest beach?
</t>
  </si>
  <si>
    <t>a0K7R000016wl1SUAQ</t>
  </si>
  <si>
    <t>The Nitrogen Cycle: Balance food demands and environmental concerns</t>
  </si>
  <si>
    <t>CYN</t>
  </si>
  <si>
    <t>https://api2.labster.com/simulation/a0K7R000016wl1SUAQ/play</t>
  </si>
  <si>
    <t>Earth and Space Science
Earth Science</t>
  </si>
  <si>
    <t>ESS3.C-H1
Energy and Matter</t>
  </si>
  <si>
    <t>Model how nitrogen moves between organisms and components of hte physical environment
 Explain the wider impact of changes at any one point in the nitrogen cycle
 Identify examples of human influence on the nitrogen cycle</t>
  </si>
  <si>
    <t xml:space="preserve">Learn about the nitrogen cycle and help a local restaurant owner understand the complexities of sustainable crop production. Model nitrogen moving between stages of the cycle and then balance food production with environmental impact.
</t>
  </si>
  <si>
    <t xml:space="preserve">The Nitrogen cycle is essential to life as nitrogen is not only vital for food production, it’s also a crucial part of DNA. In this simulation, you will learn all about the nitrogen cycle and help restaurant owner Alex understand why food suppliers cannot simply increase food production without considering the broader impacts it has on the nitrogen cycle. First, you’ll learn about the different stages of the Nitrogen cycle and then identify human influences. Later you’ll assume the role of the local food suppliers managing their crop production. Will you be able to balance the demand for food without negatively impacting the local ecosystem?
Discover the five stages of the nitrogen cycle
Learn all about the fixation, nitrification, ammonification, assimilation, and denitrification stages of the nitrogen cycle in an interactive, exploratory activity! Through the magic of learning in a virtual lab, you can jump into the nitrogen cycle at any stage and model its flow. You will discover the importance of different organisms and abiotic factors, and the role they play in each stage. Do not fear making mistakes - you will be given instant feedback throughout to help you understand and figure out the placement of each part of the cycle. You will then look at how different human influences, such as using synthetic fertilizers or burning fossil fuels, can impact nitrogen in the environment. The knowledge you will gain about the cycle will be vital for the next activity where you will assess a real-life environmental predicament!
Balance food production and nitrogen pollution
Assume the role of a food producer aiming to supply enough food for the restaurant in the local city, while attempting to minimize environmental impact. Use an interactive 3D model on the futuristic holo-floor to manage the various parameters of food production throughout a condensed four-year cycle. Make choices on crop rotation and fertilizer to discover the implications of each on the environment. Balance is essential - you will look at how pollution in one area can travel to another, and even affect local aquatic life. After the four-year cycle has ended, you’ll find out if you were able to maintain the balance. If you aren’t happy with your result, you’ll get the chance to play again and discover a different approach.
Keeping the balance
At the end of the simulation, you’ll inform restaurant owner Alex that balance is needed, and there are no simple solutions for increasing food production while minimising environmental impact!
</t>
  </si>
  <si>
    <t>Biology C.6</t>
  </si>
  <si>
    <t>a0Kw000000cxB4NEAU</t>
  </si>
  <si>
    <t>Your Diet and Your DNA</t>
  </si>
  <si>
    <t>FON</t>
  </si>
  <si>
    <t>https://api2.labster.com/simulation/a0Kw000000cxB4NEAU/play</t>
  </si>
  <si>
    <t>Histology slide preparation
Micropipetting
Microscopy
Diet planning
Flow cytometry</t>
  </si>
  <si>
    <t>Describe nutrient compositions of healthy and unhealthy diets
Explain how genomic instability may lead to the development of diseases such as cancer
Summarize the impact of diet on genomic stability</t>
  </si>
  <si>
    <t xml:space="preserve">Follow Lily’s quest for planning a healthy diet for her best friend, Mia, who is lacking energy for her athletic performances, and learn how an unhealthy diet can impact DNA stability by measuring telomere length and DNA adducts from human samples.
</t>
  </si>
  <si>
    <t xml:space="preserve">Everything you eat will impact your DNA. In this simulation, you will learn about the connection between nutrients in your diet and the stability of your DNA.
Food composition and digestion
Join two young school girls and discover how their contrasting food choices impact them. You will review their food choices by looking at the nutrients’ 3D structures and compositions. Next, you will dive deeper into the human digestive system. Through detailed 3D animations, you’ll get the opportunity to travel through the gut with the bacteria and see how nutrients are absorbed in the human body.
DNA experiments
You will perform two experiments to uncover how nutrients impact the DNA structure. In these experiments, you will compare samples taken from people with healthy and unhealthy diets. In the first experiment, you will measure the DNA telomere length. In the second experiment, you will measure the DNA adduct level from colon samples.
Plan a healthy meal
Finally, you will use your acquired knowledge to plan a healthy meal for Mia, who is a school athlete. You can choose from a range of different food options to build your meal plan. Will you be able to help Mia get her energy back?
</t>
  </si>
  <si>
    <t>7.2 Transcription and gene expression</t>
  </si>
  <si>
    <t>a0Kw000000Iko9mEAB</t>
  </si>
  <si>
    <t>Microscopy</t>
  </si>
  <si>
    <t>MIC</t>
  </si>
  <si>
    <t>https://api2.labster.com/simulation/a0Kw000000Iko9mEAB/play</t>
  </si>
  <si>
    <t>Not directly assessed, could support many areas depending on educators approach</t>
  </si>
  <si>
    <t>Fluorescent microscopy
Light microscopy: using immersion oil and working with different objectives</t>
  </si>
  <si>
    <t>Understand different microscopy techniques and their limitations
Identify various cell types and cellular structures
Understand coeliac disease and intestinal inflammation
Understand staining techniques</t>
  </si>
  <si>
    <t xml:space="preserve">Analyze the microscopic structure of the small intestine and learn the advantages and limitations of light, fluorescence and electron microscopy.
</t>
  </si>
  <si>
    <t xml:space="preserve">Join the Microscopy lab and learn about the different types of microscopy to understand the mechanisms behind it. You will be trained in light microscopy, transmission electron microscopy and fluorescence microscopy.
Use magnification
In the Microscopy lab, you will be presented with chicken intestinal slides that have been stained with Anilin, Orange G and Fuchsin. Using the 5x magnification, you will identify the villus and then proceed with higher magnifications to identify smooth muscle, Relatedcellular tissue, epithelial cells, Goblet cells and the nuclei.
Try out the electron microscope
Electron microscopes can be used to visualize objects that are too small to see when using a light microscope—for example, the microvilli, mitochondria and the junctions between cells. In the Microscopy lab, you will examine a chicken intestine slide that is specially prepared for a transmission electron microscope. You can zoom in and out to observe different cellular structures.
Learn about fluorescence staining techniques
You will learn about fluorescence staining techniques and how they can be used to visualize specific structures. For example, by staining the DNA with DAPI, you can easily identify a cell’s nucleus. In this part of the lab, you will examine a chicken intestine sample that is infected with a retrovirus and observe how the virus infects the lymphocytes and how it inhibits inflammation. The retrovirus can be further developed as a medicine for coeliac disease.
</t>
  </si>
  <si>
    <t>1.1 Introduction to cells
1.2 Ultrastructure of cells</t>
  </si>
  <si>
    <t>Biology Unit 2: Cell Structure and Function</t>
  </si>
  <si>
    <t>a0K7R000011IKfsUAG</t>
  </si>
  <si>
    <t>Evolution: Identifying a deep sea creature</t>
  </si>
  <si>
    <t>EV3</t>
  </si>
  <si>
    <t>https://api2.labster.com/simulation/a0Kw000000Iko9SEAR/play</t>
  </si>
  <si>
    <t>NGS
Phylogenetic interpretation</t>
  </si>
  <si>
    <t>Use DNA sequencing and phylogenetic trees to identify an unknown creature
Deal with common misconceptions about the theory of evolution</t>
  </si>
  <si>
    <t xml:space="preserve">Dive into the evolution of whales: from a sequence of nucleotides to a 30-meter long blue whale. 
</t>
  </si>
  <si>
    <t xml:space="preserve">This short, targeted simulation is adapted from the full-length “Evolution” simulation.
Explore the evolution of a sea monster! In this simulation, you will learn about evolution and next generation sequencing by researching the genetic sequence of a sea monster that has washed up on a beach. Follow the evolution of a single cell to a 30-meter long blue whale.
Visit the sea monster
Go meet the researcher Ponleu on a remote beach in Cambodia where a mysterious sea monster has been washed ashore. Take a blood sample back to the lab for analysis. Is the sea monster really what it seems?
Next generation sequencing
Use a next generation sequencing machine to analyse the genetic sequence of a sea monster and discover it’s evolutionary ancestry. Discover the analogous and homologous traits in different species, such as a human and a whale, by comparing their physical structures. Could a common ancestor be the cause of these structural similarities, or have these species evolved separately but a similar adaptation was required to survive? Compare the genetic sequence of the sea monster with that of different known sequences to identify the species the sea monster is closely related to: the blue whale!
Create a phylogenetic tree
Dive deeper into the genetics of the sea monster by using the genetic sequence of the sea monster to generate a phylogenetic tree. Explore the tree to learn about common ancestors and the most recent common ancestors of the whale. How did evolution help a small, four-legged land dweller to become the largest animal to ever swim the oceans?
</t>
  </si>
  <si>
    <t>Biology 7.6 Evidence of Evolution</t>
  </si>
  <si>
    <t>a0K7R000010rMd8UAE</t>
  </si>
  <si>
    <t>Light Microscopy</t>
  </si>
  <si>
    <t>BLM</t>
  </si>
  <si>
    <t>https://api2.labster.com/simulation/a0K7R000011IMpRUAW/play</t>
  </si>
  <si>
    <t>The Gram Stain: Identify and differentiate bacteria
Gram Stain: How stains and counterstains work
Gram Stain: Test yourself in Gram Stain Procedure
Building Gram Positive and Gram Negative Cell Walls</t>
  </si>
  <si>
    <t>Light Microscope</t>
  </si>
  <si>
    <t>Understand the basic principles and practical aspects of light microscopy
Explain the function of different parts of the microscope
Compare the terms magnification, contrast, and resolution
Describe the application and limitations of light microscopy in biology
Understand the need for sample preparation</t>
  </si>
  <si>
    <t xml:space="preserve">Enter the virtual microscope room to see inside a tissue sample. Learn how a light microscope can magnify an image and answer biological questions.
</t>
  </si>
  <si>
    <t xml:space="preserve">This simulation, along with “Fluorescence Microscopy,” has been adapted from the original, larger “Microscopy” simulation.
Assemble the light microscope and discover how the key components help to magnify an image up to 1,000 times. In this simulation, you will learn how to use a light microscope to analyze an intestine tissue sample. You will discover why biological samples need to be processed before they can be imaged and what the applications and limitations of light microscopy in biology are. Your mission is to decide whether the Mallory staining can be used in the experiment your colleagues in the lab are proposing.
Assemble the microscope
First, you will assemble the light microscope and discover the function of the key components. Learn how, together, the parts of the microscope can magnify the image up to 1,000 times.
Analyze the sample
The sample is prepared for you already. You need to find out whether the staining used is appropriate for studying the microanatomy of the chicken intestine. Intestinal physiology specialist Dr. One will point out some interesting features to you as you explore the sample. Can you clearly distinguish all the cell types they are interested in? Finally, you and Dr. One will compare microscopy techniques. Is the light microscope the one microscope to rule them all?
RELATED SIMULATIONS
Fluorescence Microscopy
Microscopy
</t>
  </si>
  <si>
    <t>Early Stage Bachelors Level
EHEA First Cycle
FHEQ 6
SCQF 9
US College Year 2
US College Year 1
EHEA Short Cycle</t>
  </si>
  <si>
    <t>a0K2X00000vWvF2UAK</t>
  </si>
  <si>
    <t>Electromagnetic Spectrum (Principles): Uses and dangers of electromagnetic waves</t>
  </si>
  <si>
    <t>LG1</t>
  </si>
  <si>
    <t>https://api2.labster.com/simulation/a0K2X00000vWvF2UAK/play</t>
  </si>
  <si>
    <t>HS-PS4-1, HS-PS4-4, HS-PS4-5</t>
  </si>
  <si>
    <t>Interactive animations</t>
  </si>
  <si>
    <t>Use the electromagnetic spectrum to classify waves based on their wavelength and frequency
Examine the relationships among the frequency, wavelength, and speed of waves
Evaluate the damage to living cells by electromagnetic radiation</t>
  </si>
  <si>
    <t xml:space="preserve">Discover what types of radiation make up the electromagnetic spectrum and the uses and dangers of each type.
</t>
  </si>
  <si>
    <t xml:space="preserve">Electromagnetic radiation is all around us. In this simulation, you will learn about the electromagnetic spectrum. Join your virtual assistant Dr. One in a physics lab where you will interact with different types of electromagnetic radiation to find out their uses in everyday life and potential dangers to living things – don’t worry, you will be perfectly safe in the virtual lab!
The electromagnetic spectrum
Join Dr. One in their physics lab and find out what links UV radiation to the microwave in your kitchen! You will learn how to define the waves that make up the electromagnetic spectrum and the two wave components by interacting with diagrams and quizzes.
Wavelength and frequency
See how everyday objects produce waves of various frequencies and wavelengths that define the electromagnetic spectrum. Discover how speed, wavelength and frequency are related. Some of the waves are visible, while others are not. But don’t worry, even though you cannot see them in real life, there are no restrictions in a virtual simulation!
Uses and dangers of electromagnetic radiation
Interact with different objects to find out how electromagnetic radiation is used outside of the lab. Food preparation, communication, cancer therapy, medical imaging and even just seeing the world around you all involve electromagnetic radiation. Some types of radiation can cause damage to living cells, so they will need to be handled with care – but don’t worry, Dr. One will keep you safe and teach you how to stay safe in the real world too!
</t>
  </si>
  <si>
    <t>4.2 Travelling waves
4.4 Wave behaviour</t>
  </si>
  <si>
    <t>10.1 Properties of Waves (this module is mainly part of AP physics 2)</t>
  </si>
  <si>
    <t>a0K7R000011IKRbUAO</t>
  </si>
  <si>
    <t>Western Blot Transfer: Prepare for protein detection</t>
  </si>
  <si>
    <t>WBT</t>
  </si>
  <si>
    <t>No direct alignment
Technical support for relevant Lab Investigations</t>
  </si>
  <si>
    <t>Western Blot</t>
  </si>
  <si>
    <t>Build a transfer stack with the correct orientation
Set up a transfer tank to transfer protein from an SDS-PAGE gel to a membrane.
Critique the quality of protein transfer using a removable protein-identifying stain.</t>
  </si>
  <si>
    <t xml:space="preserve">Join Dr. One and two colleagues on their mission to cure cancer. They are using Western blot to compare the level of p53 protein in cancerous and healthy control cells. Can you help Dr. One with the tricky membrane transfer step? 
</t>
  </si>
  <si>
    <t xml:space="preserve">Air bubbles are the enemy and if you are not careful you may cause a minor explosion! In this simulation you will learn how to set up and troubleshoot the transfer step of Western blot. Dr. One has already separated the proteins by size using gel electrophoresis. Before they can continue to use antibodies to detect the levels of p53 protein, the protein samples must be transferred from the gel to a membrane.
Building a stack
You will use electricity to transfer the proteins from the gel to the membrane. The gel and membrane must stay closely together during the whole procedure. To achieve this, you start by building the transfer stack. Be careful, as a mistake here could ruin your experiment! Luckily Dr. One is on hand to guide you.
Transferring the proteins
Once you have built the stack, you are ready to assemble the tank in which you will use electricity to move the proteins onto the membrane. As your colleagues Jenny and Mario will be able to tell you, even with the perfect stack, there is still the potential to cause a minor fire or other disaster at this point! Thankfully, the process is much quicker in the virtual lab as you do not need to wait for the transfer to complete.
Analyzing your results
Using antibodies to detect proteins is another lengthy process. Before handing your membrane over to Dr. One for this part of the Western blot experiment you want to make sure that you have been successful. You will use ponceau to stain all the proteins on the membrane so you can assess the quality of your transfer. Jenny and Mario have been working alongside you and need some help checking their membranes too. Can you find the best membranes for Dr. One to analyze?
</t>
  </si>
  <si>
    <t>No direct alignment
Generic technical support for practical skill development</t>
  </si>
  <si>
    <t>No direct alignment
Generic support for relevant Lab Investigations</t>
  </si>
  <si>
    <t>a0K7R000010RZE9UAO</t>
  </si>
  <si>
    <t>The Carbon Cycle: Reduce carbon emissions</t>
  </si>
  <si>
    <t>CYC</t>
  </si>
  <si>
    <t>https://api2.labster.com/simulation/a0K7R000010RZE9UAO/play</t>
  </si>
  <si>
    <t>English (United States)
German
Italian
Spanish
French</t>
  </si>
  <si>
    <t>ESS1.B-H2
HS-ESS2-4
ESS2.A-H3
LS2.B-H3
HS-LS2-5</t>
  </si>
  <si>
    <t>Importance of the carbon cycle: cellular respiration, photosynthesis, decomposition, combustion
Carbon is finite</t>
  </si>
  <si>
    <t>Model how carbon moves between places in the environment
Explain the wider impact of changes at any one point in the carbon cycle
Identify examples of human influence on the carbon cycle</t>
  </si>
  <si>
    <t xml:space="preserve">Help Farmer Greg understand the wider issues affecting corn production. Identify the different reservoirs and how they are connected, and then determine how human emissions affect the cycle by playing with the 3D model.
</t>
  </si>
  <si>
    <t xml:space="preserve">Carbon is one of the main building blocks of life! In this simulation, you will learn all about the carbon cycle to help Farmer Greg understand the reason behind the corn shortage. He has been informed that it could be due to the effects of global warming from carbon emissions. You will learn about the importance of the carbon cycle and the negative impact of human emissions on the environment so you can help Farmer Greg with his problem. Will you be able to find a sustainable solution to reduce carbon emissions without having to sacrifice the modern lifestyle?
Influences on the Carbon Cycle
Discover the complexity of the carbon cycle with our amazing interactive 2D minigame on our high-tech floating screen. One of the many benefits of learning in a virtual lab, you can take the lab anywhere you want – like a farm!
Understand the importance of the carbon cycle in many life processes, such as photosynthesis and cellular respiration. Use your newfound knowledge of the carbon cycle to investigate the effects of global warming. Too much of anything is usually a bad thing – discover the wider impacts of excessive carbon emissions on the environment and how this can cause cascading effects to food production, wildlife and more.
Reduce human carbon emissions!
Use the 3D model to identify how different components, such as forests, factories and cars, influence the carbon in the environment. Assess the effects caused by excessive concentrations of atmospheric carbon, particularly what happens to the ocean. Find different ways of balancing a healthy environment and a modern day lifestyle. Once you have achieved your goal, you can continue playing with the model to find as many solutions for combating global warming as possible, and find out why some solutions just don’t work!
A green future
At the end of the simulation you will have to inform Farmer Greg of your findings! Do you think you can find the ideal solution for reducing carbon emissions?
</t>
  </si>
  <si>
    <t>4.3 Carbon cycling</t>
  </si>
  <si>
    <t>a0K2X00000d2douUAA</t>
  </si>
  <si>
    <t>Law of Universal Gravitation: Use gravity to orbit the moon</t>
  </si>
  <si>
    <t>LUG</t>
  </si>
  <si>
    <t>https://api2.labster.com/simulation/a0K2X00000d2douUAA/play</t>
  </si>
  <si>
    <t>HS-PS2-4, HS-ESS1-4</t>
  </si>
  <si>
    <t>Thought experiment
Pendulum</t>
  </si>
  <si>
    <t>Understand the difference between weight and mass
Measure gravitational acceleration near the Earth's surface
Describe the mechanism for circular orbits
Describe the distance dependence of g
Distinguish between bound and unbound trajectories</t>
  </si>
  <si>
    <t xml:space="preserve">Learn the basics of gravitation by weighing the famous scientist Sir Isaac Newton and observe the Law of Universal Gravitation in action by changing the mass of the Earth. Travel in space and perform a thought experiment about orbits.
</t>
  </si>
  <si>
    <t xml:space="preserve">Can you imagine having a better teacher in the Law of Universal Gravitation than Sir Isaac Newton? In this simulation, you will learn about the difference between mass and weight. Newton himself will get on the scales and you will perform a pendulum experiment which will let you define the gravitational acceleration near the surface of the Earth. In order to deduce Newton’s Law of Gravitation, you will investigate how gravitational acceleration is dependent on masses of objects and the distance in between them. In your first mission, you will change the mass of the Earth and determine the “mass dependence” of the gravitational acceleration. But watch out! With great power in this initial mission comes great responsibility during your last mission…
Perform a thought experiment
Enter the mind of Newton and learn why the moon does not just crash onto the surface of the Earth. Observe how the initial tangential velocity affects the orbit of a cannon ball around the Earth and realize the “distance dependence” of the gravitational acceleration. You are now one step closer to guiding a spacecraft with astronauts on their mission to orbit the moon.
The solar system
In order to orbit the moon you have to know everything about the theory of gravity. In this simulation, you can learn all about it by having a look at the holo-table, where you can see the solar system orbit around the sun right in front of you. You will also learn the basic properties of the known planets of our solar system.
Orbit the moon
Changing the mass of the Earth during your first mission will affect the preset velocity of a spacecraft for entering a lunar orbit. Will you be able to find the correct velocity for entering circular orbit around the moon by changing the trajectories of the orbiting spacecraft?
</t>
  </si>
  <si>
    <t xml:space="preserve">All bodies with mass experience gravity, be it an apple as it falls to the ground or the Moon as it orbits the Earth. Remarkably, the force of gravity has the same mathematical expression whether we apply it to the apple, or the Moon, or any other body in the Universe, and thus we call its law the Law of Universal Gravitation. In this simulation, the student derives the Law of Universal Gravitation using experimental techniques and the interpretation of graphs. They are also introduced to the orbits of bodies moving under the influence of gravity using physically accurate 3D simulations.  (internal notes
)
Newton's cannon thought experiment (8:58 in screencast) (Visualisation, Animation)
Newton's cannon thought experiment (8:58 in screencast) (Visualisation, Animation)
Determination of Earth's surface gravity with a pendulum (3:46 in screencast) (Learn by doing, Experiment, Lab technique)
Determination of Earth's surface gravity with a pendulum (3:46 in screencast) (Learn by doing, Experiment, Lab technique)
Shooting the spaceship with different velocities (16:50 in screencast) (Animation, Game-like, Visualisation)
Shooting the spaceship with different velocities (16:50 in screencast) (Animation, Game-like, Visualisation)
</t>
  </si>
  <si>
    <t>2.2 – Forces
6.1 – Circular motion
6.2 – Newton’s law of gravitation</t>
  </si>
  <si>
    <t>3.8 Applications of Circular Motion and Gravitation
3.4 Gravitational Field/Acceleration Due to Gravity on Different Planets
6.1 Period of Simple Harmonic Oscillators
2.2 The Gravitational Field
3.3 Gravitational and Electric Forces</t>
  </si>
  <si>
    <t>a0K7R000016wlcIUAQ</t>
  </si>
  <si>
    <t>Principles of the Water Cycle</t>
  </si>
  <si>
    <t>CYW</t>
  </si>
  <si>
    <t>ESS2.C-M1
LS2.B-E1</t>
  </si>
  <si>
    <t>Differentiate Earth's stores of oceanic and fresh water and describe the different forms freshwater stores can take
 Describe connections between water cycle processes and hydrological stores
Construct models of how human activity can impact infiltration, interception, and runoff and interpret the outcomes.</t>
  </si>
  <si>
    <t xml:space="preserve">Stop a house developer from breaking the water cycle! Dive into learning all about different hydrological stores and the processes which connect them.
</t>
  </si>
  <si>
    <t xml:space="preserve">Did you know the water you’re drinking may have once been part of a glacier in the Antarctic? In this simulation, you will learn how water moves around the Earth in a continuous cycle.
Pinpoint key hydrological stores
Explore an overview of the water cycle and identify different hydrological stores. You may be surprised to learn how much of the Earth’s water is stored in the oceans! By the end of this activity, you will be able to differentiate between different oceanic and freshwater stores.
Figure out the flow
After learning about hydrological stores, you will look at how water moves between these stores in an interactive activity. Learn the definitions of precipitation, evaporation, condensation, transpiration, infiltration, interception, surface runoff, and groundwater flow. Apply this knowledge to figure out where in the water cycle each process belongs.
Help the property developerAt the end of the simulation, you’ll inform property developer Max about your findings so he can make an informed decision on his development plan.
</t>
  </si>
  <si>
    <t>a0K2X00000zhEw2UAE</t>
  </si>
  <si>
    <t>Evolution: Founding theories and principles</t>
  </si>
  <si>
    <t>EVA</t>
  </si>
  <si>
    <t>https://api2.labster.com/simulation/a0K2X00000zhEw2UAE/play</t>
  </si>
  <si>
    <t>HS-LS4-1
HS-LS4-4
Partially HS-LS3-3
HS-LS4-2
HS-LS4-3
HS-LS3-1</t>
  </si>
  <si>
    <t>1.) Investigate the process of evolution
Critically determine how evolutionary processes have contributed to contemporary life
Describe how the theory of evolution was derived
Explain the concepts of natural selection, genetic drift, and mutation
Apply the Hardy-Weinberg principle to demonstrate genetic variance in evolution
2.) Describe and compare the structural and functional organization of the major kingdoms of Life
Explain the evolutionary relationships linking and separating the five kingdoms
Predict the physiological and anatomical features of organisms within a kingdom and group
Explain why viruses are not part of any kingdom</t>
  </si>
  <si>
    <t xml:space="preserve">Follow the million-year evolutionary journey of a canid colony as you create random mutations in their DNA and critique biological evidence to build a taxonomic tree that unites all life on Earth.
</t>
  </si>
  <si>
    <t xml:space="preserve">Have you ever wondered how the tiny, friendly Chihuahua is related to the wild and ferocious ancestor canids of prehistory? In this simulation, we’ll explore the evidence that built the Theory of Evolution and the incremental genetic steps taken as one species branches from another.
Building the Tree of Life
Build your own taxonomic tree by comparing the biological differences that discriminate between the major kingdoms of life. To complete your tree, you’ll examine the fossil evidence for evolutionary divergence and assign the defining features to each kingdom.
Examining troublesome species
Once your tree is strong and clear, you’ll experiment with placing troublesome organisms into different kingdoms. Sometime morphology alone can’t discriminate between species, so you’ll need to turn to the phylogenetic evidence to help determine the lineage of a species.
Travel through time with a colony of canids
Evolution takes place over millions of years so experimenting with genetic information is practically impossible! In the virtual lab, you can time jump your way through thousands of years to observe the impact of random mutations you make in an organism’s DNA. Using Hardy-Weinberg theory, you will predict the genetic profile of your colony. How will your creatures look and behave over a million years?
</t>
  </si>
  <si>
    <t xml:space="preserve">Add bacteria characterisic to the phylogenetic tree (explains tooltips) (7:43 in screencast) (Visualisation, learn by doing, game-like)
Add bacteria characterisic to the phylogenetic tree (explains tooltips) (7:43 in screencast) (Visualisation, learn by doing, game-like)
Genetic mutations within populations (19:50 in screencast) (Visualisation, experiment)
Genetic mutations within populations (19:50 in screencast) (Visualisation, experiment) 
How climatic conditions may influence genetic mutations on holotable (with hypothesis) (24:30 in screencast) (Visualation, hypothesize, animation)
How climatic conditions may influence genetic mutations on holotable (with hypothesis) (24:30 in screencast) (Visualation, hypothesize, animation)
</t>
  </si>
  <si>
    <t>5.3 Classification of biodiversity
5.2 Natural selection
1.5 The origin of cells
5.1 Evidence for evolution</t>
  </si>
  <si>
    <t>Biology Big Idea 1: Evolution</t>
  </si>
  <si>
    <t>a0K7R000011IKV5UAO</t>
  </si>
  <si>
    <t>Cellular Respiration: The Krebs Cycle</t>
  </si>
  <si>
    <t>CR2</t>
  </si>
  <si>
    <t>Explain the stages and reactions of the Krebs cycle
State the products of the Krebs cycle
Locate the Krebs cycle reactions within the cell</t>
  </si>
  <si>
    <t xml:space="preserve">Help a basketball team learn about what happens in the second stage of cellular respiration, the Krebs cycle, to help them improve their longevity in the game!
</t>
  </si>
  <si>
    <t xml:space="preserve">This short, targeted simulation is adapted from the full-length “Cellular Respiration” simulation.
What happens to the two pyruvate molecules after glycolysis? In this simulation, you will further your understanding of cellular respiration by taking a closer look at mitochondria and the second stage of aerobic respiration: the Krebs cycle, also known as the citric acid cycle. The council has hired you to pass on your knowledge of metabolism to the basketball team to help them understand the science behind exercise and metabolism, so they can improve their training and maintain stamina during their game.
Evaluate The Krebs Cycle
Observe how the product of the first stage of glycolysis, the pyruvate molecule, is significant for the next step of aerobic respiration, the Krebs cycle. Getting up close and personal with a giant sized mitochondrion, understand the relation of the two processes by inserting the pyruvate molecule in the matrix. You will evaluate the stages of the Krebs cycle by completing each step through an engaging and interactive activity, exploring the different components and reactions that take place.
Review your Knowledge
Throughout the simulation engaging quiz questions will be asked to reinforce your knowledge of the Krebs cycle, to further your learning of aerobic respiration and metabolism. To accompany the quiz questions there are relevant theory pages and informative diagrams to aid your learning.
Pass on your knowledge
Having learned about the second stage of aerobic respiration you are able to pass on your knowledge to the basketball players, so they too can understand the science behind metabolism and exercise and improve their training.
</t>
  </si>
  <si>
    <t>a0Kw000000OwuRtEAJ</t>
  </si>
  <si>
    <t>Embryology: Discover the genetics of limb development</t>
  </si>
  <si>
    <t>EMB</t>
  </si>
  <si>
    <t>HS-LS4-1</t>
  </si>
  <si>
    <t>Light microscopy
Next Generation Sequencing
Limb bud dissection
Chicken egg windowing</t>
  </si>
  <si>
    <t>Window a chicken egg
Dissect a limb bud
Identify different Hamilton-Hamburger stages of chick development
Analyze Next Generation Sequencing data</t>
  </si>
  <si>
    <t xml:space="preserve">Dissect chicken and mouse embryos to visualize and analyze embryonic development. Compare genetic results from the model organisms with the genetic laboratory results from a human case study to determine the cause and effect of Liebenberg Syndrome. 
</t>
  </si>
  <si>
    <t xml:space="preserve">What determines whether a body grows an arm or a leg? 
In the Embryology simulation, you will learn how to window a chicken egg and decipher the Hamburger-Hamilton stages of chick embryonic development using a light microscope. Supplement your observations with Next Generation Sequencing of mice embryos to pinpoint the genes involved in limb development.
Investigate a family’s genetic condition
In this simulation, you will first uncover the basis of a patient’s inherited genetic condition. Begin by identifying common and specific genes involved in hindlimb and forelimb development using Next Generation Sequencing of mouse limb bud RNA. You will then make an educated hypothesis about which gene is mutated in Liebenberg Syndrome based on the phenotype.
Experiment with Embryonic Development
To understand and analyze the different stages of embryonic development, you will learn how to incubate chicken eggs and window them at different times to observe morphological changes. Observe the various stages of embryonic development by using a light microscope, and view and compare larger-than-life 3D models of chick embryos at different Hamburger-Hamilton stages of development.
Next, compare the morphological and genetic similarities between model organisms and human embryonic development: what are the evolutionary reasons for similarities between embryonic development in animals? To better understand these similarities, you will perform a mouse limb bud dissection in preparation for measuring the gene expression levels in different tissues throughout development.  Analyze multiple types of Next Generation Sequencing data output to hypothesize the impact of over- or under-expression of different genes involved in limb development.
Compare Genetic Expression Levels
Use Next-Generation Sequencing to determine RNA expression levels of healthy subjects and predict the effects of incorrect gene expression levels on limb development. Will you be able to figure out which genetic mutations affect limb development in Liebenberg Syndrome?
</t>
  </si>
  <si>
    <t xml:space="preserve">Biology Unit 3: Genetics
</t>
  </si>
  <si>
    <t>Topic 6.8: Biotechnology</t>
  </si>
  <si>
    <t>a0K7R000011IKPLUA4</t>
  </si>
  <si>
    <t>Introduction to Protein Synthesis</t>
  </si>
  <si>
    <t>PS1</t>
  </si>
  <si>
    <t>English (United States)
Spanish
Italian
German
French</t>
  </si>
  <si>
    <t>High level content, may support HS-LS1-1</t>
  </si>
  <si>
    <t>Protein synthesis</t>
  </si>
  <si>
    <t>Understand the translation process from mRNA to amino acid
Understand the protein synthesis processing in the ribosome
Identify the primary, secondary, tertiary and quaternary structures of protein, and describe how they are related to each other</t>
  </si>
  <si>
    <t xml:space="preserve">Explore the structure of proteins and learn about the synthesis process inside the cells. 
</t>
  </si>
  <si>
    <t xml:space="preserve">This short, targeted simulation is adapted from the full-length “Protein Synthesis” simulation.
Discover how proteins are synthesized! In this simulation, you will learn about transcription of DNA to RNA, the translation of RNA to amino acids, and the formation of proteins from amino acids. You will also learn about the primary, secondary, tertiary, and quaternary structures of protein in a 3D animation. Do you know how a DNA sequence can be processed to synthesis a protein?
Study the transcription and translation processes
Begin by learning about the transcription process of DNA to RNA. Discover the translation process where an RNA sequence is read by a ribosome inside a cell and the corresponding to amino acids are made. With these two processes any protein can be made. How do the amino acids form different proteins?
Synthesis of proteins from amino acids
Find out how amino acids are assembled to make proteins. A 3D animation describes how triplets of codons in the RNA sequence are translated into amino acids. Observe how these amino acids are joined together by peptide bonds to create a polypeptide chain: this is the primary structure of a protein. Then watch as the primary structure is folded into secondary, tertiary and quaternary structures. Discover the two main types of secondary structure, and see an example of how the tertiary structure of a protein can be modified post-translation.
Review your knowledge
Put your knowledge of protein synthesis to the test in quizzes throughout the simulation. Do you know the difference between DNA and RNA? How is a protein synthesised in cells?
</t>
  </si>
  <si>
    <t>Biology 2.7 DNA replication, transcription and translation</t>
  </si>
  <si>
    <t>Biology 1.3 Introduction
to Biological Macromolecules</t>
  </si>
  <si>
    <t>a0K7R000016wlaHUAQ</t>
  </si>
  <si>
    <t>Immunology: Immunoassay for detecting SARS-CoV-2 antibodies</t>
  </si>
  <si>
    <t>IG3</t>
  </si>
  <si>
    <t>https://api2.labster.com/simulation/a0K7R000016wlaHUAQ/play</t>
  </si>
  <si>
    <t>English</t>
  </si>
  <si>
    <t>Anatomy &amp; Physiology
Biochemistry
Biotechnology</t>
  </si>
  <si>
    <t>Enzyme-linked immunoassay</t>
  </si>
  <si>
    <t>Explain the concept of diagnostic serology
 Process samples through IgG and IgM detection immunoassays
Relate antibody detection data from samples to potential exposure and infection statuses</t>
  </si>
  <si>
    <t xml:space="preserve">Investigating antibody production patterns in populations helps us understand how diseases like COVID-19 spread. Conduct immunoassays to detect blood serum IgG and IgM to discover the vaccination and infection status of a community exposed to SARS-CoV-2.
</t>
  </si>
  <si>
    <t xml:space="preserve">This short, targeted simulation is adapted from the full-length Introduction to Immunology simulation. 
Have you ever wondered how the research institutes monitor the infection status of various diseases? How do they keep track of SARS-CoV-2 spread in communities? During this simulation, you’ll undertake an important global health investigation. Will you become an expert in serology and add to the planet’s immunological understanding?
Become a part of the research team
Researchers from around the world collaborate to give humanity the broadest possible understanding of pathogenicity, infection rates and the changing prevalence of diseases across the world. Confirming the immunization rates and the presence of new infections and cases of COVID-19 in local communities is vital to help allocate healthcare resources to populations worldwide. Today you will become a part of that research team.
Investigate immunity using serological techniques
As a part of the team, you will be undertaking your own serological investigation and perform an enzyme-linked immunoassay on serum samples to detect the presence of IgG and IgM antibodies related to SARS-CoV-2 virus. Don’t worry, we will guide you on each step to make sure our data is reliable and can contribute to the research.
Analyze data from samples and draw conclusions
In the end, you will analyze your data and draw conclusions about the vaccination and infection status in the community. What other conclusions can you draw from your data? Do you think you help healthcare professionals better protect communities around the world?
</t>
  </si>
  <si>
    <t>Biology 11.1
6.2 The blood system
Biology 6.3 Defence against infectious disease</t>
  </si>
  <si>
    <t>a0K2X000011U2nSUAS</t>
  </si>
  <si>
    <t>Aseptic Technique: Culture your sample without contamination</t>
  </si>
  <si>
    <t>GMP</t>
  </si>
  <si>
    <t>Culturing
Aseptic Technique</t>
  </si>
  <si>
    <t>Understand the principles of aseptic technique for the prevention of infection and contamination
Create and maintain a sterile work area
Use sterile equipment and consumables correctly
State potential sources of microbial contamination
Assess whether a sample was contaminated</t>
  </si>
  <si>
    <t xml:space="preserve">Help a microbiologist prepare a pure culture that can be used to identify a microbe causing an infection! Use good aseptic technique to avoid contamination of the sample, ensure your own safety, and avoid surprise fires in the lab.
</t>
  </si>
  <si>
    <t xml:space="preserve">This simulation, along with “Fermentation: Optimize bio-ethanol production,” was adapted from learning objectives in the original  “Fermentation” simulation. For more information on this topic, see Labster's Microbiology simulations.
A patient sample has arrived in the microbiology lab. Will you be able to culture it using good aseptic technique? Learn about aseptic technique and what you should pay attention to when preparing a sterile work area, sterilizing equipment and reagents, and decontaminating the work area after you finish your experiment.
Preparing a sterile field
You will start off by preparing the sterile work area. Use your own microbiology knowledge, the tooltips, and theory pages to ensure you are using good aseptic technique. Don’t worry if you make a mistake and your work area is not quite sterile. In the virtual lab, Dr. One can guide you to repeat some steps without losing several hours like you would in the physical lab.
Culturing and cleaning up
Next, you will culture your sample and the appropriate control using sterile equipment and reagents. Once you have placed your samples in the incubator: it’s clean up time! Dr. One will again guide you if you accidentally contaminated one of the samples or accidentally set the lab on fire.
Analyzing your results
After the incubation, check your samples to see if you have used correct aseptic technique throughout the experiment. Will you be able to create a pure culture that the microbiologist can use to identify an unknown microbe?
RELATED SIMULATIONS
Fermentation: Optimize bio-ethanol production
Fermentation
</t>
  </si>
  <si>
    <t>a0K2X00000jGcetUAC</t>
  </si>
  <si>
    <t>Titration: Neutralize an acid lake contamination</t>
  </si>
  <si>
    <t>TRV</t>
  </si>
  <si>
    <t>https://api2.labster.com/simulation/a0K2X00000jGcetUAC/play</t>
  </si>
  <si>
    <t>French (Canada)
English (United States)</t>
  </si>
  <si>
    <t>HS-PS1-6, HS-PS1-7</t>
  </si>
  <si>
    <t>Acid-base titration</t>
  </si>
  <si>
    <t>Assemble the apparatus required for titration
Describe the function of each part of the titration apparatus
Explain the general steps of a colorimetric acid-base titration and its uses
Perform a titration experiment
Describe the role of the 3 main reagents used in a titration: sample, titrant, and indicator
Explain what is the endpoint of a titration and the role of the indicator
Explain why the use of high-precision volumetric material is essential for a titration
Calculate the concentration of the titrated solution from the results of the titration experiment</t>
  </si>
  <si>
    <t xml:space="preserve">Finding the concentration of an acid can be tedious and boring. Join a science expert to learn how to drop the base in style!
</t>
  </si>
  <si>
    <t xml:space="preserve">Counting potatoes in a bag would be pretty easy. You can feel, see, and touch the potatoes. Now imagine counting the amount of acid in a water sample. How would you do that? In this simulation, you will embrace the power of the titration technique. With appropriate lab apparatus, a chemical indicator and a base solution, you can determine the concentration of any acid.
Assemble the apparatus for titration
A successful experiment starts with good preparation. You will need a burette, a stand, a clamp and a flask to begin the titration procedure. Proper assembly of the apparatus is paramount to a successful titration. In this simulation, we will help you ace the assembly process so that once you go to the real-life lab, you will be able to Recognize and explain the function of each part of the apparatus used in the titration technique.
Performing titration
Once the assembly is complete, you are ready to drop the base! The best thing about this simulation is that you can perform the titration multiple times. But in science, many repetitions doesn’t always lead to improved accuracy. You have to figure out how many times you should repeat the experiment to achieve an accurate result. You also have the freedom to experiment with multiple indicators, various sample and titrant volumes.
Analyzing the titration results
Analyzing the titration results requires an understanding of the basic stoichiometry concept. You can try to do the analysis yourself or let us guide you through the analysis, where you’ll go through the method of determining the concentration of the acid step-by-step.
Will you be able to perform the titration and calculate the acid concentrations?
</t>
  </si>
  <si>
    <t>8.2 Properties of Acids and Bases
8.3 The pH Scale
1.3 Reacting Masses and Volumes</t>
  </si>
  <si>
    <t>4.6 Introduction to Titration
8.5 Acids-Base Titrations</t>
  </si>
  <si>
    <t>a0K7R000011IMpQUAW</t>
  </si>
  <si>
    <t>Pipetting: Selecting and Using Micropipettes</t>
  </si>
  <si>
    <t>PI1</t>
  </si>
  <si>
    <t>https://api2.labster.com/simulation/a0K7R000011IMpQUAW/play</t>
  </si>
  <si>
    <t>Universal Scientific Skills
General Biology
General Chemistry
General Science</t>
  </si>
  <si>
    <t>Explain why micropipettes are used in laboratory settings
Choose the correct pipettor for a given use case
Describe to correct use of the two stops on a micropipette plunger</t>
  </si>
  <si>
    <t xml:space="preserve">Learn how to handle micropipettes, which are one of the most important pieces of laboratory equipment. Get ready to show off your pipetting skills for those technical microscale experiments when you enter the lab for the first time.
</t>
  </si>
  <si>
    <t xml:space="preserve">This short, targeted simulation is adapted from the full-length “Pipetting: Master the technique” simulation.
Micropipettes are the extended arms of every aspiring scientist. In this simulation, you will be introduced to the basics of pipetting as you dive right into trying your new skill out in the lab. Step by step, you will learn how to adjust the volume on the P20, P200, and P1000 pipette, use the two ‘stops’ of the plunger and find out which pipette to use for which volume range. You will also learn some tricks about pipetting more accurately in the microliter range. Will you be able to select the correct micropipette when you are given the challenge to do so?
Try out the P1000 Micropipette
After your introduction, you will be able to get hands-on experience with the P1000 micropipette, exploring all its parts and functions. While selecting the right pipette tip to P1000, you will also learn the importance of sterile work. You will get to explore the measuring range of a calibrated P1000 pipette by using the thumbwheel and practice aspirating and dispensing by adding a common buffer to a fresh microcentrifuge tube.
Become a master of pipetting
You will learn about the benefits of microscale experimentation to understand why micropipettes are essential instruments for laboratory work. In our virtual labs, we use air-displacement pipettes that aspirate and dispense liquid samples. For the best pipetting technique, you will first learn about the two stops on the plunger, the measurement ranges of P20, P200, and P1000 pipettes and interpret the volume display of micropipettes. This knowledge is essential if you want to accurately and precisely measure small volumes in a laboratory setting.
Select the correct micropipette
Finally, you will be presented with a challenge to choose the correct micropipette for a hypothetical task. Will you be able to decide between the P20, P200, or the P1000 for the most accurate pipetting?
</t>
  </si>
  <si>
    <t>Generic support for relevant Lab Investigations</t>
  </si>
  <si>
    <t>a0Kw000000cjHoLEAU</t>
  </si>
  <si>
    <t>LSC</t>
  </si>
  <si>
    <t>German
Spanish
French
Italian
Portuguese (Brazil)
English (United States)</t>
  </si>
  <si>
    <t>Biology
Lab Safety</t>
  </si>
  <si>
    <t>Universal Scientific Skills
General Biology
General Science</t>
  </si>
  <si>
    <t>Lab safety support</t>
  </si>
  <si>
    <t>Use the correct clothing to work in the lab
Describe the do's and don'ts in a laboratory
Correctly use the lab safety equipment
React in an emergency situation</t>
  </si>
  <si>
    <t xml:space="preserve">Survive your first day in the lab by identifying the different hazards you might encounter in an unsafe laboratory. You will be introduced to the lab dress code, safety equipment and the do's and don'ts when working in a lab.
</t>
  </si>
  <si>
    <t xml:space="preserve">Laboratories can be very dangerous, especially if you’ve never set foot in one before. So in this simulation, you’ll get the chance to make your debut in a virtual one! You will learn how to use the lab safety equipment and how to react in case of an emergency. Detect and eliminate sources of danger and pass on your lab safety knowledge to friends.
Identify hazards
Safety first! Always pay attention to potential hazards when you enter a lab. In this simulation, you will create a tidy and safe working environment by identifying and eliminating hazards in the lab. You will be introduced to the lab safety rules and the safety equipment, which will help you and your colleagues if something was to go wrong in a real lab.
Emergency training
You will be introduced to the basic hazard symbols used to categorize dangerous materials. You’ll use this knowledge to prevent dangerous situations such as acid spills. But you will also learn how to deal with unlabeled, potentially hazardous chemicals. By mastering such situations in this simulation, you won’t have to worry about being exposed to any real danger. You will learn how to operate the eye-wash and also get an introduction to various other pieces of lab safety equipment.
Spread your knowledge
It is important to share your newly acquired knowledge with your colleagues. In this simulation, you will meet your friend Lucy who’s never worked in a lab before. Pass on your lab safety knowledge and help her dress appropriately for a day in the lab.
Will you be able to apply your knowledge and make sure that you and your friend stay safe in the laboratory?
</t>
  </si>
  <si>
    <t xml:space="preserve">This simulation, which can be accessed on Labster's web, exists to illustrate the capabilities of Labster's simulations and to teach about lab safety in a chemistry lab. In it students are taught to identify potential hazards in the lab and on their own person when they are in the lab, and how to deal with dangerous situations such as acid spillas or fires.  (internal notes
)
Travel to the moon (00:45 in screencast) (Visualisation)
Travel to the moon (00:45 in screencast) (Visualisation)
Identyfing safety hazards in the lab (3:43 in screencast) (Learn by doing, Lab technique)
Identyfing safety hazards in the lab (3:43 in screencast) (Learn by doing, Lab technique)
Dealing with acid spills (8:35 in screencast) (Learn by doing, Lab technique, Experiment)
Dealing with acid spills (8:35 in screencast) (Learn by doing, Lab technique, Experiment) 
</t>
  </si>
  <si>
    <t>Supports The Laboratory Safety Institute’s Laboratory Safety Guidelines</t>
  </si>
  <si>
    <t>a0K7R000010rr6xUAA</t>
  </si>
  <si>
    <t>Spectrophotometers: Building and exploring the instrument</t>
  </si>
  <si>
    <t>ENQ</t>
  </si>
  <si>
    <t>English (United States)
Italian
Spanish
French
German</t>
  </si>
  <si>
    <t>General Science
General Chemistry
General Biology
Analytical Chemistry</t>
  </si>
  <si>
    <t>Technical support for relevant Lab Investigations</t>
  </si>
  <si>
    <t>Summarize how a spectrophotometer is used to measure absorbance data
Link the major components of a spectrophotometer to their functions within the instrument
Choose an optimal wavelength for measuring a compound of interest using absorbance spectrum data</t>
  </si>
  <si>
    <t xml:space="preserve">Build your own spectrophotometer to discover how you can measure substances with light
</t>
  </si>
  <si>
    <t xml:space="preserve">This targeted mini-simulation is part of the larger “Spectrophotometry: Learn the Beer-Lambert law with absorbance experiments.”
The spectrophotometer is an unsung hero of many important discoveries in chemistry, life sciences, and beyond. In this simulation, you’ll explore the mechanics at the heart of the technique.
Build your spectrophotometer 
Go under the hood of the spectrophotometer and solve the puzzle of how its components fit together. Can you figure out which pieces do what, and how they all work together in the finished instrument?
Over four brief missions, you’ll cover the core concepts of photometric investigation (including why different substances require different instrument settings),  the relationship between concentration and absorbance, and how light can be harnessed as a powerful diagnostic tool for scientific exploration.
Explore the instrument without worrying about mistakes!
During the spectrophotometer building mission, you can try out different configurations and see how they impact the lightpath used to measure a sample -- all without worrying about expensive mistakes. Try out different ideas, and learn as you go! The complexity of the spectrophotometer’s components and function increases over four levels of interaction, guiding you from photometric first principles to data interpretation for protocol optimization.
Interpret absorbance spectra to find your experiment’s optimal settings
Once your instrument is up and running, you’ll need to determine the optimal settings for running an experiment. Using absorbance spectra of some compounds of interest, you’ll interpret the data and figure out how to best measure a substance of interest using specific wavelengths of light. Can you master the technique and unlock the full potential of spectrophotometry?
RELATED SIMULATIONS
Spectrophotometry: Learn the Beer-Lambert law with absorbance experiments
Enzyme Kinetics
</t>
  </si>
  <si>
    <t>Generic technical support for relevant Lab Investigations</t>
  </si>
  <si>
    <t>a0K2X0000114d9BUAQ</t>
  </si>
  <si>
    <t>Simple Distillation: Recycle waste from biodiesel production</t>
  </si>
  <si>
    <t>MH8</t>
  </si>
  <si>
    <t>Explain the application of the distillation technique
Calculate the mole % composition of a mixture
Describe how the mole % composition of the mixture changes as the distillation proceeds
Set up a simple distillation experiment and describe the function of the different components
Justify the correct assembly of the cooling system and the location of the thermometer
Interpret boiling point composition curves and temperature vs. volume plots
Understand the dependency of the boiling temperature on the atmospheric pressure
Explain when to use simple or fractional distillation and why</t>
  </si>
  <si>
    <t xml:space="preserve">Use the technique of simple distillation to help your colony on Mars purify the waste generated by the production of biodiesel from algae (water, glycerol, and methanol).
</t>
  </si>
  <si>
    <t xml:space="preserve">Resources in your new colony on Mars are limited, so anything you can do to convert waste into a useful product can be a life-changer.
In this simulation, your mission is to use the distillation technique to separate and recycle the waste compounds generated by the production of biodiesel from algae (water, glycerol, and methanol) so they can be reutilized.
Set up the distillation equipment
Start by setting up the equipment correctly. Every part of the apparatus has a function and needs to be assembled properly for the experiment to be successful. Make sure everything is in the right place before you start the experiment.
Follow the distillation experiments in real time
Once you start the distillation, you will be able to follow the temperature versus volume plot in real time. You will need to collect different samples during the experiment and Dr. One will provide you the boiling point composition curves so you can understand what is happening during the distillation process in both the distillation apparatus and the collection flasks.
Analyze your results. Did you complete your mission?
Look at your data and reflect about your results. Were you able to separate the three components from your sample? Are there any other experiments you can do to further optimize the mixture separation?
</t>
  </si>
  <si>
    <t>a0Kw000000JFMjQEAX</t>
  </si>
  <si>
    <t>ELISA</t>
  </si>
  <si>
    <t>ELI</t>
  </si>
  <si>
    <t>Explain the principle of different ELISA techniques
Apply sandwich ELISA to quantify protein samples
Analyze the standard curve of ELISA experiment
Understand the function of reagents and equipment used in ELISA
Describe the basic troubleshooting process of ELISA</t>
  </si>
  <si>
    <t xml:space="preserve">Help a scientist detect and quantify proteins by using one of the most popular techniques in molecular biology.
</t>
  </si>
  <si>
    <t xml:space="preserve">Trying to capture a specific protein amongst thousands of types of proteins is like looking for a needle in a haystack. In the ELISA simulation, you will join scientists who are using a groundbreaking technique for detecting and quantifying substances, such as protein. The method is called Enzyme-linked immunosorbent assay (ELISA). You will help Dr. Lisa quantify Factor IX protein, which is used for hemophilia drugs.
Detecting Factor IX
In the simulation, Dr. Lisa is working on producing protein used for treating hemophilia patients. The protein is called Factor IX. She produces them in different cell lines. However, she needs your help to determine which cell lines produce Factor IX the most. To help Dr. Lisa, you will perform an ELISA technique.
Performing ELISA
Scientists have developed numerous kinds of ELISA. You will learn the principles of the most common ELISA method. ELISA is about antibody and antigen, which you should already be familiar with. Once you understand the principle of each type of ELISA, you will have to decide which ELISA technique you want to use.
Analyzing the results
Not all experiments run smoothly. In this simulation, you will compare good and bad results. By comparing the results, you will be able to perform basic troubleshooting for your results. Finally, you will interpolate your data to find out which cell lines are producing Factor IX the most.
Will you able to help Dr. Lisa in reducing the production cost of hemophilia drug?
</t>
  </si>
  <si>
    <t>a0Kw000000Iko9bEAB</t>
  </si>
  <si>
    <t>Eutrophication</t>
  </si>
  <si>
    <t>EUT</t>
  </si>
  <si>
    <t>https://api2.labster.com/simulation/a0Kw000000Iko9bEAB/play</t>
  </si>
  <si>
    <t>Danish
English (United States)</t>
  </si>
  <si>
    <t>HS-ESS2-5, HS-ESS3-6, HS-ETS1-1, HS-LS2-4</t>
  </si>
  <si>
    <t>SIPROS</t>
  </si>
  <si>
    <t>Fish necropsy/dissection
Sampling
Spectrophotometry</t>
  </si>
  <si>
    <t>Understand the nitrogen cycle and its importance for living beings
Understand the concept of eutrophication and harmful algal bloom, and the impact that it has on the ecosystem
Analyze dissolved nitrogen levels in the water sample
Understand the importance of sampling from different locations to get representative data</t>
  </si>
  <si>
    <t xml:space="preserve">Utilize microscopy and spectroscopy techniques to solve a massive fish kill mystery. Investigate how dissolved nitrogen levels and an algal bloom are linked to the fish population.
</t>
  </si>
  <si>
    <t xml:space="preserve">Join us in the Eutrophication lab, where you take the role as an environmental investigator and study concept of eutrophication and harmful algal bloom. Use the knowledge you acquire to to solve a massive fish kill mystery.
Help the suffering fish
In the Marine Biology lab, you discovered that the fish were dying of suffocation, and now you want to know more about what caused the low dissolved oxygen levels. In the Eutrophication lab, you will use microscopy to analyze the biological matter in the water and spectrophotometry to study dissolved nitrogen levels. This will give you the data you need to conclude your investigation.
Analyze water samples
In the Marine Biology Lab you discovered that the low oxygen in the water was causing the fish to suffocate. Looking for more data, you will now analyze the water sample using the microscope. In this way you can study the biological matter in the water to find out if the algae could have something to do with the low oxygen levels.
Determine the source of the algal bloom
In the Eutrophication lab, you will learn about the nitrogen cycle and how human activity can influence it. You will analyze nitrogen content in the water sample using spectrophotometry. An interactive map will help you determine the source of the excessive nitrogen run-off that caused the harmful algal bloom.
Will you be able to solve the fish kill mystery?
</t>
  </si>
  <si>
    <t>4.2 Energy flow
Biology C.6 Nitrogen and phosphorus cycles</t>
  </si>
  <si>
    <t>Biology 8.7 Disruption to Ecosystems</t>
  </si>
  <si>
    <t>a0Kw000000Iko9XEAR</t>
  </si>
  <si>
    <t>Polymerase Chain Reaction</t>
  </si>
  <si>
    <t>CSI</t>
  </si>
  <si>
    <t>https://api2.labster.com/simulation/a0Kw000000Iko9XEAR/play</t>
  </si>
  <si>
    <t>Gel electrophoresis
DNA profiling
Polymerase Chain Reaction (PCR)</t>
  </si>
  <si>
    <t>Explain the function of DNA polymerase in DNA replication and synthesis
Perform a PCR experiment using DNA from a blood sample as the template
Carry out a gel electrophoresis that separates DNA according to its size
Interpret the unique signature of the human genome and the use of tandem repeated regions (TRR) in DNA profiling</t>
  </si>
  <si>
    <t xml:space="preserve">Learn the techniques and application of Polymerase Chain Reaction and Gel Electrophoresis. Explore a real-world application, such as analyzing unique genetic fingerprints to solve a murder case.
</t>
  </si>
  <si>
    <t xml:space="preserve">In the Polymerase Chain Reaction (PCR) simulation, you will be thrown right into a crime scene where a murder has taken place. After investigating the crime scene, your first task is to collect blood samples in the hope that the murderer has left traces of their DNA.
Analyze DNA
After sampling, you will go to the lab to isolate and analyze the sample of DNA you collected. By using a PCR kit, a thermocycler, and the purified DNA from the crime scene, it is up to you to mix the correct reagents and perform the PCR experiment.
See the structure of DNA and its replication up close
A 3D animation will show the PCR experiment at the molecular level, illustrating the structure of DNA and its replication. Quiz questions will be asked throughout the experimental process, as well as at specific steps of the PCR itself.
Identify the murderer
In the PCR simulation, you will look at collected and other prepared samples from the suspects on a gel and then compare the patterns that emerge.
Will you be able to identify the murderer?
</t>
  </si>
  <si>
    <t>B.4 Medicine
Biology 3.5 Genetic modification and biotechnology
2.7 DNA replication, transcription and translation</t>
  </si>
  <si>
    <t>a0Kw000000Iko9nEAB</t>
  </si>
  <si>
    <t>Mitosis: Using a toxic compound from the yew tree in cancer therapy</t>
  </si>
  <si>
    <t>MIL</t>
  </si>
  <si>
    <t>Cellular and Molecular Biology
Anatomy &amp; Physiology</t>
  </si>
  <si>
    <t>HS-LS1-4</t>
  </si>
  <si>
    <t>Light microscopy
Fluorescence microscopy
Sample preparation</t>
  </si>
  <si>
    <t>Understand and visualize basic concepts about eukaryotic cells such as main cellular components and DNA packaging by immersive animations
Understand the key characteristics of the cell cycle's different stages: interphase (G1, S and G2) and mitosis
Use different microscopy techniques to observe the different phases of the mitosis (Prophase, Metaphase, Anaphase, Telophase) and describe their main characteristics
Explain the cell cycle checkpoints and name the molecules that control them (cyclins and cyclin-dependent kinases) and their function
Describe the main differences between mitosis and meiosis</t>
  </si>
  <si>
    <t xml:space="preserve">Join a cell biology research group to find out how a poisonous compound from a yew tree can be used in cancer therapy. You will be immersed in an animation of a human cell and use light and fluorescence microscopy to study cell division.
</t>
  </si>
  <si>
    <t xml:space="preserve">How can a toxic compound be used in medicine? Paclitaxel, isolated from yew trees, can kill large animals like horses but is also used in cancer therapy. In this simulation, you will learn how cells divide and how they are affected by poisonous paclitaxel.
How is DNA packaged?
Start by diving into a blood sample to find out how DNA is packaged in an immersive animation of the cell. Find the DNA inside the nucleus and then zoom in from the chromosomes all the way to individual nucleotides.
Use microscopy to study mitosis
Understand the different stages of mitosis through interactive graphics and quiz questions. Then, prepare a sample of onion cells to observe the phases of mitosis and find out how each phase contributes to successful duplication of the cell. By now, you will understand enough about mitosis to replicate the process in a computer model.
Test the effect of paclitaxel
Finally, combine all your new skills and knowledge to test the effect of paclitaxel on cultured cells. Will the compound inhibit or accelerate cell division? How will it affect cancer cells or animals who eat the yew tree?
</t>
  </si>
  <si>
    <t xml:space="preserve">A special poisonous compount found in certain tress can be used in cancer therapy as it affect dividing cells. The student will learn about the human cells and the basics of the cell cycle and mitosis, to understand how cells divide. The student will visulize the components of human cells via microscopy and dive into a the cell's well controled cycle and the process of mitosis within the cells in a sample from an onion root tip.  (internal notes
)
Blood sample animation (3.14-6.30) (Visualisation, Lab technique, Animation)
Blood sample animation - The user first prepares a microscope slides with a blood sample to explore human cells. When places on the microscope, an animation starts where the user is transported inside the view of the microscope. The animation focuses on the sample like the microscope would do, zooming in closer ans closer from the cell and into the DNA structure. The user becomes the microscope! (3.14-6.30) (Visualisation, Lab technique, Animation)
Cell cycle diagram - (9.22-11.18 and 20.20-22.30) (Learn by doing, interactive, explore mode)
Cell cycle diagram - A diagram showing the cell cycle and the check points within the cell cycle. The user is first able to click on different parts of the cycle in order to learn about it and answer quizzes. Later the user can tick of boxes that applies certain parts of a cell cycle checkpoint, to understand what is needed for the cell to undergo a check point. This type of interactive diagrams makes learning heavy theory easy to navigate and explore! (9.22-11.18 and 20.20-22.30) (Learn by doing, interactive, explore mode)
Flourescent microscopy (18.11-19.25) (Visualisation, Lab technique, real life)
Flourescent microscopy - The user is able to place microscope sldes with cell samples using a flourescent miscroscope. The cell is shown on the screen, like a real life experience. Quiz questions allows the user to reflect on what the screen and microscope is showing and how it relates to understanding cell growth and dublication. The visuals on the screen are pretty cool! (18.11-19.25) (Visualisation, Lab technique, real life)
</t>
  </si>
  <si>
    <t>1.6 Cell Division</t>
  </si>
  <si>
    <t>Topic 4.6: Cell Cycle</t>
  </si>
  <si>
    <t>a0Kw000000JFMjVEAX</t>
  </si>
  <si>
    <t>Mendelian Inheritance: From genes to traits</t>
  </si>
  <si>
    <t>MEN</t>
  </si>
  <si>
    <t>HS-LS1-4
HS-LS3-1
HS-LS3-2
HS-LS3-3</t>
  </si>
  <si>
    <t>Explain how traits are passed on from parents to their offspring and what causes variation between siblings
Describe Mendel’s Laws of Inheritance in color deficiency
Compare and predict the phenotypes of offspring with given genotypes using Punnett squares
Analyze dominant and recessive alleles, and how they play a part in an individual’s biological make-up</t>
  </si>
  <si>
    <t xml:space="preserve">Investigate the principles of Mendelian inheritance and help a patient determine if his future children will inherit his color-blindness.
</t>
  </si>
  <si>
    <t xml:space="preserve">Did you know that more than 99% of your genes are identical to those found in any other human being on the planet? In this simulation, you will learn how Mendel's postulates can be applied to determine how characteristics are inherited by being passed from one generation to the next.
Cross purebred mice and observe their phenotypes
To understand the fundamental laws of inheritance, you will cross purebred mice and see how their genes can influence their fur color. Can you figure out which fur color is dominant?
Experience inheritance at the cellular level
Dive deeper into the laws of inheritance as you watch how cells divide to become gametes inside the reproductive system. By unraveling the laws of X-linked inheritance, discover why color blindness affects more men than women.
Predict the genotypes in the patient's family
Explore Punnett Squares and Pedigree trees to predict the genetic makeup of a family. What is valid for the fur color in mice, can also be applied to human color blindness! Will you be able to determine if the patient's children will inherit his color blindness?
</t>
  </si>
  <si>
    <t>3.4 Inheritance</t>
  </si>
  <si>
    <t>5.3 Mendelian Genetics</t>
  </si>
  <si>
    <t>a0Kw000000Iko9lEAB</t>
  </si>
  <si>
    <t>Meiosis: Understand how traits are inherited</t>
  </si>
  <si>
    <t>MEL</t>
  </si>
  <si>
    <t>https://api2.labster.com/simulation/a0Kw000000Iko9lEAB/play</t>
  </si>
  <si>
    <t>High level content, may support HS-LS3-1</t>
  </si>
  <si>
    <t>Microscopy
Sample preparation</t>
  </si>
  <si>
    <t>Outline how traits are inherited
Use the microscope to observe the phases of meiosis and understand their main characteristics
Compare phases and outcomes of mitosis and meiosis
Evaluate how meiosis and mitosis build and maintain a complex organism
Understand the basics of assisted reproduction technology</t>
  </si>
  <si>
    <t xml:space="preserve">Follow a couple as they go through IVF treatment in order to have a baby. Understand how traits are inherited from one generation to the next and how cell division plays an important role in forming, growing and repairing the human body.
</t>
  </si>
  <si>
    <t xml:space="preserve">Join an IVF lab to help Martin and Charlotte have a baby. In this simulation, you will learn how traits are inherited and how meiosis contributes to genetic diversity in the population. You will use microscopy to study the process of cell division. You will discover the key differences between meiosis and mitosis and find out how these processes contribute to forming, growing and repairing  the human body.
Meet Martin and Charlotte in the clinic
Meet Martin and Charlotte as they have an appointment to discuss IVF treatment and then join the clinic’s lab to understand meiosis before assisting in the IVF process. Learn how gametes are formed and how they fuse in fertilization.
Use microscopy to study meiosis
Prepare a sample of a lily anther for microscopy and study the phases of meiosis. Then compare meiosis and mitosis and learn how each of these processes contributes to human reproduction. You will complete interactive diagrams of both meiosis and mitosis to create a visual overview for yourself.
Follow the IVF process
Once you fully understand how gametes are formed through meisosis, you will follow the process of fertilization. Screen the resulting embryos to see both sets of parental chromosomes combine to a full set of pairs. Will you be able to help Martin and Charlotte have a healthy baby?
</t>
  </si>
  <si>
    <t>3.3 Meiosis
10.1 Meiosis</t>
  </si>
  <si>
    <t>Unit 5: Heredity</t>
  </si>
  <si>
    <t>a0Kw000000Iko9aEAB</t>
  </si>
  <si>
    <t>Marine Biology: Investigate a massive fish death</t>
  </si>
  <si>
    <t>MBL</t>
  </si>
  <si>
    <t>https://api2.labster.com/simulation/a0Kw000000Iko9aEAB/play</t>
  </si>
  <si>
    <t>High level content, may support HS-ESS3-4, HS-ESS3-6</t>
  </si>
  <si>
    <t>Spectrophotometer
Fish dissecting
Sampling</t>
  </si>
  <si>
    <t>Understand the basic concepts of sample collection
Perform fish necropsy and learn the information you can get from this kind of approach
Learn the concepts of trophic levels, trophic pyramids and the energy flow in an ecosystem
Learn the difference between heterotroph and autotroph organisms
Analyze the level of dissolved oxygen level in your water sample using a spectrophotometer
Learn the concepts of a calibration curve, linear regression and extrapolation</t>
  </si>
  <si>
    <t xml:space="preserve">Become an environmental investigator and solve a massive fish kill mystery. First, learn about the different trophic levels of the ecosystem. You will then perform a fish necropsy and use a spectrophotometer to analyze oxygen levels in the water.
</t>
  </si>
  <si>
    <t xml:space="preserve">Can you get to the bottom of a mysterious massive fish-killing?  In this simulation, you will be an environmental investigator to solve this fish kill mystery. You will learn about oxygen levels in water and its impact on fish, and energy flow in an aquatic food web. You will perform a fish necropsy and analyze the level of dissolved oxygen by gathering data from fish and water samples to help test your hypothesis.
Analyze the oxygen levels in water
You will first have to collect water samples from the bay where the fish were found. Using a spectrophotometer, you will compare these samples to known values to investigate whether low oxygen in the lake could have caused the massive fish death. Do the fish exhibit symptoms that correlate with low oxygen levels?
Dissection of a fish
Complete a fish necropsy without getting your hands dirty! Dive into the dissection to examine how the fish’s physiological responses can shed some light on the cause behind the fish death. In this simulation, you can skip the long waiting times that would normally occur in real-life necropsies and immediately get your hands on the results to continue your investigation.
Solve the mystery
In this fish-killing investigation, you will have to gather several pieces of information that you will need to figure out what caused the massive fish death. Will you be able to put the pieces together to solve the mystery?
</t>
  </si>
  <si>
    <t>a0K2X00000d2VubUAE</t>
  </si>
  <si>
    <t>Kjeldahl Method: Estimate the protein content in food</t>
  </si>
  <si>
    <t>KJL</t>
  </si>
  <si>
    <t>Analytical Chemistry</t>
  </si>
  <si>
    <t>HS-PS1-3, HS-PS2-6</t>
  </si>
  <si>
    <t>Describe the steps involved in the Kjeldahl method
Analyze the nitrogen content of a food sample
Calculate the protein content of a sample from the determined nitrogen content
Explain why the Kjeldahl method cannot be used to identify milk powder that was cut with melamine
Apply the principles of spiking and recovery in analytical chemistry
Interpret basic LC-MS/MS data
Describe the fundamentals of an LC-MS/MS analysis
Argue whether food fraud has been conducted based on available data</t>
  </si>
  <si>
    <t xml:space="preserve">Measure the protein content in a food sample with the Kjeldahl method, and investigate whether the apparent result has been tampered with by using LC-MS/MS.
</t>
  </si>
  <si>
    <t xml:space="preserve">In the Kjeldahl Method simulation, you will learn how to use the Kjeldahl method to determine the protein content of a food sample, and how to use LC-MS/MS to investigate if the sample has been adulterated to make the protein content seem higher than it is.
Analyze a milk powder sample
Your lab has received batch samples of milk powder from 3 different producers. Your mission is to analyze a sample from one of the batches using the Kjeldahl method, in order to determine the exact protein content, and to make sure this is consistent with the reported value.
Tracing the steps of the Kjeldahl method
An animation will introduce you to each step of the analysis, and show what goes on at the molecular level.You will then perform the acid digestion, steam distillation and finally a colorimetric titration, before being challenged with the calculations needed to transfer the lab result to a protein content in the sample.
Is everything what it appears to be?
How can you be certain that your findings are correct? There might be ways to fool the Kjeldahl method! In the second half of the simulation, you will look into how this can happen, and explore the powerful technique LC-MS/MS, which can be used to detect if a known adulterant has been added to any of the received milk powder batches.
Will you be able to safely release the milk powder batches for consumers around the world?
</t>
  </si>
  <si>
    <t>B.2 Proteins and enzymes</t>
  </si>
  <si>
    <t>3.9 Separation of Solutions and Mixtures Chromatography</t>
  </si>
  <si>
    <t>a0Kw000000R2B9yEAF</t>
  </si>
  <si>
    <t>Equilibrium</t>
  </si>
  <si>
    <t>EQU</t>
  </si>
  <si>
    <t>https://api2.labster.com/simulation/a0Kw000000R2B9yEAF/play</t>
  </si>
  <si>
    <t>French (Canada)
English (United States)
Spanish
French
Italian
German</t>
  </si>
  <si>
    <t>HS-PS1-6</t>
  </si>
  <si>
    <t>Predict the directionality of reversible reactions according to Le Chatelier
Calculate the equilibrium constant and reaction quotient
Understand the Haber process</t>
  </si>
  <si>
    <t xml:space="preserve">Learn about equlibrium and help a famous scientist to prevent a global famine by applying your knowledge to increase the yields of fertilizer for the crops.
</t>
  </si>
  <si>
    <t xml:space="preserve">Equilibrium describes the state of a reversible reaction, in which the forward and backward reactions happen at equal rates. In this state, the concentrations of reactants and products are stable and do not change over time. Thus, there are no net changes in the concentrations of the reactant(s) and product(s). Such a state is known as dynamic equilibrium. It is a particular example of a system in a steady state.
Thermodynamics
In thermodynamics a closed system is in thermodynamic equilibrium when reactions occur at such rates that the composition of the mixture does not change with time. Reactions do in fact occur, sometimes vigorously, but to such an extent that changes in composition cannot be observed.
Help out a famous scientist
In chemistry there are several different types of equilibria: thermodynamic equilibrium, diffusive equilibrium, thermal equilibrium, and many more. In the Equilibrium Simulation, you will learn about the general chemical equilibrium and help a famous scientist to prevent a global famine. You will learn how to influence and predict the directionality of reversible reactions in the lab.
Will you be able to apply your knowledge to increase the yields of fertilizer for the crops?
</t>
  </si>
  <si>
    <t xml:space="preserve">Animation of molecules in the state of equilibrium and how they collide with each other (4:03 in screencast) (Visualisation, Animation)
Animation of molecules in the state of equilibrium and how they collide with each other (4:03 in screencast) (Visualisation, Animation)
Analysis on how the equilibrium changes while changing the external conditions (temp, pressure, volume) (8:06 in screencast) (Learn by doing, Experiment)
Analysis on how the equilibrium changes while changing the external conditions (temp, pressure, volume) (8:06 in screencast) (Learn by doing, Experiment)
Assemble apparatus and conduct Haber process (there is also room for a mistake) (21:58 in screencast) (Learn by doing, Game-like, Experiment)
Assemble apparatus and conduct Haber process (there is also room for a mistake) (21:58 in screencast) (Learn by doing, Game-like, Experiment)
</t>
  </si>
  <si>
    <t>7.1 Equilibrium</t>
  </si>
  <si>
    <t>Chemistry 7.6 Properties of the Equilibrium Constant
Chemistry 7.1 Introduction to Equilibrium
Chemistry 7.2 Direction of Reversible Reactions
Chemistry 7.8 Representations of Equilibrium
Chemistry 7.9 Introduction to Le Châtelier's Principle
Chemistry 7.5 Magnitude of the Equilibrium Constant
Chemistry 7.7 Calculating Equilibrium Concentrations
Chemistry 7.3 Reaction Quotient and Equilibrium Constant
Chemistry 7.4 Calculating the Equilibrium Constant
Chemistry 7.10 Reaction Quotient and Le Châtelier's Principle</t>
  </si>
  <si>
    <t>a0K2X00000qMNmYUAW</t>
  </si>
  <si>
    <t>Control of Microbial Growth: Explore decontamination and selective toxicity</t>
  </si>
  <si>
    <t>GRO</t>
  </si>
  <si>
    <t>https://api2.labster.com/simulation/a0K2X00000qMNmYUAW/play</t>
  </si>
  <si>
    <t>-</t>
  </si>
  <si>
    <t>Diffusion Disc Assays
Sterilization techniques
Decontamination methods</t>
  </si>
  <si>
    <t>Explain how and why microbial colonization occurs
Recognize potential sources of contamination.
Describe the consequences of unregulated population growth.
Describe the ideal environments for microbial growth and how they can be manipulated.
Appreciate different levels of selective toxicity
Describe modes of microorganism growth control.
Define selective toxicity and what it means for host organisms.
Differentiate between disinfectants, antiseptics, and antimicrobials.
Explain the utility of antimicrobial agents
Appreciate why different antimicrobials are effective against different infections.
Select an appropriate antimicrobial to target a given microorganism.
Compare the effectiveness of different antimicrobial compounds.</t>
  </si>
  <si>
    <t xml:space="preserve">A dental patient’s recurrent infection is becoming dangerously septic. Your task is to investigate the cause using diffusion disc assays and prevent further cases by exploring sterilization, decontamination &amp; selectively toxic infection control methods.
</t>
  </si>
  <si>
    <t xml:space="preserve">What would you do if the first line treatment for an infection stopped working? How can you do your part to control infection spread in a clinical setting? In this simulation, you will work alongside a dentist to investigate a potentially deadly tooth infection and figure out how to control the spread of microbes using decontamination and sterilization processes.
Test antimicrobial compounds using diffusion disc assays
To discover the reason for the patient’s persistent infection, you will use a diffusion disc assay to investigate the sensitivity of a bacterial infection to a first line treatment. Closely related to the widely Recognized Kirby Bauer assay, the diffusion disc assay will allow you to determine the effectiveness of antimicrobial compounds. By taking the lead in the technical set-up, data acquisition and interpretation parts of the assay you’ll develop a scientifically critical approach to experimentation. Using the virtual lab reduces assay processing time from two days to only a few minutes—a truly focused and engaging experience!
Holographically visualise bacterial growth and death
3D holograms exploring bacterial colony growth in the presence and absence of selectively toxic compounds support your diffusion disc assay investigations.The antimicrobial mechanisms of cell death and the development of resistance will be demonstrated in real-time to create 3D visualizations of these abstract processes.
Share your discoveries
After investigating the patient’s case and critiquing the available decontamination methods available in the lab, June the Dentist is curious about what you’ve done and discovered. What can be revealed about the patient’s infection? Can your patient be saved?
</t>
  </si>
  <si>
    <t>a0Kw000000Iko9SEAR</t>
  </si>
  <si>
    <t>Animal Genetics</t>
  </si>
  <si>
    <t>ANG</t>
  </si>
  <si>
    <t>English (United States)
German
French
Spanish
Italian</t>
  </si>
  <si>
    <t>HS-LS3-1
HS-LS3-2</t>
  </si>
  <si>
    <t>Gel electrophoresis
PCR
Pedigree/ linkage analysis</t>
  </si>
  <si>
    <t>Explain different hereditary traits and modes of inheritance
Construct a pedigree analysis based on observed phenotypes
Perform genome scanning to identify candidate genes for double muscling in cattle
Develop a DNA test for double muscling in cattle</t>
  </si>
  <si>
    <t xml:space="preserve">Learn about the Mendelian inheritance of double muscling in cattle. Find the responsible gene using linkage analysis and learn how mutation in this gene alters gene expression resulting in double muscled cattle.
</t>
  </si>
  <si>
    <t xml:space="preserve">In the Animal Genetics simulation you will learn about Mendelian inheritance and how a mutation in DNA can give rise to an altered phenotype. You will use polymerase chain reaction (PCR) and gel electrophoresis to perform genotyping in order to identify the gene that causes double muscling in cattle.
Fill in the pedigree
As a researcher you will be called to a farm to investigate a case about double muscled cattle. In your first task you will fill in a pedigree to help identify the double muscled cattle. By studying the pedigree, you will learn about heritable traits and whether double muscling is autosomal or sex-linked and whether it is dominant or recessive. You will then draw a blood sample, and from that, extract DNA and perform further experiments in the lab.
Identify the candidate gene
Your next task will be to perform genome scanning, which involves an analysis of the entire genome and identifying the candidate gene by using short tandem repeats (STRs) as markers. By detecting STR patterns and similar gene sequences in double muscled cattle DNA, your goal will be to narrow down the genomic location of the candidate gene. Experimentally, this will be achieved by amplifying the STRs using PCR and analyzing the PCR product size using gel electrophoresis.
Develop a DNA test
After identifying the gene responsible for double muscling, your last task will be to develop a DNA test. This test will be used to determine the origin of organic meat; as it is prohibited to label meat as organic if derived from double muscled cattle. You will use your newly developed DNA test on three meat packages from an organic farm.
Will you be able to use your understanding of animal genetics to find the gene which causes double muscling and develop a reliable commercial test for organic meat?
</t>
  </si>
  <si>
    <t>2.7 DNA replication, transcription and translation</t>
  </si>
  <si>
    <t>5.4 Non-Mendelian Genetics</t>
  </si>
  <si>
    <t>a0K7R000011IMpRUAW</t>
  </si>
  <si>
    <t>Using the Gram Stain to Help Diagnose Meningitis</t>
  </si>
  <si>
    <t>GS5</t>
  </si>
  <si>
    <t>LS2.A-H1</t>
  </si>
  <si>
    <t>Preparation of bacterial smears
The Gram stain technique
Light microscopy</t>
  </si>
  <si>
    <t>Describe the structure of the Gram-positive and Gram-negative bacteria
Appreciate theoretical and technical aspects of the Gram staining procedure
Know the most commonly made mistakes in Gram staining
Critically interpret the results of a Gram staining experiment using a light microscope</t>
  </si>
  <si>
    <t xml:space="preserve">Perform the Gram stain on a sample collected from the patient and use microscopy to identify the presence of bacteria to help guide the proper antibiotic treatment.
Screen reader support enabled.
</t>
  </si>
  <si>
    <t xml:space="preserve">This short, targeted simulation is adapted from the full-length “The Gram Stain: Identify and differentiate bacteria” simulation.
Did you know that there are approximately 5 million-trillion-trillion bacteria in the world? Most of them are harmless, but some can induce disease in an affected host. In this simulation, you will help doctors identify bacteria in a cerebrospinal fluid sample from a patient suspected of suffering from bacterial meningitis.
Visit the patient in the hospital
First, you will visit an ill patient in the hospital, where you will get the chance to talk to the doctor about meningitis and the structures of the central nervous system. You will get the chance to meet a famous bacteriologist from the past, Hans Christian Gram. He will walk you through the four reagents of the Gram stain that interact with structural components of the cell wall to color the bacteria.
Perform the Gram stain
When the patient’s fluid sample arrives at the laboratory, equip yourself with protective gear to prepare a bacterial smear and heat fix it to a glass slide. You are now ready to perform the Gram stain in a safe virtual environment. Made a mistake? No worries, hit the big red button on the workbench to repeat the staining procedure until it becomes second nature.       
Interpret your findings using a microscope 
In the end, you will use a light microscope to interpret the results of your Gram stain. View the microscopic image on the computer screen, and apply immersion oil to increase magnification 1000x! Will you be able to identify the presence of any bacteria in the patient´s cerebrospinal fluid?
</t>
  </si>
  <si>
    <t>Biology 1.3 Membrane structure
Biology 6.3 Defence against infectious disease</t>
  </si>
  <si>
    <t>a0K2X00000d2XiTUAU</t>
  </si>
  <si>
    <t>PIP</t>
  </si>
  <si>
    <t>https://api2.labster.com/simulation/a0K2X00000d2XiTUAU/play</t>
  </si>
  <si>
    <t>Serial dilution
Bradford assay
Pipetting</t>
  </si>
  <si>
    <t>Select the correct micropipette for its purpose
Use the two stops of the pipette
Explain pipetting techniques
Perform a serial dilution
Quantify the protein content in a sample with a Bradford assay</t>
  </si>
  <si>
    <t xml:space="preserve">Micropipettes are the extended arm of every biochemist. In this simulation, you will learn the art of pipetting in a hands-on experiment, as you try to determine the protein content of a corn cob. Will you be able to help LabsterFood Inc. create a breed of corn that contains enough essential amino acids to fulfil a person’s daily requirements? After playing this simulation, you’ll be ready to show off your pipetting skills when you enter the lab for the first time.
</t>
  </si>
  <si>
    <t xml:space="preserve">In the Pipetting simulation, you will determine the amount of essential amino acids in genetically modified corn. Using a micropipette, you will prepare a serial dilution, and measure the protein concentration with a Bradford assay.
Get to know the micropipette
You will be introduced to the basics of pipetting as you dive right into the experiments. Step by step, you will learn how to adjust the volume, use the two ‘stops’ of the pipette, and find out which pipette to use for which volume range. You will also learn tips and tricks to make your pipetting more accurate.
Perform a serial dilution
Once you master the art of pipetting, you will dilute your protein solution 10.000 fold! While you progress through the lab, you will become more and more routined and independent. After this mission, you will understand the benefits of serial dilutions, and be able to perform one by yourself.
Measure the protein content in the sample
In this mission, you will dye your proteins blue, and use your new skills to prepare a microplate for a Bradford assay. In this colorimetric assay, you shine light of a specific wavelength through the plate, and measure the absorbance in each well. Finally, you will compare the absorbances of your sample to a sample of known protein concentration.
Will you be able to calculate the amount of essential amino acids in the corn cob you collected?
</t>
  </si>
  <si>
    <t>a0Kw000000cuT2gEAE</t>
  </si>
  <si>
    <t>Advanced Acids and Bases</t>
  </si>
  <si>
    <t>AAB</t>
  </si>
  <si>
    <t>https://api2.labster.com/simulation/a0Kw000000cuT2gEAE/play</t>
  </si>
  <si>
    <t>English (United States)
German
French
Spanish</t>
  </si>
  <si>
    <t>HS-PS1-2, HS-PS1-5</t>
  </si>
  <si>
    <t>pH measurement</t>
  </si>
  <si>
    <t>Calculate the pH of weak acids and bases
Illustrate the reactions of weak acids and bases
Categorize acids and bases based on their strength
Prepare various types of salts through neutralization
Review the concept of the acid dissociation constant (Ka) and its logarithmic form (pKa)</t>
  </si>
  <si>
    <t xml:space="preserve">Join us in in the exploration of acids and bases and learn all the advanced terms used in chemistry.
</t>
  </si>
  <si>
    <t xml:space="preserve">The concept of strong acids may sound frightening, but did you know that some weak acids can actually be more dangerous than their stronger counterparts? In the Advanced Acids and Bases simulation, you will learn all about the characteristics of weak and strong acids and bases, which will not only help you get a better understanding of chemistry, but also let you help out the lake ranger, Victoria, in the process.
Calculating pH
Victoria is bewildered by the condition of the lake she is monitoring, as all the animals living in the lake have suddenly disappeared. Your first mission in the Advanced Acids and Bases lab is therefore to take water samples of the lake and analyze their pH in the lab. The goal is to try to identify connections between the measured pH and the lake conditions.
Illustrating weak acids and bases
You’ll soon discover that the water samples have different pH levels. Through two molecular animations, you will see how acids and bases get their ‘weak’ and ‘strong’ labels and learn how the acid dissociation constant (Ka) is used to define the strength of acids.
Mixing acids and bases
By applying the concept of neutralization, you can create different types of salt. This will come in handy for solving real-life issues, such as environmental hazards.
Will you be able to connect all the concepts you learned to help out Victoria and save her lake?
</t>
  </si>
  <si>
    <t>8.4 Strong and weak acids and bases</t>
  </si>
  <si>
    <t>8.3 Weak Acid and Base Equilibria
8.4 Acid-Base Reactions and Buffers
8.7 pH and pKa</t>
  </si>
  <si>
    <t>Early Stage Bachelors Level
EHEA First Cycle
Intermediate Stage Bachelors Level
FHEQ 6
US College Year 1
US College Year 2
EHEA Short Cycle
FHEQ 5</t>
  </si>
  <si>
    <t>a0K7R000011IKPmUAO</t>
  </si>
  <si>
    <t>Photosynthesis: Algae pigment analysis</t>
  </si>
  <si>
    <t>ET2</t>
  </si>
  <si>
    <t>https://api2.labster.com/simulation/a0K7R000016wlDxUAI/play</t>
  </si>
  <si>
    <t>Parkinson's Disease
Ion Exchange Chromatography</t>
  </si>
  <si>
    <t>Botany</t>
  </si>
  <si>
    <t>Hill reaction
Spectrophotometry</t>
  </si>
  <si>
    <t>Understand properties of light and why pigments are colorful
Develop a hypothesis and set up an experiment to test it
Understand how to measure the redox potential of the electron transport chain
Interpret absorption spectra</t>
  </si>
  <si>
    <t xml:space="preserve">Help Roxy figure out if a mysterious dark algae is able to do photosynthesis using green light and measure this process with the Hill reaction. 
</t>
  </si>
  <si>
    <t xml:space="preserve">This short, targeted simulation is adapted from the full-length “Electron Transport Chain” simulation.
Find out if a dark colored algae can help with biofuel production. In this simulation, you will help Roxy, the lead engineer in an environmental project, find out if a dark colored algae can do photosynthesis using green light. Use the Hill reaction and spectrophotometry to measure electron flow and find out if the pigments in the algae can use green light for photosynthesis.
Introduction to the Hill reaction
How can we measure the energy generated by photosynthesis? The process of photosynthesis uses an electron transport chain. By measuring the electron flow using the Hill reaction we can know the energy produced by photosynthesis. This reaction uses DCPIP, a redox dye, to measure the electron flow. Now we know the theory we can start our experiment!
Prepare the experimental controls
Our handy virtual assistant Dr. One has already extracted pigments from the algae for you! Now, to check out if the pigments can use green light for photosynthesis. In order to properly test your hypothesis, you will need to prepare and measure your sample, as well as positive and negative controls. Look at the absorption spectra from previous experiments to choose the correct wavelength of light for the spectrophotometer to measure your samples.
Measure photosynthesis
By comparing the absorbance of your pigment sample exposed to green light only in the spectrophotometer to those of the controls, you will be able to figure out if the dark algae are able to perform photosynthesis using green light or not. Will your hypothesis about the dark algae pigments be correct?
</t>
  </si>
  <si>
    <t>Supports Biology Unit 2: Cell structure and function</t>
  </si>
  <si>
    <t>EHEA First Cycle
Early Stage Bachelors Level
US College Year 1
US College Year 2
US College Year 3
FHEQ 6
SCQF 10
SCQF 9
Early Stage Bachelors Level
Intermediate Stage Bachelors Level
Late Stage Bachelors Level
Early Stage Masters Level
Intermediate Stage Masters Level
Late Stage Masters Level
FHEQ 7
SCQF 11
EHEA Second Cycle
US College Year 5</t>
  </si>
  <si>
    <t>a0K2X00000x2cnZUAQ</t>
  </si>
  <si>
    <t>Acids and Bases (Principles): Avoid falling in a lake of acid!</t>
  </si>
  <si>
    <t>ACH</t>
  </si>
  <si>
    <t>https://api2.labster.com/simulation/a0K2X00000x2cnZUAQ/play</t>
  </si>
  <si>
    <t>pH meter</t>
  </si>
  <si>
    <t>Understand that acids and bases can be found everywhere
Understand the logarithmic nature of the pH scale
Calculate the pH of a strong acid or base</t>
  </si>
  <si>
    <t xml:space="preserve">In a futuristic lab, you will get help from a robot assistant to determine the acidity of a lake of acid found on an exoplanet. You will learn how to quantify the acidity and alkalinity of substances.
</t>
  </si>
  <si>
    <t xml:space="preserve">This is the principles (high school) version of the simulation. For a more advanced version please see: “Acids and Bases”.
Watch out! You have discovered a lake on an exoplanet - but is it acidic or basic? You will surely know by the end of this one! You’ll have the chance to experiment with strong acids and bases to figure out how to reach a “neutral” pH.
If this simulation seems too “basic” for you, don’t worry as you’ll have the chance to deal with acids, too. In this simulation, you will learn about pH and pOH by mixing substances to reach a certain pH and sort various liquids by acidity.
What is the acidity of water?
Have Dr. One guide you as you learn the different definitions of acids and bases and gain hands-on experience experimenting with different solutions. Recreate the pH from skin lotions using only acids and bases and precision pouring techniques.
Return to the exoplanet
In the Acids and Bases (Principles) simulation, you are taken back to the exoplanet Astakos IV by accident. Here, you will collect a sample from a highly acidic lake. Your mission is to compare the sample with everyday solutions found at home, in the kitchen or in your classroom.
The pH of foods
You will briefly dive into the effects of eating certain foods.  How will different acidic or basic foods affect your blood pH? And how do they compare in pH to other types of food?
</t>
  </si>
  <si>
    <t>8.1 Theories of acids and bases
8.3 The pH scale
8.2 Properties of acids and bases</t>
  </si>
  <si>
    <t>4.8 Introduction to Acid-Base Reactions
8.2 pH and pOH of Strong Acids and Bases
8.1 Introduction to Acids and Bases</t>
  </si>
  <si>
    <t>a0K2X00000h4Mz6UAE</t>
  </si>
  <si>
    <t>Viral Gene Therapy: Use DNA to prevent heart failure</t>
  </si>
  <si>
    <t>GTV</t>
  </si>
  <si>
    <t>https://api2.labster.com/simulation/a0K2X00000h4Mz6UAE/play</t>
  </si>
  <si>
    <t>Google/ASU</t>
  </si>
  <si>
    <t>Electron microscopy
Co-transfection of mammalian cells
Viral vector production</t>
  </si>
  <si>
    <t>Explain the use of gene therapy for the treatment of heart failure
Explain the causes of heart failure
Design a viral mediated gene therapy approach
Define "therapeutic gene"
Describe the anatomy and function of the heart from a healthy person vs. a heart failure patient
Produce replication defective recombinant adeno-associated virus (rAAV)</t>
  </si>
  <si>
    <t xml:space="preserve">Take advantage of the recent exciting research findings in the field, and try to develop a potential cure for heart failure. Will you be able to design a virus to help revert heart failure in patients?
</t>
  </si>
  <si>
    <t xml:space="preserve">Does using viruses as a form of therapy sound like science fiction to you? This may come as a surprise, but it’s actually a technique on the rise used to deliver functional genes into patients. In the Viral Gene Therapy simulation, you will learn about the use of modified viruses and how to equip them with therapeutic genes. Take advantage of the recent exciting research findings in the field, and try to develop a potential cure for heart failure. Will you be able to design a virus that can help to revert heart failure in patients?
Using viruses to cure heart failure
The student will attend a seminar highlighting the causes and symptoms of heart failure, and will have to use gene therapy as a promising way for a treatment based on a particular gene. The student will learn the principles behind the concept of gene therapy and pseudovirus production, and apply them to the present study case of heart failure.
Pseudovirus production and testing
The student will perform a fitness test with mice to validate a gene as a therapeutic target for gene therapy. Next, they will have to produce the viral capsids containing the therapeutic gene through transfection of the Related plasmids and observe them through an electron microscope. Finally, the efficiency of the produced viruses will be tested on mice again. Since this is a virtual lab, no real animals will be harmed in this experiment, and results are available immediately compared to the expected 5 weeks of incubation.
Test your gene therapy treatment
Once you have designed your gene therapy treatment and produced your viruses containing a therapeutic gene, it will be time to test it on mice affected with heart failure. Will you be able to find a cure for this genetic condition?
</t>
  </si>
  <si>
    <t>B.4 Medicine</t>
  </si>
  <si>
    <t>a0K7R000011INJGUA4</t>
  </si>
  <si>
    <t>Stereochemistry: from stereocenters to E/Z isomers</t>
  </si>
  <si>
    <t>STE</t>
  </si>
  <si>
    <t>https://api2.labster.com/simulation/a0K7R000011INJGUA4/play</t>
  </si>
  <si>
    <t>Spanish
German
French
Italian
English (United States)</t>
  </si>
  <si>
    <t>Organic Chemistry
General Chemistry</t>
  </si>
  <si>
    <t>PS1.A-H1
PS1.A-H2
PS1.A-H3
PS1.A-H4
HS-PS2-6</t>
  </si>
  <si>
    <t>Centrifugation
Spectrophotometry
Pigment Extraction</t>
  </si>
  <si>
    <t>Identify stereogenic centers in chiral molecules and understand the definition of enantiomers
Differentiate between chiral and achiral molecules
Differentiate between cis/trans and E/Z isomers
Assign R or S configuration to enantiomers applying Cahn-Ingold-Prelog priority rules</t>
  </si>
  <si>
    <t xml:space="preserve">Dive into stereochemistry and discover how to rotate, break and rearrange molecules using interactive 3D models. Expand your knowledge on isomers and prioritization, strengthening your scientific skills before jumping into organic chemistry.
</t>
  </si>
  <si>
    <t xml:space="preserve">Take a deep dive into the world of molecules: discover how they are structured and understand how their spatial arrangement can make all the difference in their physical and chemical properties. 
Stereochemistry concerns the structure and shape of molecules in three dimensional space. The positions and connections of atoms in molecules can affect their properties, that’s why stereochemistry is crucial in the introduction to organic chemistry
However, using only your imagination to visualize these 3D structures can be tough, especially if you’ve just started your journey into this topic.
From 2D sketches to 3D molecules
In this simulation, you’ll first be guided through the theory behind isomers and chiral centers, just to make sure you are familiar with these topics. Then, our friendly Dr. One will move your attention to 3D structures of stereoisomers and will need your help to solve some tasks.  Here, you’ll be asked to recognize chiral and achiral molecules, rotate them and even break a couple of bonds (don’t worry, we have good insurance). 
As you get used to the 3D visualization, the complexity of the molecules will increase, and your understanding will be tested through quizzes and tasks.
Prioritize the groups in different enantiomers
Once the concept of stereoisomerism has been introduced, you will learn how to assign the relative configuration of enantiomers through prioritization rules. This is fundamental to understanding R and S configurations and by looking at some artistic posters, we’ll be able to make it less tricky and a bit more intuitive.
Once you grasp the concept, Dr.One will test you using the 2D representation often used in the theory books, but we’ll add some feedback and animation depending on your answers.
Identify Cis/Trans or E/Z isomers
The next step will be to distinguish between cis and trans isomers. To do so, a visual game on the main screen of the laboratory will suggest six different molecules, and you’ll decide whether they are cis or trans. 
Finally, after an introduction to E and Z isomers, you’ll be asked to identify three new molecules before the final quiz.
</t>
  </si>
  <si>
    <t>Chemistry 20.3</t>
  </si>
  <si>
    <t>Chemistry Unit 2.7</t>
  </si>
  <si>
    <t>a0K7R000016wlDxUAI</t>
  </si>
  <si>
    <t>Size Exclusion Chromatography: Separate monomers from oligomers</t>
  </si>
  <si>
    <t>CC2</t>
  </si>
  <si>
    <t>Analytical Chemistry
General Science</t>
  </si>
  <si>
    <t>HS-PS1-8
PS1.C-H1</t>
  </si>
  <si>
    <t>Sonication
Size exclusion chromatography</t>
  </si>
  <si>
    <t>Set up the apparatus required and follow the general workflow associated with liquid chromatography 
Detail the concept behind compound separation by size exclusion</t>
  </si>
  <si>
    <t xml:space="preserve">Use size exclusion chromatography (SEC) to prepare a sample of a protein involved in Parkinson’s disease! Discover how this technique can be beneficial in your lab experiments and create a hypothesis about the elution time of different-sized particles! 
</t>
  </si>
  <si>
    <t xml:space="preserve">This short, targeted simulation is adapted from the full-length Parkinson’s Disease simulation. 
Always wanted to know what a chromatograph is? In this simulation, you will learn about the exciting liquid chromatography equipment and discover how it’s used for preparing samples ahead of further experiments in the lab! Inject your sample into the SEC column and guess if the oligomer or a monomer of an interesting protein is eluted first! 
Extract alpha-synuclein protein
You will learn about alpha-synuclein (aSN), a protein that is involved in the formation of Lewy bodies in the brain during the development of Parkinson’s disease. In order to start working with aSN, you will first use sonication to extract the protein, which is produced by an E. coli bacterial strain, and which was previously genetically modified by your lab assistant. Then, you will learn about the different parts of the liquid chromatography instrument, such as sample injector, fraction collector, and columns to get familiar with them before operating the equipment in the real lab.
Separate aSN monomers and oligomers
After the lab assistant has purified the aSN monomers and induced the formation of aSN oligomers, you will need to separate aSN monomers from oligomers using size exclusion chromatography.You need to make sure that you’re choosing the right mobile and stationary phase for your experiment, but you don’t need to worry about long time-consuming preparation steps, because time will be fast-forwarded so you can focus on evaluating the results!
Evaluate the chromatogram
In the end, you will get a chance to look at the chromatogram and analyze the elution volumes. Will you be able to use choose the right fraction that contains aSN oligomers? 
</t>
  </si>
  <si>
    <t>Chemistry B.2</t>
  </si>
  <si>
    <t>Chemistry Unit 3.9</t>
  </si>
  <si>
    <t>a0K2X00000h3eI0UAI</t>
  </si>
  <si>
    <t>RNA Extraction: Sample and purify mRNA from pigs</t>
  </si>
  <si>
    <t>RNA</t>
  </si>
  <si>
    <t>https://api2.labster.com/simulation/a0K2X00000h3eI0UAI/play</t>
  </si>
  <si>
    <t>Chloroform Extraction
Magnetic Beads Purification</t>
  </si>
  <si>
    <t>Understand how to extract the total RNA from a cell
Separate mRNA molecules specifically from the rest of the RNA</t>
  </si>
  <si>
    <t xml:space="preserve">Learn how to extract RNA from pig fat tissue samples and how to purify messenger RNA using magnetic beads.
</t>
  </si>
  <si>
    <t xml:space="preserve">How do you know which genes in your DNA are active in your cells? In this simulation, you will learn how to extract  messenger RNA molecules, the direct product of your genes.
Extracting mRNA from pigs
You will first retrieve samples of fat tissue from pigs at a farm. Back in the lab, you will then break the cells to extract the total RNA. FInally, you will purify the messenger RNA from the rest of the RNA in your sample.
mRNA extraction and purification
First, the students will learn how to lyse cells, extract RNA using a chloroform solution and purify mRNA with magnetic beads. 
Students are immediately provided with qualitative data (spectrophotometer, electrophoresis) to check the quality of their samples.
</t>
  </si>
  <si>
    <t>a0K2X00000h3c4DUAQ</t>
  </si>
  <si>
    <t>Pigment Extraction: Use photosynthesis to produce biofuel and reduce pollution</t>
  </si>
  <si>
    <t>PEX</t>
  </si>
  <si>
    <t>https://api2.labster.com/simulation/a0K2X00000h3c4DUAQ/play</t>
  </si>
  <si>
    <t>HS-LS1-5</t>
  </si>
  <si>
    <t>Understand the importance and uses of photosynthesis
Understand properties of light and why pigments are colorful
Analyze the absorbance spectra and chemical properties of pigments
Develop a hypothesis and set up an experiment to test it</t>
  </si>
  <si>
    <t xml:space="preserve">Relevant pigments using different solvents and measure their absorbance spectra to help a group of engineers figure out if a mysterious dark algae is able to absorb green light. Your work will help create a sustainable plan for energy production that will use sunlight, heat from a coal power plant, and nutrients from a fish farm.
</t>
  </si>
  <si>
    <t xml:space="preserve">It has been decided in a town in northwest Alaska that environmental protection should be prioritized. A team of engineers has therefore been hired to help them out. Roxy, the leader of the project, will take you on a journey over the sea and show you that the most problematic facilities are the coal power plant and the fish farm. To mitigate the problem, she has come up with the brilliant idea to produce biofuel from algae using the excess of nutrients from the fish farm and the heat and CO2 from the coal plant.
Extract pigments from algae
When scuba diving, Roxy found some mysterious dark algae, and now she needs your help to figure out if they have pigments that can absorb green light. Most plants are green, so they reflect this colour and absorb other wavelengths, which they use for photosynthesis. However, green is a major component of the visible light spectrum, so combining algae that use green light with algae that use other wavelengths maximises the use of sunlight. In this simulation, you will extract pigments from algae using different solvents and measure their absorbance spectra.
Where are the pigments?
When you get to the lab, Dr. One, your virtual lab assistant, has already prepared a selection of different fractions from the mysterious algae Roxy brought. Since you are interested in obtaining pigments, you need to choose the correct one. Nuclear fraction? Or perhaps chloroplasts? In case you don’t know and pick the wrong one, you can have another go. This is a virtual lab, meaning you can make as many mistakes as you need to get it right!
What solvents to use?
Most pigments, such as chlorophyll, are hydrophobic. However, some have different conjugated systems that make them chemically diverse. Since your aim is to extract all the pigments from the dark algae, you must think carefully about what types of solvents you need to use in order to do that.
Can the dark algae absorb green light?
Once you’ve done a series of centrifugations and used liquid nitrogen to snap freeze the pigments, it’s time to find out if the pigment extracts can absorb green light. For that, you will obtain and analyze the absorption spectra using a spectrophotometer. Will these algae hold the key to producing biofuel from pollutants and maximizing the use of the visible light spectrum?
</t>
  </si>
  <si>
    <t>2.9: Photosynthesis</t>
  </si>
  <si>
    <t>Topic 2.2: Cell Structure and Function</t>
  </si>
  <si>
    <t>a0K7R000016wkzlUAA</t>
  </si>
  <si>
    <t>Introduction to Radioactive Decay</t>
  </si>
  <si>
    <t>MCD</t>
  </si>
  <si>
    <t>https://api2.labster.com/simulation/a0K7R000016wkzlUAA/play</t>
  </si>
  <si>
    <t>Matter and Phase Changes: Distil ethanol
States of Matter
Exploring a Distillation Apparatus
Separating Mixtures: Using distillation to concentrate ethanol</t>
  </si>
  <si>
    <t>General Physics
Physics
General Chemistry</t>
  </si>
  <si>
    <t>Heating Curves
Phase Changes</t>
  </si>
  <si>
    <t>Compare different types of radioactive decay and balance the respective nuclear decay equations using nuclide notation
Calculate the half-life of a radioisotope
Explore the concept of a radioactive decay series</t>
  </si>
  <si>
    <t xml:space="preserve">A meteor has crashed to Earth! Search the crash site with a Geiger counter, and bring a radioactive sample back to the lab. Learn all about types of decay, decay series, and half-life. Help Dr. One and Marie Curie figure out what’s in that rock.
</t>
  </si>
  <si>
    <t xml:space="preserve">Radiation has huge importance in the modern world. Used in medicine, energy, and the military, its impact on society and the future of science can’t be overstated. After harvesting a radioactive sample from a fallen meteor, you will start with the fundamentals, learning about the atom, stability, and the origins of radioactive decay. You will explore the futuristic lab guided by a pioneer of the field of radioactivity: Marie Curie. You will move on to more complex ideas, such as decay series and half-life. Then apply what you’ve learned and produce a graph to determine the half-life and the identity of your radioactive rock sample. 
Introduction
The simulation opens with a bang as a meteor crashes to Earth. After heading back to the Lab and being introduced to one of the most celebrated radiation scientists - Marie Curie - you build your own nuclei using the Lab’s interactive and futuristic Holo-table.    
Visualise radiation
In our virtual environment, you are able to take a deep dive into the atomic world, and safely see how radioactive decay works. Three animations and minigames enable you to understand the concepts of alpha, beta, and gamma decay in an interactive and fun way. As you’re eager to identify your rock sample, you learn the fiddly topic of decay notation and balancing equations in an engaging way. Decay series Your first test is to track the decay path of a neptunium isotope as it ejects radiation. By playing another minigame, you  discover what happens to radioactive nuclides as they decay, and thereby expand on the idea of decay types. After succeeding in this notoriously tricky task, you move on to a second test, getting to grips with half-life, the last step before being able to identify your sample.
Half-life
Fear not, Dr. One is here to help you visualize the concept of half-life! By representing radioactive atoms as coins on a desk, this complex and abstract concept becomes  much simpler and tangible, and easier to understand. After plotting the results of the coin-flip experiment on a graph you are presented with one final task. You must deduce the half-life of your sample, and thereby its identity, before you can proudly report your findings back to Madame Curie! 
</t>
  </si>
  <si>
    <t>Physics 2 Unit 7.2</t>
  </si>
  <si>
    <t>a0K2X00000woI7hUAE</t>
  </si>
  <si>
    <t>Introduction to Immunology: Explore the immune system and save the world!</t>
  </si>
  <si>
    <t>IGX</t>
  </si>
  <si>
    <t>https://api2.labster.com/simulation/a0K2X00000woI7hUAE/play</t>
  </si>
  <si>
    <t>The Gram Stain: Identify and differentiate bacteria
Gram Stain: How stains and counterstains work
Building Gram Positive and Gram Negative Cell Walls
Using the Gram Stain to Help Diagnose Meningitis</t>
  </si>
  <si>
    <t>English (United States)
French
Italian
Spanish
German</t>
  </si>
  <si>
    <t>Microbiology
Anatomy &amp; Physiology</t>
  </si>
  <si>
    <t>Enzyme-linked immunoassay
Serological investigation</t>
  </si>
  <si>
    <t>Discuss the fundamental need for the immune system
Identify physical and chemical barriers against pathogen invasion
Describe mechanisms of immune evasion by pathogens
Predict the outcome of scenarios of immune deficiency
Summarize the key features of innate and adaptive immune responses
Describe antigen-antibody interactions
Classify immune cell types by their role in responses
Define immunological memory and its importance
Explain the importance of lymphocyte clonal selection &amp; deletion processes
Explain the concept of diagnostic serology
Identify common features and principles of serological methods
Compare the applications for serological methods in biomedical research and healthcare</t>
  </si>
  <si>
    <t xml:space="preserve">Global health is everyone’s responsibility. Become a pathogen and invade a body to discover how immune cells and organs provide protection. Learn how researchers from across the planet work together to save the world from pathogenic infections.
</t>
  </si>
  <si>
    <t xml:space="preserve">Have you ever wondered what infections look like from the pathogen’s perspective? If our immune systems are so amazing, why do we get sick at all? During this simulation, you’ll undertake a series of challenges in preparation for an important global health investigation. Can you complete each task and add to the planet’s immunological understanding?
Exploring the immune system
The immune system is a complex army of cells and tissues that work together to protect your body from infection. In this simulation, you’ll play the part of a pathogen and try to establish an infectious colony within a human body. As the immune system fights back, you will gain a unique perspective on how immune cells work to destroy incoming pathogens.  Will you manage to evade the different immune responses and colonize the body?
Placing individual immunity in a global health context
By exploring data maps from pivotal moments in human history you will see how an individual’s immunological status contributes to the health of their community and the spread of disease worldwide. You’ll meet the key cells involved in immune memory and explore the role of immunization in protecting people from preventable diseases.
Investigating immunity using serological techniques
Researchers from around the world collaborate to give humanity the broadest possible understanding of pathogenicity, infection rates and the changing prevalence of diseases across the world. Confirming the immunization rates and the presence of new infection cases in local communities is vital to help allocate healthcare resources to populations worldwide. By undertaking your own serological investigation, you will contribute your data to the global immunological picture. How can you help healthcare professionals better protect communities around the world?
</t>
  </si>
  <si>
    <t>Biology 6.3 Defence against infectious disease
11.1 Antibody production and vaccination</t>
  </si>
  <si>
    <t>Early Stage Bachelors Level
EHEA First Cycle
FHEQ 6
FHEQ 4
FHEQ 5
EHEA Short Cycle
US College Year 1
US College Year 2</t>
  </si>
  <si>
    <t>a0Kw000000R25d5EAB</t>
  </si>
  <si>
    <t>Introduction to Food Macromolecules</t>
  </si>
  <si>
    <t>IFM</t>
  </si>
  <si>
    <t>https://api2.labster.com/simulation/a0Kw000000R25d5EAB/play</t>
  </si>
  <si>
    <t>Benedict test
Biuret test
Iodine test
Sudan test</t>
  </si>
  <si>
    <t>Understand the types of macromolecules found in food
Understand the structure of carbohydrates, proteins, and lipids
Detect macromolecules in food samples</t>
  </si>
  <si>
    <t xml:space="preserve">Can you use your food macromolecule knowledge to convince your friend to change her diet to a healthier one?
</t>
  </si>
  <si>
    <t xml:space="preserve">Macromolecules are very large molecules created by the polymerization of small units called monomers. Most of the macromolecules are present in everyday life, for instance, in food.
Learn about biological macromolecules
There are several types of biological macromolecules: Carbohydrates, Proteins, Lipids and Nucleic acids. All macromolecules, except lipids, are polymers. A polymer is a long molecule composed of chains of monomers. Monomers are small molecules that serve as building blocks of polymers. In addition, there are also oligomers in nature. Oligomers are molecular complexes composed of a few monomer units instead of the theoretically unlimited nature of polymers. Dimers and trimers are, for instance, oligomers composed of two and three monomers, respectively, such as lactose in milk for instance. However, in biochemistry, an oligomer usually refers to a macromolecular complex formed by non-covalent bonding of a few macromolecules, like nucleic acids or proteins. A clear example is those oligomers related to many neurodegenerative diseases, such as the alpha-synuclein aggregations in Parkinson’s disease.
Help your friend with your macromolecule knowledge
In the Introduction to Food Macromolecules simulation, you will help your friend get a healthy diet and investigate the types of macromolecules found in food. By performing a series of biochemistry tests, you will know the contents of various food items.
Can you use your macromolecule knowledge to convince your friend to change her diet to a healthier one?
</t>
  </si>
  <si>
    <t xml:space="preserve">IFM really makes the most of virtual learning and the experience you cannot get from normal face-to-face teaching. The student is transported into specific foods to learn about the chemical structures that make it up. The animations do not shy away from the topic either, as it provides a detailed overview of concepts like trans and cis isomerism. However, it then links this back to how the different chemistries influence the overall macromolecule and therefore the properties of the food type it makes up. "As a Biochemist, this is exactly what I got into biochemistry for, to apply fundamental chemistry concepts to the real world and see how the interactions of two "invisible" atoms can have global affects on the overall molecule. IFM really makes the most of virtual learning by making "invisible" chemistry visible!"   (internal notes
)
Student click on food objects in the lab to trigger an animation that displays the different tiers of macromolecules making up that food type. (10.30, 16.40, 23.17, 30.07) (Visualisation, Animations, Game-like)
Student click on food objects in the lab to trigger an animation that displays the different tiers of macromolecules making up that food type. Repeated for sugars, complex sugars, proteins and lipids.(10.30, 16.40, 23.17, 30.07) (Visualisation, Animations, Game-like)
When the student completes an experiment, the test tubes on the workbench gradually change colour to mimic the real experiment.  (14.22, 21.00, 27.40,36.31) (Experiment, Learn by doing, Lab Technique)
When the student completes an experiment, the test tubes on the workbench gradually change colour to mimic what would happpen in the real experiment. The student is then regularly tested to see if they can interpret the colour changes in each test tube correctly. (eg. blue/black mixtures that contain iodine, mean starch IS present). (14.22, 21.00, 27.40,36.31) (Experiment, Learn by doing, Lab Technique)
The animation explaining the different properties of (un)saturated fats and how that influences the type of fat produced is very visual. (32.02) (Visualisation, Animations) 
The animation explaining the different properties of (un)saturated fats and how that influences the type of fat produced is very visual. Choosing to explain fat and oil chemistry and linking that back to why one is solid at room temperature, while the other is liquid is a really good learning tool. (32.02) (Visualisation, Animations) 
</t>
  </si>
  <si>
    <t>Biology D.1 Human nutrition
Biology D.2 Digestion
2.1 Molecules to metabolism
2.3 Carbohydrates and lipids</t>
  </si>
  <si>
    <t>a0K7R000011IMp6UAG</t>
  </si>
  <si>
    <t>Heating Curves and Phase Changes: Distil Ethanol</t>
  </si>
  <si>
    <t>DI3</t>
  </si>
  <si>
    <t>https://api2.labster.com/simulation/a0K7R000011IMp6UAG/play</t>
  </si>
  <si>
    <t>University / College; High School</t>
  </si>
  <si>
    <t>HS-PS1-3
HS-PS1-4
HS-PS1-7
HS-PS1-5
PS1.A-E2</t>
  </si>
  <si>
    <t>Explain solid, liquid, and gas states in terms of particle interaction and bonding energy
Describe and explain the characteristics of a phase change
Read a phase diagram and explain each region
Interpret a heating curve of a given substance
Explain the difference between a heating curve and a phase diagram, and the difference between specific heat and latent heat</t>
  </si>
  <si>
    <t xml:space="preserve">Learn how to generate and interpret the heating curves of ethanol and water. Discover how to relate heating curve data to the recorded observations of the substance on heating and determine the physical properties from the generated curve.
</t>
  </si>
  <si>
    <t xml:space="preserve">This short, targeted simulation is adapted from the full-length “Matter and Phase Changes: Distil ethanol” simulation.
Heating curves aren’t like any other graphs, they have a story to tell about a substance. In this simulation, you will be generating the heating curve for water and ethanol through a small experiment of your own. You will observe the substance upon heating and correlate these observations to the data recorded on the heat curve. Will you be able to identify the physical properties of ethanol and water from the heating curve?
Get familiar with the three states of matter
Look closely at three examples of elements each in a different state of matter: solid, liquid or gas. Familiarise yourself with the difference between the three through these physical examples before moving on to examining the physical changes of a substance from one state of matter to another.
Generate heating curves
Once you’ve mastered the basics, you are ready to learn about additional aspects of phase changes: Specific heat, latent heat, and pressure. You will utilize a temperature probe and a heat plate to generate a heating curve and then compare the heating curve of water, ethanol, and metal. By doing so, you will be able to decode the meaning of each line of the heating curves.
Examine the heating curve closely through our interactive screen activity where you will get tested on each section of curve and what information this provides on the physical properties of the substance.
Learn about phase changes
Did you know that heating curves and phase changes are related? Learn how to identify the phase changes of each substance through the physical property observations and understand the science behind the phase change from solid to liquid and a liquid to a gas.
Discover how heating curves indicate the temperatures at which these phase changes occur.
Will you be able to generate the heating curve of a substance with the understanding of how this relates to the occurring phase changes?
</t>
  </si>
  <si>
    <t>Chemistry 2.2 Intermolecular Force and Potential Energy
Chemistry 3.1. Intermolecular Forces
Chemistry 3.2 Properties of Solids
Chemistry 4.4 Physical and Chemical Changes
Chemistry 6.5 Energy of Phase Changes</t>
  </si>
  <si>
    <t>Early Stage Bachelors Level
US College Year 1
US College Year 2
FHEQ 6
EHEA First Cycle
EHEA Short Cycle</t>
  </si>
  <si>
    <t>a0K7R000011IMp3UAG</t>
  </si>
  <si>
    <t>Gram Stain: Test yourself in Gram Stain Procedure</t>
  </si>
  <si>
    <t>GS3</t>
  </si>
  <si>
    <t>https://api2.labster.com/simulation/a0K7R000011IMp3UAG/play</t>
  </si>
  <si>
    <t>English
German
Italian
French
Spanish</t>
  </si>
  <si>
    <t>LS1.A-H1
LS1.A-H2
LS1.A-H3
LS1.A-H4</t>
  </si>
  <si>
    <t>The Gram stain technique
Self Testing</t>
  </si>
  <si>
    <t>Recall the steps of a gram stain procedure
Justify the methodology and reagents used in a gram staining procedure</t>
  </si>
  <si>
    <t xml:space="preserve">Familiarize yourself with details about Gram Stain procedure. Learn about reagents used during the experiment and repeat the protocol in stepwise manner, to be more than ready for real time Gram staining!
</t>
  </si>
  <si>
    <t xml:space="preserve">This short, targeted simulation is adapted from the full-length “The Gram Stain: Identify and differentiate bacteria” simulation.
Do you have a general idea of how the Gram Staining procedure looks like, but you want to practice the exact protocol in a stepwise manner? Do you want to feel comfortable enough with the learned techniques and reasoning behind it, so nothing can surprise you in the lab? This simulation is perfect for you! 
Recall the steps in Gram Staining 
With this visual minigame, you will have a chance to repeat all steps necessary to perform Gram Staining and prepare samples for later identification. You will repeat the methodology and reasoning behind each reagent and the colorful graphics will help you remember the most crucial parts of the protocol. With this simulation you will be more than ready to try Gram staining in a real lab!
</t>
  </si>
  <si>
    <t>a0K2X00000h3c4hUAA</t>
  </si>
  <si>
    <t>Gene Expression Unit: Use sequencing to unveil a gene linked to obesity</t>
  </si>
  <si>
    <t>GEU</t>
  </si>
  <si>
    <t>https://api2.labster.com/simulation/a0K2X00000h3c4hUAA/play</t>
  </si>
  <si>
    <t>HS-LS3-2
HS-LS3-1</t>
  </si>
  <si>
    <t>Next Generation Sequencing data analysis
qPCR
cDNA synthesis
Sample for Preparation for Next Generation sequencing</t>
  </si>
  <si>
    <t>Prepare samples for Next Generation Sequencing
Understand the principles behind the Next Generation Sequencing technique
Perform a qPCR experiment with the proper controls</t>
  </si>
  <si>
    <t xml:space="preserve">Discover Next Generation Sequencing by analyzing the mRNA from pig tissues and identify a new gene linked to obesity. Confirm your results using qPCR to analyze the expression levels of your gene!
</t>
  </si>
  <si>
    <t xml:space="preserve">It is now well-known that obesity is linked to genes in your DNA – but which ones are they? In this simulation, you will learn how to sequence DNA and screen for genes that might be over-expressed in obese pigs. To do so, you will have to use state-of-the-art techniques such as Next Generation Sequencing and qPCR and perform proper data analysis to single out specific genes.
Identify a new gene linked to obesity
As part of a project to study obesity and using pig samples as a model, students will sequence the messenger RNA molecules to identify if a gene is overexpressed in an obese pig compared to a lean one. They will confirm their results with a different technique, quantitative PCR (qPCR) and learn the role of the gene in the human metabolism.
Next Generation Sequencing and qPCR
In order to sequence their samples, the student will first have to perform a RT-PCR to generate cDNA from mRNA, then prepare the samples for Next Generation Sequencing by adding the proper genetic labels. After sequencing, they will analyze their data to single out a gene that could be linked to obesity. To confirm their findings, the students will also have to design a quantitative PCR (qPCR) with the proper controls and analyze the resulting curves. This simulation allows students to see the process inside the Next Generation Sequencing machine, as well as perform two high-level techniques (sequencing and qPCR) in a very short period of time.
Publish your data
The discovery of a new gene which could partially explain the effect of obesity would be worth publishing in an eminent scientific journal. Will you be able to single out such a gene from your sequencing experiment?
</t>
  </si>
  <si>
    <t>Biology Unit 1: Cell Biology</t>
  </si>
  <si>
    <t>Unit 6: Gene Expression and Regulation</t>
  </si>
  <si>
    <t>a0K7R000010rMd7UAE</t>
  </si>
  <si>
    <t>Gel Electrophoresis: Visualize and separate nucleic acids</t>
  </si>
  <si>
    <t>NAG</t>
  </si>
  <si>
    <t>https://api2.labster.com/simulation/a0K2X00000d2cTVUAY/play</t>
  </si>
  <si>
    <t>Agarose gel electrophoresis</t>
  </si>
  <si>
    <t>Explain the visualization and separation of nucleic acid molecules through gel electrophoresis
Summarize how nucleic acid molecules migrate through an agarose gel
Explain the principles behind size separation and direction of migration
Analyze and interpret a nucleic acid gel by using a DNA ladder and controls</t>
  </si>
  <si>
    <t xml:space="preserve">Solve a crime by using DNA fingerprinting to identify a thief. Use nucleic acid gel electrophoresis to separate and visualize DNA molecules and watch an animation to understand what happens inside the gel tank. 
</t>
  </si>
  <si>
    <t xml:space="preserve">Your peanut butter keeps getting stolen and it is time to catch the thief. In this simulation, you will learn how you can use DNA fingerprinting to identify individuals. You will use gel electrophoresis to separate and visualize DNA fragments.
Loading the gel
Join Dr. One in the molecular biology lab. The DNA samples from the crime scene and two suspects have already been collected, extracted, and amplified for you. You will start by learning about sample preparation and loading the samples into an agarose gel with a pipette.
Look inside the gel
Once you have loaded all the samples into the gel, you can start the gel electrophoresis process. While this runs, you will dive into the gel tank and discover how DNA fragments are separated by size with this technique through an immersive animation.
Analyzing the gel
Now that you understand how gel electrophoresis works, you will return to the molecular biology lab. The DNA fragments have now been separated and visualized so you can compare the band patterns of the two suspect samples with that of the crime scene sample. Will you be able to catch the thief?
</t>
  </si>
  <si>
    <t>a0K7R000011IKPgUAO</t>
  </si>
  <si>
    <t>From Algae to Bioenergy</t>
  </si>
  <si>
    <t>CS3</t>
  </si>
  <si>
    <t>https://api2.labster.com/simulation/a0K7R000016wkzqUAA/play</t>
  </si>
  <si>
    <t>Magnetic stirrer bar
Biodiesel production experiment in fume hood
Heating reaction mixtures on hotplate
Transesterification</t>
  </si>
  <si>
    <t>Describe the reaction that yields biodiesel from oil
Detail the procedure for producing biodiesel from oil
Apply hazard identification skills to safe working practice in the laboratory
Safely deploy heated magnetic stir plates as part of a protocol</t>
  </si>
  <si>
    <t xml:space="preserve">Join the project manager Marie in her goal to successfully produce biodiesel from algal oil. Be involved in a revolutionary scientific discovery that can eliminate the environmental impacts accompanied by burning coal for energy.
</t>
  </si>
  <si>
    <t xml:space="preserve">This short, targeted simulation is adapted from the full-length “Chemistry Safety” simulation.
Can we turn algae to bioenergy? In this simulation, you will find out. Dive into the algae farm in Northwest Alaska and identify the main issues preventing their sustainability and environmental protection goals. Conduct a laboratory experiment in the lab safely with the help of Marie, and find a successful reaction that can convert algal oil into biodiesel.
Explore the Algae farm
Learn about the purpose of your project by diving into the algae farm and understanding the main source of harm to our environment in this day and age. You will be able to understand how the algae farm will reduce such environmental impacts that contribute to climate change.
Understand the biofuel conversion reaction
Alongside the biodiesel production experiment, learn more about the chemistry involved in the reaction. Understand the components of the algal oil, the theoretical use of the reagents chosen, and the main changes to the molecular structure required for the reaction to be successful.
Safe laboratory practice
In a virtual simulation, yes it is true that no real harm can come to you, but it is always good practice to implement the safety regulations and correct handling of hazardous chemicals no matter where you are! If you know now and are constantly reminded, you will have all of the knowledge you need to protect yourself and others in the lab by analyzing the risks with the chemicals that are required. You will be prompted to always wear the correct personal protective equipment to keep yourself safe from all potential hazards of the chemicals.
</t>
  </si>
  <si>
    <t>Generic fume hood &amp; lab safety</t>
  </si>
  <si>
    <t>Early Stage Bachelors Level
Intermediate Stage Bachelors Level
EHEA First Cycle</t>
  </si>
  <si>
    <t>a0K2X00000h4MyrUAE</t>
  </si>
  <si>
    <t>Cytogenetics: Perform a prenatal diagnosis</t>
  </si>
  <si>
    <t>CYV</t>
  </si>
  <si>
    <t>https://api2.labster.com/simulation/a0K2X00000h4MyrUAE/play</t>
  </si>
  <si>
    <t>Eurostars2015</t>
  </si>
  <si>
    <t>Amniocentesis
Array comparative genomic hybridization</t>
  </si>
  <si>
    <t>Define medical genetic counseling, especially in the case of prenatal diagnostics
Describe and perform an Array-based Comparative Genome Hybridization (Array CGH)
Explain a karyotype analysis</t>
  </si>
  <si>
    <t xml:space="preserve">Help a mother-to-be who is extremely worried about the fate of her baby. Will you able to diagnose the condition of the fetus using a cytogenetics-based approach?
</t>
  </si>
  <si>
    <t xml:space="preserve">With advances in technology, prenatal diagnosis can provide mothers-to-be with information, not only about the gender of their baby, but also the physical and genetic health. Will you be able to use advanced prenatal techniques to help diagnose a fetal abnormality?
Ultrasound and amniocentesis
In the Cytogenetics simulation, you will begin your mission in an ultrasound examination room where a young mother-to-be receives an abnormal ultrasound result. Your task is to find the underlying cause and to inform her about possible outcomes for her unborn child and any potential future children.
Array comparative genomic hybridization
In order to find the underlying cause of the abnormality, you will perform Array Comparative Genomic Hybridization (Array CGH) using an amniocentesis sample which you isolated previously. You will learn the basic principles of Array CGH and how to analyze the results. In order to confirm your findings, you will also perform karyotyping on both fetal and parental samples. You will learn how to prepare amniocentesis and blood samples for karyotyping, as well as how to analyze the results.
Parent consultation
Based on the results and information collected during the counseling with the parents, you will identify the underlying cause of the fetal abnormality. Your final task is to explain this and the associated medical condition to the mother, before advising her about future risks.
</t>
  </si>
  <si>
    <t>a0K2X00000d2cTVUAY</t>
  </si>
  <si>
    <t>Concrete Materials Testing: Learn the key properties of durable concrete</t>
  </si>
  <si>
    <t>MPC</t>
  </si>
  <si>
    <t>TM-Exeter</t>
  </si>
  <si>
    <t>Compressive test
Slump test
Sieve analysis test
Concrete mixing process</t>
  </si>
  <si>
    <t>Determine the grading of both fine and coarse aggregates
Read a sieve analysis chart
Prepare concrete mixes and samples
Perform a slump test
Understand the influence of water content and admixture on the workability of concrete
Determine the compressive strength of hardened concrete</t>
  </si>
  <si>
    <t xml:space="preserve">Enter a virtual engineering lab to test concrete materials and work with an engineer. In the lab you will find samples of fine and coarse aggregates, cement, water &amp; admixtures. Test many combinations and find the recipe for a durable concrete.
</t>
  </si>
  <si>
    <t xml:space="preserve">Your urgent assistance in the lab is required, as people have been left homeless due to construction failures in a remote location. An engineer from the site will bring you samples of all the materials the builders use to build houses in this location. In the Concrete Materials Testing simulation you will determine the particle size distribution of aggregates and mix them with cement, water, and admixtures to identify a recipe for a concrete with high workability. The compressive strength of this material will then be tested, and instructions will be given to the builders on how to avoid any future cracks forming in the walls.
Perform a sieve analysis test
After making sure that you are wearing the proper attire for handling heavy machinery in an engineering lab, your first mission in the Concrete Materials Testing simulation will be to define the particle size distribution of all the aggregates found in the construction area. You will produce sieve analysis charts and define the fineness moduli of your material. At the end of this mission, you will define the particle size distribution of one of the major concrete constituents that could potentially produce a material with a high workability.
Mix concrete materials and perform a slump test
Time to use a mixer for something other than making cake. In this mission, you will choose all the material required for a durable concrete. Aggregates, cement, water, and admixtures will be mixed by your assistant per your instructions. After the mixing, you will use the freshly made concrete to perform a slump test. During this experiment, you will verify whether the initial material selected was appropriate for a concrete with an acceptable degree of workability. The height of your slump will determine whether you are ready to move on. But be prepared to repeat the experiment more than once if your slump collapses, or simply just for fun! Maybe add some admixture or extra water to achieve a firm and high slump next time to avoid too many repetitions.
Test the compressive strength of hardened concrete
Finally, after performing all these experiments, you now know which are the best materials for a durable concrete. Cylindrical samples, made per your instructions during the previous missions, are being cured in a tank. In your final mission, you will determine the compressive strength of these samples once they have hardened. As in the previous missions, you will follow the concrete and cement standards in order to give the final instructions to the engineer.
Are you ready to enter an engineering lab to test the properties of concrete materials, assisting a team of engineers to build more durable houses?
</t>
  </si>
  <si>
    <t>a0K7R000016wkzqUAA</t>
  </si>
  <si>
    <t>Carbon NMR: What is the mystery compound?</t>
  </si>
  <si>
    <t>SPC</t>
  </si>
  <si>
    <t>Analytical Chemistry
Organic Chemistry</t>
  </si>
  <si>
    <t>Carbon NMR
13-Carbon Nuclear Magnetic Resonance (13C-NMR)</t>
  </si>
  <si>
    <t>Recognize when 13C-NMR techniques can be usefully applied
Describe the factors that give rise to chemical shifts
Prepare a sample for 13C-NMR analysis
Classify the resonances in example 13C spectra and relate them to molecular structure</t>
  </si>
  <si>
    <t xml:space="preserve">Help Yummy Food Inc survive the shut down of their food factory! Learn about the principles of the analytical technique carbon-13 NMR and interpret the spectrum of the mysterious unlabelled compound they have used in their food and drink.
</t>
  </si>
  <si>
    <t xml:space="preserve">NMR saves the day! In this simulation, you will learn about the principles of the analytical spectroscopic technique known as nuclear magnetic resonance. Understand the factors that cause the resonance peaks and train your chemistry mind to interpret the complete spectra. 
Why Carbon-13?
In our very fun minigame, learn about the characteristics of the carbon-13 nuclei and why the isotope of carbon is detected instead of the carbon-12 we know to be in the periodic table. Explore more features of the atomic nuclei that are important for nuclear magnetic resonance technology such as gyromagnetic ratio and natural abundance. 
Chemical Shifts
Why do we get peaks at different chemical shifts? Explore the characteristics of atoms in a functional group that alters the position of the peaks in the Carbon-13 NMR spectra. Learn in more depth the effects of electronegativity, electron induction, and diamagnetic anisotropy and in what molecular examples do these effects take place. 
Apply your newly gained knowledge about the functional groups and resonance peaks to interpret the spectra, and grasp how these effects can alter the chemical shift of the peaks. Continue your learning and get some practice using the chemical shift range to identify the presence of functional groups in the molecular structure of your solid sample.
Sample preparation
Let’s go to the lab bench! Familiarise yourself with the process of sample preparation of an organic solid compound. Explore the equipment and the reagents such as the solvents and the reference compound.
Interpret the final spectrum to uncover the molecular structure of the unknown compound.
Become the scientific detective we know you are and solve the ultimate chemystery!
</t>
  </si>
  <si>
    <t>a0Kw000000Iko9VEAR</t>
  </si>
  <si>
    <t>Carbohydrates: The sugars that feed us</t>
  </si>
  <si>
    <t>BSL</t>
  </si>
  <si>
    <t>https://api2.labster.com/simulation/a0Kw000000Iko9VEAR/play</t>
  </si>
  <si>
    <t>Stoichiometric Calculations: Identify a compound using gravimetric analysis
Stoichiometry: Gravimetric Analysis</t>
  </si>
  <si>
    <t>Danish
English (United States)
Spanish
French
Italian
German</t>
  </si>
  <si>
    <t>HS-LS1-3
HS-LS1-6</t>
  </si>
  <si>
    <t>Reading scientific papers
Analyzing blood sugar measurements</t>
  </si>
  <si>
    <t>Understand the molecular structure of sugars and polysaccharides
Understand digestion and appreciate the complexity of the human body
Experiment with different foods and measure their impact on the blood sugar level</t>
  </si>
  <si>
    <t xml:space="preserve">The Carbohydrates Lab explores how carbohydrates are broken down by the digestive system and taken up into the bloodstream.
</t>
  </si>
  <si>
    <t xml:space="preserve">Most people are familiar with carbohydrates, especially when it comes to what we eat. For example, to lose weight, some individuals adhere to “low-carb” diets. Athletes, in contrast, often “carbohydrate-load” before important competitions to ensure that they have enough energy to compete at a high level.
Different types of carbohydrates
Carbohydrates are an essential part of a diet because they provide energy to the body. Grains, fruits, and vegetables are all natural sources of carbohydrates for energy. These foods consist of both soluble and insoluble carbohydrates. The insoluble part is known as fiber, which is mostly cellulose.
Learn how carbohydrates are digested
Your goal in the Carbohydrates lab is to learn how carbohydrates are digested and utilized by the body as an energy source. Use the in-lab molecule visualizer to study the chemical structure of sugars and learn the basics of molecule structures and chemical formulas. You will also perform a real experiment and get a sense of how the amylase breaks down starch. A 3D animation will visualize the molecular process of carbohydrate digestion.
Test the effect on blood glucose levels
You will find that the effect on the blood glucose level is very different, depending on the composition of food. For that reason, you can choose different food items and measure the increase of the blood glucose level of a virtual test subject.
Will you be able to use your carbohydrates knowledge to figure out which foods will cause a spike in the blood glucose levels?
</t>
  </si>
  <si>
    <t xml:space="preserve">Carbohydrates are part of our daily life, but few people actually know what these "sugars" we ingest actually are. In the Carbohydrates lab, you will learn how glucose and fructose impact blood sugar levels and how they are broken down, stored and provide energy to our system. Furthermore, you'll get a short introduction to the role of insulin and the effects of diabetes on the concentration of sugar in the bloodstream. (internal notes
)
3D visualization of the main carbohydrates (3:50 in screencast) (Visualization)
3D visualization of the main carbohydrates (3:50 in screencast) (Visualization)
Animation on amylase and sugar's digestion (8:40 in screencast) (Animation)
Animation on amylase and sugar's digestion (8:40 in screencast) (Animation)
Measurement of sugar concentration in blood after consumption of different foods (15:50 in screencast) (Experiment)
Measurement of sugar concentration in blood after consumption of different foods (15:50 in screencast) (Experiment)
</t>
  </si>
  <si>
    <t>(Showcase)</t>
  </si>
  <si>
    <t>2.3 Carbohydrates and lipids</t>
  </si>
  <si>
    <t>Biology Unit 1.2: Elements of life
Biology Unit 1.5: Structure and Function of Biological Macromolecules
Biology Unit 1.3: Introduction to Biological Macromolecules
Biology Unit 1: Chemistry of Life
Biology Unit 1.4: Properties of Biological Macromolecules</t>
  </si>
  <si>
    <t>a0Kw000000JFWv0EAH</t>
  </si>
  <si>
    <t>Biosafety</t>
  </si>
  <si>
    <t>BSY</t>
  </si>
  <si>
    <t>https://api2.labster.com/simulation/a0Kw000000JFWv0EAH/play</t>
  </si>
  <si>
    <t>Matter and Phase Changes: Distil ethanol
States of Matter
Heating Curves and Phase Changes: Distil Ethanol
Exploring a Distillation Apparatus</t>
  </si>
  <si>
    <t>Microscopy
Bacteria inoculation
Containment Level 3 good practice and aseptic technique</t>
  </si>
  <si>
    <t>Understand how a Biosafety containment level III laboratory is constructed (e.g. air flow and pressure control)
Understand the basic safety rules of a Biosafety containment level III laboratory (e.g. use of safety equipment)
Handle microorganisms in a Biosafety containment level III laboratory
Understand the concept of fumigation and how this is executed within a microbiological safety cabinet.</t>
  </si>
  <si>
    <t xml:space="preserve">Introduction to containment level 3 (Biosafety level 3, BSL3) research laboratory, a hypothetical approach to identifying a potential bioterrorism agent that is classed as a hazard group three microorganism.
</t>
  </si>
  <si>
    <t xml:space="preserve">In the Biosafety simulation, you will be introduced to the concept of laboratory containment, which is a very special type of laboratory required to work with hazardous pathogens.
Laboratory containment
Containment in this context refers to the requirements set out by various bodies to safely manipulate such pathogens. In this simulation, you will be able to experience a containment level 3 (Biosafety level 3 or BSL3) research laboratory.
Learn about lab safety
You will become familiar with the basic protocols utilized to ensure safety, and you will be presented with the specific basic safety rules for this type of laboratory (e.g. personal protective equipment (PPE) and primary containment). In addition, you will learn how every part of the laboratory is designed to avoid contamination. This includes learning about why the pressure in the laboratory needs to be controlled at all times (secondary containment), and how the microbiological safety cabinets are designed to offer protection).
Identify the hazard
In the Biosafety simulation you will be presented with a hypothetical case where you will need to identify a potential bioterrorism agent that is classed as hazard group three microorganism.
Please note that this simulation has been developed broadly around UK regulations. Some protocols may differ depending on the specific regulations.
</t>
  </si>
  <si>
    <t>Generic lab safety support</t>
  </si>
  <si>
    <t>Early Stage Bachelors Level
EHEA First Cycle
EHEA Short Cycle
FHEQ 5
FHEQ 6
FHEQ 4
US College Year 2
US College Year 1
Support for laboratory skills at all levels</t>
  </si>
  <si>
    <t>a0K7R000011IMpGUAW</t>
  </si>
  <si>
    <t>Stoichiometry: Avogadro’s number and molecular calculations</t>
  </si>
  <si>
    <t>SO1</t>
  </si>
  <si>
    <t>https://api2.labster.com/simulation/a0K7R000011IMpGUAW/play</t>
  </si>
  <si>
    <t>HS-PS1-7
PS1.A-E2</t>
  </si>
  <si>
    <t>Qualitative analysis
Flame color test</t>
  </si>
  <si>
    <t>Explain relationship between mass, molecular weight, and numbers of atoms or molecules
Perform conversion and derivations calculations using key molecular quantity parameters
Define Avogadro’s number and describe the mole quantification of matter</t>
  </si>
  <si>
    <t xml:space="preserve">Define and calculate key molecular parameters based on Avogadro’s Law and learn about the relationship between mass, molecular weight, and numbers of atoms or molecules! 
</t>
  </si>
  <si>
    <t xml:space="preserve">This short, targeted simulation is adapted from the full-length “Stoichiometric Calculations” simulation.
How many moles of sand grains has the Sahara desert? What is the only equation you´ll ever need in chemistry? The short stoichiometry simulation will help you answer those questions! Follow the footsteps of great chemists and learn about key molecular parameters based on one and only star of chemistry calculations: Avogadro’s Law! 
Concept mole and Avogadro’s Law: 
Your first mission in this short simulation is to familiarize yourself with the concept of mole and the way of counting molecules of substances using the one and only Avogadro’s Law. You will learn how to convert huge numbers of particles into handy Avogadro’s number, extensively used by all chemists around the world! 
Chemical units relationship: 
Next, you will explore the relationship between mass, molecular weight, and number of atoms. This magical equation will enable you to perform derivations of molecular quantity parameters for various chemical substances. You will feel like Marie Curie analysing chemical dependencies of chemicals in her french laboratory! 
Use theoretical knowledge in practice: 
When you learn about those concepts of Avogadro’s number and unit conversion of molecular quantity parameters, jump to the second stoichiometry short simulation “Stoichiometry: Gravimetric Analysis” to use this theoretical knowledge in practice and discover the name of the unknown chemical in the Labster chemistry lab!
</t>
  </si>
  <si>
    <t>Chemistry 1
Chemistry 1.2</t>
  </si>
  <si>
    <t>Chemistry 1.1 Moles and Molar Mass
Chemistry 4.5 Stoichiometry</t>
  </si>
  <si>
    <t>Early Stage Bachelors Level
EHEA First Cycle
FHEQ 6
US College Year 2
US College Year 1
EHEA Short Cycle</t>
  </si>
  <si>
    <t>a0K7R000011IMpBUAW</t>
  </si>
  <si>
    <t>Separating Mixtures: Using distillation to concentrate ethanol</t>
  </si>
  <si>
    <t>DI4</t>
  </si>
  <si>
    <t>HS-PS1-3
HS-PS1-4
HS-PS1-8
HS-PS1-5
PS1.A-E2</t>
  </si>
  <si>
    <t>Distillation</t>
  </si>
  <si>
    <t>Read a phase diagram and explain each region
Interpret a heating curve of a given substance
Explain the difference between a heating curve and a phase diagram
Understand the basic steps of performing a distillation
Distinguish between physical and chemical properties of matter and classify changes of matter as physical or chemical</t>
  </si>
  <si>
    <t xml:space="preserve">Rescue a town from a fuel crisis by using your knowledge about matter and phase changes principles and performing ethanol distillation.
</t>
  </si>
  <si>
    <t xml:space="preserve">This short, targeted simulation is adapted from the full-length “Matter and Phase Changes: Distil ethanol” simulation.
Get ready to encounter how great the distillation technique is!  In this simulation, you will help a town concentrate ethanol in order to support them during their fuel shortage crisis. Are you ready to learn how to separate a homogeneous mixture of liquids?
Explore the difference between physical and chemical change
In the Separating Mixtures simulation, you will meet Jo who has a limited fuel supply and therefore wants to produce bioethanol. In order to help her, you must first know the difference between the physical and chemical change of a substance in order to find the right technique.  
Generate heating curves
Once you’ve mastered the basics, you are ready to learn about additional aspects of phase changes and be introduced to heat curves. You will learn how to interpret heating curves to identify important information of the boiling point of ethanol and water at atmospheric pressure. By doing so, you will be able to decode the meaning of each line of the heating curves and understand how this information is useful to your experiment. You will also be introduced to phase diagrams and understand how other physical properties can be predicted through this data.
Perform distillation
Once you have understood why distillation is the right technique, the next step is to perform it. At the end of the simulation, you will put your newly acquired knowledge to the test! You are going to use the distillation technique to achieve ethanol with higher purity. Will you be able to produce high purity ethanol and report your findings to Jo?
</t>
  </si>
  <si>
    <t>Chemistry 3.1. Intermolecular Forces
Chemistry 3.3 Solids, Liquids, and Gases
Chemistry 4.4 Physical and Chemical Changes
Chemistry 6.5 Energy of Phase Changes</t>
  </si>
  <si>
    <t>a0K7R000011IMp7UAG</t>
  </si>
  <si>
    <t>Introduction to Qualitative Analysis of Elements</t>
  </si>
  <si>
    <t>PE1</t>
  </si>
  <si>
    <t>https://api2.labster.com/simulation/a0K7R000011IMp7UAG/play</t>
  </si>
  <si>
    <t>Periodic Table of Elements: Get the table organized in time!
Introduction to Groups of the Periodic Table</t>
  </si>
  <si>
    <t>PS1.A-H2</t>
  </si>
  <si>
    <t>Describe the structure and organization of the periodic table
Describe some of the trends among groups and periods for atomic properties
Classify elements of a family based on their location in the periodic table
Distinguish metals from other element classes based on typical characteristics
Use the flame color test to identify metals based on their position in the periodic table
Relate valence electrons and oxidation state of a main group element to its position in the periodic table</t>
  </si>
  <si>
    <t xml:space="preserve">Help Dr. One get the periodic table ready in time! By directly observing the elements’ characteristics and testing their flame color, your mission is to figure out where a number of fallen out elements belong in the periodic table.
</t>
  </si>
  <si>
    <t xml:space="preserve">This short, targeted simulation is adapted from the full-length “Periodic Table of Elements: Get the table organized in time!” simulation.
Let’s fire up the elements! In this simulation, you will learn all the fundamentals of the periodic table. You will find out which elements have metallic characteristics, perform a flame test, and explore some of the trends in atomic properties among the main groups and periods.
Fix the broken table in time
Your first mission is to familiarize yourself with the periodic table and understand the fundamentals of the elements. You will use this knowledge to figure out where the missing pieces belong by investigating the elements’ characteristics and properties. The periodic table is an amazing tool for getting an overview of all the elements in existence, even the elements that only exist when we create them ourselves. So let’s put it back together! 
Flame color test and atomic properties
You will combine your observations with the results from the flame color test to sort the first few elements in the table. You will do this by careful observation and comparison of the flame colors with other elements from the table. You may need to use your knowledge about element classes as well to get the full overview.
There are surprisingly many atomic properties for which trends can be observed via the periodic table and you will investigate some of these trends in the lab. You will need all of your gained knowledge to fix the table and assign the fallen-out elements back into it before time runs out.
Help a student in need
At the end of the simulation, a special guest will visit the lab, and she needs your help to understand the basics of the periodic table. 
Will you be able to and use your knowledge of the periodic table to explain it to the guest and answer her questions?
</t>
  </si>
  <si>
    <t>Chemistry 3.1 Periodic table
Chemistry 3.2 Periodic trends</t>
  </si>
  <si>
    <t>Chemistry Unit 1.7</t>
  </si>
  <si>
    <t>a0K7R000011IMpfUAG</t>
  </si>
  <si>
    <t>Exploring Human Reproductive Cells</t>
  </si>
  <si>
    <t>ML1</t>
  </si>
  <si>
    <t>https://api2.labster.com/simulation/a0K7R000011IMpfUAG/play</t>
  </si>
  <si>
    <t>Meiosis: Understand how traits are inherited
Meiosis, Mitosis and Plant Gametes</t>
  </si>
  <si>
    <t>LS3.B-H1
LS3.A-H1</t>
  </si>
  <si>
    <t>University of Copenhagen; Danmarks Tekniske Universitet</t>
  </si>
  <si>
    <t>Sample preparation
Microscopy</t>
  </si>
  <si>
    <t>Outline how traits are inherited
Use the microscope to observe sperm and ova
Compare phases and outcomes of mitosis and meiosis</t>
  </si>
  <si>
    <t xml:space="preserve">The Labster fertility center needs your help! Some of the samples of sperm and ova have been mixed up in unlabeled tubes and the team needs your sort this out. While exploring the samples, learn about the process of meiosis and mitosis.
</t>
  </si>
  <si>
    <t xml:space="preserve">This short, targeted simulation is adapted from the full-length “Meiosis: Understand how traits are inherited” simulation.
In this simulation, you will use microscopy to study the difference of sperm and ova while helping the team at the Labster fertility center. You will explore how meiosis contributes to genetic diversity in the population and discover the key differences between meiosis and mitosis. 
Meet Marie at the Labster fertility center
Meet Marie at one of the labs in the Labster fertility center. She will greet you with open arms, as she desperately needs your help and expertise to fix a mistake. The lab technician accidently forgot to label the tubes with sperm and ova samples. Will you be able to study the samples and determine which is which? 
Fill in the blanks of meiosis
Complete the diagram with an overview of the process of meiosis. Fill the blank boxes in the steps of the meiosis process, with the correct content. You will dive into the interphase, meiosis I and meiosis II and the production of diploid and haploid cells. 
Compare meiosis and mitosis 
Next, you will compare the process of meiosis and mitosis and learn how each of these processes contributes to human reproduction. You will complete interactive diagrams of both meiosis and mitosis to create a visual overview for yourself.
</t>
  </si>
  <si>
    <t>Biology 11.4 Sexual reproduction</t>
  </si>
  <si>
    <t>Biology Unit 5.6
Biology Unit 5.2
Biology Unit 6.2</t>
  </si>
  <si>
    <t>Early Stage Bachelors Level
EHEA First Cycle
EHEA Short Cycle
FHEQ 6
FHEQ 5
FHEQ 4
US College Year 1
US College Year 2</t>
  </si>
  <si>
    <t>a0K7R000011IMowUAG</t>
  </si>
  <si>
    <t>Exploring a Distillation Apparatus</t>
  </si>
  <si>
    <t>DI1</t>
  </si>
  <si>
    <t>https://api2.labster.com/simulation/a0K7R000011IMowUAG/play</t>
  </si>
  <si>
    <t>Matter and Phase Changes: Distil ethanol
States of Matter
Heating Curves and Phase Changes: Distil Ethanol
Separating Mixtures: Using distillation to concentrate ethanol</t>
  </si>
  <si>
    <t>Understand the basic steps of performing a distillation
Recognize the two main phase changes in a distillation: evaporation and condensation
Relate the specific parts of a simple benchtop distillation system to their roles played in distillation
Describe the uses of vacuum distillation
Identify the correct placement of the thermometer for reliable temperature readings
Explain the importance of the cooling water system
Describe the link between the setup of the cooling water system and thermal shock</t>
  </si>
  <si>
    <t xml:space="preserve">Get ready to dive deep into the process of distillation, by inspecting a simple benchtop distillation system and exploring all its parts on your own. Will you be able to relate the part of the distillation apparatus to their functions?
</t>
  </si>
  <si>
    <t xml:space="preserve">This short, targeted simulation is adapted from the full-length “Matter and Phase Changes: Distil ethanol” simulation.
From a liquid to a gas and back into a liquid… distillation is pretty exciting, right? In this simulation, you will be diving into the exciting laboratory apparatus used for simple distillation. Learn about the exciting process of distillation and how it works in relation to all of the system setup. Discover how it can be beneficial in your lab experiments. It’s amazing how you can explore the distillation apparatus without actually having to set it up yourself. It is one of the many benefits of our high-tech virtual lab!
Explore the apparatus
Get a closer look into the distillation apparatus by studying the setup of the distillation system and learning about the purpose of each laboratory instrument including glassware such as the distilling flask, collection flask, and condenser, temperature measurement through a heating mantle and thermometer, and finally the vacuum apparatus. Learn about the basic principle of distillation and what type of mixtures you can apply this simple distillation technique to. 
Test your knowledge
At the end of the simulation, you will put your newly acquired knowledge to the test! Use your knowledge and virtual lab experience with the distillation system to answer questions about the function of the equipment and glassware.
The theory behind distillation
Review what you have learned about the distillation process in terms of the changes from the sample, in the beginning, all the way through to the end at the sample collection step. Improve your learning by learning the extra key bits of information through our amazing theory pages.
</t>
  </si>
  <si>
    <t>a0Kw000000Iko9cEAB</t>
  </si>
  <si>
    <t>ENK</t>
  </si>
  <si>
    <t>https://api2.labster.com/simulation/a0Kw000000Iko9cEAB/play</t>
  </si>
  <si>
    <t>Medical Genetics
Gene linkage and pedigree analyses</t>
  </si>
  <si>
    <t>Data analysis of enzyme kinetics measurements
Spectrophotometry</t>
  </si>
  <si>
    <t>Understand the experimental design of enzyme kinetics
Understand the Michaelis-Menten model of enzyme kinetics
Analyze spectrophotometer data and calculate Km and Vmax
Understand that kinetics of an enzyme can be modified by genetic mutations
Understand inhibition kinetics by using several types of inhibitors</t>
  </si>
  <si>
    <t xml:space="preserve">Investigate Alcohol Flush Syndrome by studying Alcohol Dehydrogenase kinetics. Learn how to use a spectrophotometer, perform an enzyme kinetics experiment, analyze data and understand different inhibition mechanisms.
</t>
  </si>
  <si>
    <t xml:space="preserve">In the Enzyme Kinetics Lab, you will learn how substrates are converted into products by catalysis. You will also learn all about the kinetics of enzyme involving the Michaelis-Menten equation and various rate constants, as well as DNA mutation and hyperactivity. You will get to run experiments using the enzyme Alcohol Dehydrogenase on a wild and mutant type to learn about Alcohol Flush Syndrome.
Use a spectrophotometer to measure enzyme reaction
In the Enzyme Kinetics lab, you will access a fully equipped workbench where you can prepare the Alcohol Dehydrogenase reaction and measure the product of Acetylaldehyde using a spectrophotometer. You will learn about the concept of spectrophotometry, how to prepare a master mix and how to calculate dilution. You will try to prepare a reaction in a 1 ml cuvette and measure the amount of product formed using the spectrophotometer.
See it all on a molecular level
Supplementary 3D animations illustrate what happens at the molecular level when the substrate and co-factor enter the active site. During the 3D animations, you will also answer quiz questions to test your understanding of the concepts. The animations are interactive, so you can identify the substrate by clicking on the different molecules.
Experiment freely and measure the results
For every measurement, you receive a progress curve displaying amounts of product formed over time. You must then analyze the outcome data and plot your own Michaelis-Menten graph to find the Km and Vmax for each enzyme. By comparing Km and Vmax values of the wild type vs. mutant Alcohol Dehydrogenase, you will be able to understand the Alcohol Flush Syndrome. With the newly added module of enzyme inhibition, you are asked to perform different enzyme inhibition experiments using three different inhibitors. You can measure product formation using several inhibitor concentrations, extract the data, create your own Lineweaver-Burk plot and solve the Ki.
Updated with a mathematically based simulator
We have recently upgraded the Enzyme Kinetics lab by implementing a mathematically based simulator. This provides you with a larger flexibility in conducting the experiments, allowing you to change parameters such as substrate concentrations, enzyme concentrations, temperature or pH and receive the corresponding results. In this semi-guided module, you can experiment with different parameters in order to find the optimal temperature and pH to reach the highest initial reaction rate.
Upon completing the Enzyme Kinetics lab, you will be familiar with the kinetics of enzyme Alcohol Dehydrogenase. Will you be able to use your newly acquired knowledge to perform the experiment and analyze the data outcome? And can you apply your knowledge to the real life example of Alcohol Dehydrogenase and the Alcohol Flush Syndrome?
</t>
  </si>
  <si>
    <t>Early Stage Bachelors Level
FHEQ 6
EHEA First Cycle
Intermediate Stage Bachelors Level
US College Year 2
US College Year 3
US College Year 1
US College Year 4
Late Stage Bachelors Level
Early Stage Masters Level</t>
  </si>
  <si>
    <t>a0K7R000011IMpVUAW</t>
  </si>
  <si>
    <t>Building Gram Positive and Gram Negative Cell Walls</t>
  </si>
  <si>
    <t>GS2</t>
  </si>
  <si>
    <t>https://api2.labster.com/simulation/a0K7R000011IMpVUAW/play</t>
  </si>
  <si>
    <t>The Gram Stain: Identify and differentiate bacteria
Gram Stain: How stains and counterstains work
Gram Stain: Test yourself in Gram Stain Procedure
Using the Gram Stain to Help Diagnose Meningitis</t>
  </si>
  <si>
    <t>English (United States)
Spanish
Italian
French
German</t>
  </si>
  <si>
    <t>Microscopic analysis
Cell observation</t>
  </si>
  <si>
    <t>Differentiate between gram-positive and gram-negative cell walls
Relate the structure of bacterial cell envelopes to Gram stain outcomes</t>
  </si>
  <si>
    <t xml:space="preserve">Have you ever wondered what exactly makes bacteria divided into Gram groups? Do they have special barcodes or tiny identifiers at their surface? Let's find out together! 
</t>
  </si>
  <si>
    <t xml:space="preserve">This short, targeted simulation is adapted from the full-length “The Gram Stain: Identify and differentiate bacteria” simulation.
Did you know that there are approximately 5 million-trillion-trillion bacteria in the world? Most of them are harmless, some are the cause of serious diseases, but all of them are either Gram positive or Gram negative bacteria. In this simulation, you will explore the structure of bacterial cell walls and learn how to recognise them.    
Explore cell wall structures
Discover different structures that build up both types of cell walls and familiarize yourself with their functions. What are the real differences between Gram positive and negative bacteria?
Build your own 3D models
Compare and contrast the cell wall of Gram-positive and Gram-negative bacteria. Play around at the holotable and see if you can replicate the structure of both groups. Test your knowledge on their structures by building your very own bacterial 3D models on the hologram table. Will you be the next Gram and discover a completely new group of bacteria?
</t>
  </si>
  <si>
    <t>a0K7R000016wmCQUAY</t>
  </si>
  <si>
    <t>Cancer: Impact of BRCA mutations</t>
  </si>
  <si>
    <t>MG2</t>
  </si>
  <si>
    <t>https://api2.labster.com/simulation/a0K7R000016wmCQUAY/play</t>
  </si>
  <si>
    <t>Gravimetric analysis</t>
  </si>
  <si>
    <t xml:space="preserve">Relate BRCA1 and BRCA2 mutations to the genetic events that lead to cancer development
Describe the role of oncogenes and tumor suppressor proteins in cancer </t>
  </si>
  <si>
    <t xml:space="preserve">Investigate the principles of cancer development and cancer-related gene mutations to assess the risk of breast cancer development in a patient with a history of cancer in the family.
</t>
  </si>
  <si>
    <t xml:space="preserve">This short, targeted simulation is adapted from the full-length “Medical genetics” simulation.
Our cells have a very powerful system of checkpoints and alarm mechanisms to prevent serious mutations. But sometimes these mechanisms fail. In this simulation, you will learn about cancer and genes related to breast cancer development. Will you manage to help our patient and assess her risk of breast cancer development?
Learn the principles cancer development
Begin by reviewing some basic facts about cancer and its development. You will learn how gene mutations influence cells and lead to their uncontrolled growth into cancerous cells. Discover the difference between proto-oncogenes and tumor suppressor genes. What are their roles in cancer development? Find out how cancer can be heritable. 
Discover the influence of BRCA genes on breast cancer
BRCA genes strongly relate to breast cancer development. They account for up to 10% of all breast cancer cases. Discover their role in cell regulation and explain why mutations in these genes can be passed on biological children, increasing the risk of breast cancer in future generations.
Assess the risk of cancer development in Rosa
The knowledge gained throughout the simulation will help you assess the risk of breast cancer development in our patient - Rosa. Study family pedigree and results of gene analysis and draw conclusions on the nature of cancer and possibility that Rosa will have it in the future. 
</t>
  </si>
  <si>
    <t>Biology Unit 6.7</t>
  </si>
  <si>
    <t>Early Stage Bachelors Level
EHEA First Cycle
Intermediate Stage Bachelors Level
US College Year 3
US College Year 4
US College Year 5
US College Year 6</t>
  </si>
  <si>
    <t>a0K7R000011IMoxUAG</t>
  </si>
  <si>
    <t>Building Animal Cells</t>
  </si>
  <si>
    <t>CE1</t>
  </si>
  <si>
    <t>https://api2.labster.com/simulation/a0K7R000011IMoxUAG/play</t>
  </si>
  <si>
    <t>Cell Structure: Cell theory and internal organelles</t>
  </si>
  <si>
    <t>LS1.A-M2
LS1.A-H1</t>
  </si>
  <si>
    <t>University of Exeter</t>
  </si>
  <si>
    <t>Describe the different intracellular and extracellular components forming eukaryotic cells</t>
  </si>
  <si>
    <t xml:space="preserve">Help determine what a bear ate before it died by building the structure and choose the internal organelles of the four basic types of animal cells found inside the bear’s mouth.
</t>
  </si>
  <si>
    <t xml:space="preserve">This short, targeted simulation is adapted from the full-length “Cell Structure: Cell theory and internal organelles” simulation.
In this simulation, you will learn about the structures and internal organelles of animal cells. Physical structures of the four basic animal cell types will be highlighted and the function and importance of each internal organelle will be discussed. Oh, and you will have to take a tissue sample from inside the mouth of a bear. Watch out for the sharp teeth!
Investigate a bear’s death 
Hikers have discovered a dead bear on their trail and it’s your mission to determine why it died. Maybe it was poisoned or maybe it died of underlying causes such as old age? Standing in the middle of a secluded forest, you must build up the courage to take a sample from inside the bear’s mouth. Then, build the potentially deadly organism by building 4 cells representative of each basic type of animal tissue: neural, epithelial, muscle and connective tissue. 
Build the cells 
Students will be challenged to choose the correct internal organelles for the animal cells. You will learn about the function and importance of the nucleus, ER, cytoskeleton, Golgi apparatus, lysosomes, ribosomes, and mitochondria. Then, determine which cellular structures are unique to specific animal cells such as sarcomeres, tight junctions, axons, dendrites and the extracellular matrix. 
Uncover the mysterious death of the bear
Put together everything you have learned about organelles and cellular structures to build each type of cell in the mystery organism. At the end, will you be able to figure out what killed the bear and uncover the mystery?
</t>
  </si>
  <si>
    <t>Biology 1.1 Introduction to cells
Biology 1.2 Ultrastructure of cells</t>
  </si>
  <si>
    <t>Early Stage Bachelors Level
EHEA First Cycle
EHEA Short Cycle
FHEQ 4
US College Year 1
FHEQ 5
FHEQ 6</t>
  </si>
  <si>
    <t>a0K7R000011IMpLUAW</t>
  </si>
  <si>
    <t>Stoichiometry: Gravimetric Analysis</t>
  </si>
  <si>
    <t>SO2</t>
  </si>
  <si>
    <t>https://api2.labster.com/simulation/a0K7R000011IMpLUAW/play</t>
  </si>
  <si>
    <t>Stoichiometric Calculations: Identify a compound using gravimetric analysis
Stoichiometry: Avogadro’s number and molecular calculations</t>
  </si>
  <si>
    <t>Identify limiting and excess reagents in a chemical reaction
Separate a precipitate solid from a mixture by suction filtration
Calculate the theoretical, actual and percentage reaction yield</t>
  </si>
  <si>
    <t xml:space="preserve">Perform gravimetric analysis to identify an unknown chemical in Labster laboratory! 
</t>
  </si>
  <si>
    <t xml:space="preserve">This short, targeted simulation is adapted from the full-length “Stoichiometric Calculations” simulation.
Labster chemical laboratory needs your help! One of the chemical container´s label went missing, and you can help us figure out  what is inside, so we can re-label it properly! Use gravimetric analysis to identify an unknown compound, just as Marie Curie, one of the greatest chemists, used it for her breakthrough radioactive research! 
Prepare the analyte: 
Your first mission in this short simulation will be to prepare the compound for gravimetric analysis. Use a balanced chemical reaction equation to prepare the compound and perform precipitation reaction. Remember to record everything in your virtual Lab journal and solve the mystery! 
Perform filtration: 
Next step will teach you how to perform the suction filtration process. You will learn how to set up the equipment and how to handle the precipitated sample. Always go back to your lab journal, your precise analysis will help us to learn the truth about an unknown compound!
Use theoretical knowledge in practice: 
After performing gravimetric analysis and gathering all pieces of information, it’s time to identify an unknown compound! You will also learn to calculate reaction yield, to see how close we were to the ideal chemically balanced reaction!
</t>
  </si>
  <si>
    <t>a0K2X00000h4MyXUAU</t>
  </si>
  <si>
    <t>Confocal Microscopy</t>
  </si>
  <si>
    <t>COV</t>
  </si>
  <si>
    <t>https://api2.labster.com/simulation/a0K2X00000h4MyXUAU/play</t>
  </si>
  <si>
    <t>Laser scanning confocal microscopy
Staining of plant samples for fluorescence microscopy</t>
  </si>
  <si>
    <t>Describe the principles of confocal microscopy
Use the basic functions of a confocal microscope
Select the optimal settings to take confocal micrographs
Acquire confocal images and create 3D renderings
Describe the setup of a confocal microscope
Discuss the advantages of confocal microscopy over conventional optical microscopy</t>
  </si>
  <si>
    <t xml:space="preserve">Join this virtual confocal microscopy lab and learn how to take pin-sharp confocal micrographs and 3D renderings. Use the knowledge to save your uncle’s crop from a mysterious plant disease.
</t>
  </si>
  <si>
    <t xml:space="preserve">Are you tired of blurry fluorescent microscope images and do you want to move to the next level? In the Confocal Microscopy simulation, you will learn about the benefits of using a confocal microscope over other optical imaging techniques. You’ll get to take a closer look at the setup of this type of microscope and learn how to operate it.
Identify the plant disease
Your overall task will be to investigate a mysterious plant disease found at your uncle’s farm. You’ll make a visit to the farm and take an infected barley sample back to the lab where you canl take a closer look at the specimen by using confocal microscopy.
Take a look inside the microscope
In the Confocal Microscopy lab, you’ll be able to look inside a confocal microscope. Follow the lightpath along the mirrors and through the pinhole, and you’ll soon learn how the powerful light of a laser is used to scan a sample of a single layer. See how the pinhole contributes to the formation of razor-sharp fluorescent images.
Analyze the 3D structure
Your last task in the Confocal Microscopy lab is to choose the optimal exposure and scan line speed to take the best possible fluorescence images of the stained crop sample. Finally, you will take a stack of confocal images to create a 3D rendering that will help you to investigate what has infected your uncle’s barley.
Are you ready to identify the plant disease and give your uncle advice on a potential treatment to save his crops
</t>
  </si>
  <si>
    <t>Related Core</t>
  </si>
  <si>
    <t>Early Stage Bachelors Level
Early Stage Masters Level
EHEA First Cycle
EHEA Second Cycle
FHEQ 6
FHEQ 7
Intermediate Stage Bachelors Level
Late Stage Bachelors Level
US College Year 1
US College Year 2
US College Year 3
US College Year 5
US College Year 4
Support for laboratory skills at all levels</t>
  </si>
  <si>
    <t>a0K7R000011IMpaUAG</t>
  </si>
  <si>
    <t>Gram Stain: How stains and counterstains work</t>
  </si>
  <si>
    <t>GS4</t>
  </si>
  <si>
    <t>https://api2.labster.com/simulation/a0K7R000011IMpaUAG/play</t>
  </si>
  <si>
    <t>The Gram Stain: Identify and differentiate bacteria
Gram Stain: Test yourself in Gram Stain Procedure
Building Gram Positive and Gram Negative Cell Walls
Using the Gram Stain to Help Diagnose Meningitis</t>
  </si>
  <si>
    <t>The Gram stain technique
Light microscopy</t>
  </si>
  <si>
    <t>Relate the structure of bacterial cell envelopes to Gram stain outcomes
Differentiate the gram positive and gram negative bacteria under the microscope</t>
  </si>
  <si>
    <t xml:space="preserve">Have you ever wondered how the bacteria cell actually gets stained during Gram staining procedure? Discover how the cell retains a certain color during the experiment and to differentiate it under the microscope!
</t>
  </si>
  <si>
    <t xml:space="preserve">This short, targeted simulation is adapted from the full-length “The Gram Stain: Identify and differentiate bacteria” simulation.
Did you know that almost all 5 million-trillion-trillion bacteria in the world can be divided into Gram-negative or Gram-positive groups? Have you ever wondered how exactly the structural components of the cell wall get stained? Dive into the microscopic world and discover the colorful magic of Gram staining procedure!
Explore the bacterial cell wall structure
Compare and contrast the cell wall of Gram-positive and Gram-negative bacteria by diving into their microscopic samples and observing how the cell wall structures retain certain reagents during the experiment. Discover how the four reagents of the Gram stain interact with structural components of the cell wall to color the bacteria.       
Interpret given samples using a microscope 
Being able to tell the difference, you will use a light microscope to interpret the results of a given Gram stain. View the microscopic image on the computer screen, and remember to  apply immersion oil to increase magnification! Will you be able to identify the presence of bacteria?
</t>
  </si>
  <si>
    <t>a0K7R000011INJBUA4</t>
  </si>
  <si>
    <t>Thin Layer Chromatography: Separate a mixture and monitor a reaction's progress</t>
  </si>
  <si>
    <t>TLC</t>
  </si>
  <si>
    <t>https://api2.labster.com/simulation/a0K7R000011INJBUA4/play</t>
  </si>
  <si>
    <t>Organic Chemistry
General Chemistry
Analytical Chemistry</t>
  </si>
  <si>
    <t>Danmarks Tekniske Universitet</t>
  </si>
  <si>
    <t>Thin Layer Chromatography (TLC)</t>
  </si>
  <si>
    <t>Assemble, run, and analyze your own TLC experiment
Understand the key principles of Thin Layer Chromatography and how the mobile and stationary phases interact with a sample to enable separation
Monitor the progress of a reaction via TLC
Quantify and interpret the spots on a complete TLC plate
Measure migration distances and use them to determine the Rf values of different compounds of interest</t>
  </si>
  <si>
    <t xml:space="preserve">Discover the intermolecular interactions involved in Thin Layer Chromatography. Utilize this newfound knowledge to assemble, run, and analyze a TLC experiment to monitor the progress of a reaction.
</t>
  </si>
  <si>
    <t xml:space="preserve">Explore the interactions involved in Thin Layer Chromatography
Dr. One has been experimenting. In the Lab you can observe the separation of pigments in a spinach leaf, but how did they achieve this? Welcome to the world of Thin Layer Chromatography! Using a solvent, a stationary phase, a sample, and some time, you will be able to separate the components of a mixture. Learn about the interactions by taking a visit to the world's largest TLC plate (awaiting official certification), and zoom into the stationary phase to observe how TLC separates a sample.
Determine the mobile phase through trial and error
After you have explored the interactions, it is time to determine the mobile phase solvent ratio for your own TLC plate. Trial combinations of different solvents to separate compounds with different polarities, until you have found the perfect mobile phase to separate the molecules of interest. The joys of a virtual lab means you get instant feedback, and don’t have to wait for several TLC plates to develop.
Monitor the progress of a reaction via TLC and analyze the results
Once you have calculated the correct solvent ratio, it’s time to get to work. Assemble and run your own TLC experiment to monitor the progress of a reaction. Select the appropriate apparatus, experiment with how to handle and place the plate, and correctly spot the sample onto the stationary phase. Will you be able to successfully remove the plate from the chamber at the right time? After you have run the experiment, move onto analyzing your TLC plate under UV light, determining when the reaction has gone to completion. The virtual lab saves time again, with rapid results! Then you will cap it all off by measuring the distance the spots have moved to calculate the Rf value. Will you be able to successfully analyze your results and figure out at what time the reaction completed?
</t>
  </si>
  <si>
    <t>a0Kw000000Iko9rEAB</t>
  </si>
  <si>
    <t>Protein Synthesis</t>
  </si>
  <si>
    <t>PSL</t>
  </si>
  <si>
    <t>https://api2.labster.com/simulation/a0Kw000000Iko9rEAB/play</t>
  </si>
  <si>
    <t>Introduction to Protein Synthesis
Treatment for Chronic Kidney Disease
MALDI Investigation into Doping</t>
  </si>
  <si>
    <t>Biochemistry
Anatomy &amp; Physiology</t>
  </si>
  <si>
    <t>HS-LS1-1</t>
  </si>
  <si>
    <t>Protein synthesis
Mass spectrometry</t>
  </si>
  <si>
    <t>Understand the translation process from mRNA to amino acid
Understand the post-translational modification
Understand the protein synthesis processing in the ribosome
Understand the primary, secondary, tertiary and quaternary structures of protein
Understand the basic principles of mass spectrometry (MALDI-TOF)</t>
  </si>
  <si>
    <t xml:space="preserve">Explore the structure of proteins and learn about the synthesis process inside the cells. Examine the protein sequence to understand the differences of protein synthesis in prokaryotes and eukaryotes.
</t>
  </si>
  <si>
    <t xml:space="preserve">In the Protein Synthesis lab, you will learn about the difference between protein synthesis in prokaryote (using E. coli) and eukaryote (using CHO cells).
Prepare recombinant Erythropoietin and use the mass spectrometer
Your first task in the lab will be to prepare recombinant Erythropoietin that is transfected into E. coli and CHO cells. The lab assistant will prepare the recombinant EPO and you will measure the mass to charge ratio using a mass spectrometer. Not sure how to handle the mass spectrometer? No worries! You can just take out your labpad and find an animated video to learn the basics.
Study the translation process from mRNA to amino acids
You will also learn about the translation process from mRNA to amino acids and how amino acids are assembled to proteins. A 3D animation is shown describing how triplets of codons are translated into amino acids, how these amino acids are joined together by peptide bonds creating a primary structure of protein, and furthermore, how the primary structure is folded into secondary, tertiary and quaternary structure.
Investigate doping in bike athletes
In the last part of the Protein Synthesis lab, you will use mass spectrometry and investigate if there are any athletes who are using rhEPO as a doping substance. You will do so by collaborating with the doping agent who collects urine samples in a large bicycle race.
Will you be able to detect if any of the athletes are using doping?
</t>
  </si>
  <si>
    <t>2.4 Proteins
2.7 DNA replication, transcription and translation</t>
  </si>
  <si>
    <t>Unit 6: Gene Expression and Regulation
Big Idea 2: Energetics</t>
  </si>
  <si>
    <t>Early Stage Bachelors Level
EHEA First Cycle
FHEQ 6
US College Year 2
US College Year 1</t>
  </si>
  <si>
    <t>a0Kw000000Iko9oEAB</t>
  </si>
  <si>
    <t>Molecular Cloning</t>
  </si>
  <si>
    <t>MCL</t>
  </si>
  <si>
    <t>https://api2.labster.com/simulation/a0Kw000000Iko9oEAB/play</t>
  </si>
  <si>
    <t>Periodic Table of Elements: Get the table organized in time!
Introduction to Qualitative Analysis of Elements</t>
  </si>
  <si>
    <t>Transformation
Colony screening
DNA extraction
Cloning</t>
  </si>
  <si>
    <t>Understand molecular cloning techniques: DNA extraction and preparation, ligation, transformation, plate streaking and antibiotic selection
Understand inducible gene expression regulation
Understand the use of GFP as a reporter gene
Understand DNA damage and DNA repair system</t>
  </si>
  <si>
    <t xml:space="preserve">Dive into recombinant DNA technology with cell division, transcription and translation. Includes concepts in restriction enzymes, cloning and reporter genes.
</t>
  </si>
  <si>
    <t xml:space="preserve">Molecular cloning is one of the techniques that has laid the foundation for modern biotechnology. The technique was first used in the 1980′s and allowed the insertion of an insulin gene derived from humans to be inserted into yeast and coli bacteria. This allowed the microbes to produce insulin, which is the primary medication in diabetes treatment. Since then, molecular cloning and genetic engineering has become one of the most fundamental techniques ranging from pharmaceutical production, bioethanol production along with medical to basic research. In the Molecular Cloning lab, you will learn how to assemble an expression vector containing RAD52 and GFP. The aim is to control the expression level of RAD52 with Doxycyline and to monitor the expression level by observing the GFP signal.
Vector assembly
In the first part of the Molecular Cloning lab, you will learn how to extract DNA from yeast cells and restrict enzyme isolation in DNA from another vector. First, you will prepare the extracted DNA and measure the concentration, and then, you will assemble a vector containing a gene of interest (RAD52) and GFP using the correct ligase, buffer and temperature of incubation.
Transformation
The assembled vector will be transformed into yeast cells using electroporation. RAD52 gene expression is regulated by a gene regulator. When Doxycyline is added to the media, RAD52 gene will be silenced. GFP is used as a reporter gene to RAD52, cells with active RAD52 will also express GFP and cells with silenced RAD52 will not express GFP. The GFP signal is monitored by exposing the cells to blue light.
DNA damage and repair system
RAD52 is hypothesized to be an important player in DNA repair. You will perform an experiment comparing the result of induced DNA damage through UV radiation in cells expressing RAD52 and cells with silenced RAD52. If RAD52 is important in performing DNA repair, cells with silenced RAD52 will not survive the UV radiation treatment. All in all, the Molecular Cloning lab will give you an overview of the molecular cloning techniques and the reporter gene, and you will learn all about DNA damage and DNA repair system.
</t>
  </si>
  <si>
    <t>a0K7R000011IMpSUAW</t>
  </si>
  <si>
    <t>Meiosis, Mitosis and Plant Gametes</t>
  </si>
  <si>
    <t>ML2</t>
  </si>
  <si>
    <t>https://api2.labster.com/simulation/a0K7R000011IMpSUAW/play</t>
  </si>
  <si>
    <t>Exploring Human Reproductive Cells
Meiosis: Understand how traits are inherited</t>
  </si>
  <si>
    <t>English (United States)
Spanish
German
Italian
French</t>
  </si>
  <si>
    <t>Outline how traits are inherited
Use the microscope to observe the phases of meiosis and understand their main characteristics
Compare phases and outcomes of mitosis and meiosis</t>
  </si>
  <si>
    <t xml:space="preserve">Help the laboratory investigate some of their samples of lily anthers and explore the phases of meiosis in them. Learn the basics of meiosis and mitosis by comparing the two processes. 
</t>
  </si>
  <si>
    <t xml:space="preserve">This short, targeted simulation is adapted from the full-length “Meiosis: Understand how traits are inherited” simulation.
In this simulation, you will use microscopy to study samples of lily anthers while helping the team at the laboratory. You will study the process of cell division and discover the key differences between meiosis and mitosis. 
Help Marie and her team
You will meet Marie at the laboratory where she and her team is doing a study on lily anthers to investigate the phases of meiosis, and they need your help with an experiment.
 Use microscopy to study meiosis
Jumping straight into their research project, you will prepare a sample of a lily anther for microscopy and study the phases of meiosis. You will learn how gametes are formed and how they fuse in fertilization.
Complete the interactive diagram
Then you will compare meiosis and mitosis and learn how each of these processes contributes to human reproduction. You will complete interactive diagrams of both meiosis and mitosis to create a visual overview for yourself. Will you be able to give Marie and her team the help they need?
The tasks you will encounter in this short simulation are parts from the longer Meiosis: Understand how traits are inherited simulation, in which you will find other related tasks and missions within this topic.
</t>
  </si>
  <si>
    <t>Biology 9.4 Reproduction in plants</t>
  </si>
  <si>
    <t>Biology Unit 5.6
Biology Unit 6.2
Biology Unit 5.2</t>
  </si>
  <si>
    <t>a0K7R000011IMp8UAG</t>
  </si>
  <si>
    <t>Introduction to Groups of the Periodic Table</t>
  </si>
  <si>
    <t>PE2</t>
  </si>
  <si>
    <t>https://api2.labster.com/simulation/a0K7R000011IMp8UAG/play</t>
  </si>
  <si>
    <t>Fehling's Test
Benedict's test
Tollens test</t>
  </si>
  <si>
    <t>Describe the structure and organization of the periodic table
Classify elements of a family based on their location in the periodic table
Describe the main trends among groups and periods for atomic properties
Explain the causes on the atomic level for the main trends among groups and periods concerning atomic radii, ionization energy and electronegativity</t>
  </si>
  <si>
    <t xml:space="preserve">Help Dr. One get the periodic table ready in time! By directly observing the elements’ characteristics, and investigating trends in atomic properties, your mission is to figure out where a number of fallen out elements belong.
</t>
  </si>
  <si>
    <t xml:space="preserve">This short, targeted simulation is adapted from the full-length “Periodic Table of Elements: Get the table organized in time!” simulation.
Some trends never go out of style! In this simulation, you will learn the fundamentals of the periodic table and explore some of the main trends in atomic properties among the main groups and periods. 
The table is falling apart
The periodic table in this virtual lab is broken and Dr. One needs your help in order to fix it before time runs out. Some of the elements have fallen out of the table wall, and it’s your mission to figure out where they belong by investigating their characteristics and properties. The periodic table is an amazing tool for getting an overview of all the elements in existence, even the elements that only exist when we create them ourselves. 
Atomic properties and main trends 
To place the elements back in the table you need to observe their atomic properties and discover the main trends of the groups and periods. There are surprisingly many atomic properties for which trends can be observed via the periodic table. You will move on to the virtual holotable, where you will investigate these trends and deduct how they behave when you move within and between periods and groups of the table. You may need to use your knowledge about element classes as well to get the full overview.
Become the teacher
At  the end of the simulation, a special visitor will be coming by the lab, and she needs you to help her understand the atomic properties and trends of the periodic table. Will you be able to explain it to the visitor?
</t>
  </si>
  <si>
    <t>a0K7R000016wliaUAA</t>
  </si>
  <si>
    <t>Chemical Nomenclature: Learn the importance of inorganic compounds in life!</t>
  </si>
  <si>
    <t>NOM</t>
  </si>
  <si>
    <t>https://api2.labster.com/simulation/a0K7R000016wliaUAA/play</t>
  </si>
  <si>
    <t>General Chemistry
Inorganic Chemistry</t>
  </si>
  <si>
    <t xml:space="preserve">Interconvert the names and formulas of monatomic cations and anions 
Interconvert the names and formulas of simple ionic and covalent inorganic compounds
Interconvert the names and formulas of simple ionic and covalent inorganic compounds </t>
  </si>
  <si>
    <t xml:space="preserve">Become an alchemist for the day! Conjure up the names of inorganic compounds and learn their applications. Can you unlock all 16 transmute structures?
</t>
  </si>
  <si>
    <t xml:space="preserve">Inorganic nomenclature is one of the key foundations required for many chemical careers, such as in analytical chemistry, cosmetics, and hygiene. In this simulation, you will apply the periodic table to accurately name monoatomic anions, cations, and binary compounds. Then, you will apply the International Union of Pure and Applied Chemistry (IUPAC) rules for oxyanion naming to accumulate a catalog of oxyanion/acid structures. 
Naming monoatomic ions
Familiarise yourself with the terminology: monoatomic, anion, cation, ionic, covalent, and binary compounds. Utilize the periodic table to begin constructing a recipe on how to name monoatomic anions and cations. Practice breaking up IUPAC names into their root and suffix.
Naming binary compounds
Build on the monoatomic ion naming recipe to name ionic, covalent, and binary acid compounds, accurately. Practice applying this recipe to name common inorganic compounds found at the beach!
Construct jigsaw models of oxyanions/acids
Construct oxyanions and oxyacids to visually learn the difference between the various IUPAC rules. Learn the basics of lewis structures and how VSEPR theory alters the geometry of oxyanions and their oxyacids. 
Build a structure bank of oxyanions/acids
At the end, challenge your oxyanion knowledge by unlocking all 16 oxyanion and oxyacid structures in our ‘free play mode’. Transmute your completed models into their everyday applications!
</t>
  </si>
  <si>
    <t>Chemistry Unit 2</t>
  </si>
  <si>
    <t>Early Stage Bachelors Level
EHEA First Cycle
EHEA Short Cycle
US College Year 1
US College Year 2
US College Year 3</t>
  </si>
  <si>
    <t>a0K7R000016wlLNUAY</t>
  </si>
  <si>
    <t>Gene linkage and pedigree analyses</t>
  </si>
  <si>
    <t>MG1</t>
  </si>
  <si>
    <t>https://api2.labster.com/simulation/a0K7R000016wlLNUAY/play</t>
  </si>
  <si>
    <t>Medical Genetics</t>
  </si>
  <si>
    <t>Pedigree/ linkage analysis
Pedigree trees</t>
  </si>
  <si>
    <t>Construct a pedigree using a polymerase chain reaction derived data
Interpret the relationship between specific genetic mutations and cancer development risk</t>
  </si>
  <si>
    <t xml:space="preserve">Put yourself in the place of a genetic counselor and find out if the daughter of a breast cancer patient is at a higher risk of developing breast cancer herself. Help her by constructing a pedigree and finding the defective gene by using linkage analysis.
</t>
  </si>
  <si>
    <t xml:space="preserve">This short, targeted simulation is adapted from the full-length Medical Genetics simulation. 
Did you know you can easily check if you have a small mutation in your BRCA1 or BRCA2 that can make you more likely to develop breast cancer? In this simulation, you will learn to construct a pedigree based on the acquired data from the DNA of the patient and discover the potential relationship between mutations and cancer development risk but using linkage analysis. 
Constructing pedigree
Your first task is to construct a family pedigree based on the gathered information. You will learn how to read a family pedigree and determine whether or not traits are hereditary. You will visit the hospital and talk with a doctor to learn about hereditary cancer and identify genes, such as BRCA1 and BRCA2 that can cause hereditary breast cancer in a family.
Linkage analysis
Next, you will arrive in the laboratory to start your experiments. You will begin with a linkage analysis using four microsatellite markers that are located close to BRCA1 and BRCA2 genes. Then you will perform a PCR to amplify the microsatellite markers and interpret the results by using gel electrophoresis. 
Analyze the pedigree
In the end, by using the gel electrophoresis results, you will analyze the genotypes from family members. Will you be able to determine which gene is linked to hereditary breast cancer in this family?
</t>
  </si>
  <si>
    <t>Biology 3.1</t>
  </si>
  <si>
    <t>Biology Unit 5.4</t>
  </si>
  <si>
    <t>Early Stage Bachelors Level
Early Stage Masters Level
EHEA First Cycle
US College Year 1
US College Year 2
US College Year 3
US College Year 4</t>
  </si>
  <si>
    <t>a0K7R000016wlLhUAI</t>
  </si>
  <si>
    <t>Ion Exchange Chromatography</t>
  </si>
  <si>
    <t>CC1</t>
  </si>
  <si>
    <t>https://api2.labster.com/simulation/a0K7R000016wlLhUAI/play</t>
  </si>
  <si>
    <t>Parkinson's Disease
Size Exclusion Chromatography: Separate monomers from oligomers</t>
  </si>
  <si>
    <t>Ion-exchange column chromatography</t>
  </si>
  <si>
    <t xml:space="preserve">Learn about the function and principles of ion exchange chromatography and get hands-on experience by purifying a protein involved in Parkinson’s disease to help studying the relation between the protein and the disease.
</t>
  </si>
  <si>
    <t xml:space="preserve">This short, targeted simulation is adapted from the full-length Parkinson’s Disease simulation. 
How to purify the protein sample to obtain a high purity compound? Now you have the opportunity to learn one of the techniques that can do that! In the Ion Exchange Chromatography simulation, you will learn what chromatography is and you will perform your own purification experiment.
Prepare the protein sample
First step in chromatography is the preparation of the sample. Therefore, in the beginning you will extract monomers of alpha synuclein (aSN), a protein that is involved in the development of Parkinson’s disease. In order to do so, you will use sonication to extract the protein, which is produced by an E. coli bacterial strain.
Perform ion-exchange chromatography
Next step is the purification of  the extracted aSN monomers by ion exchange chromatography. First, you will learn about the different parts of the chromatography equipment to get familiar with them and then you will apply your knowledge and run the experiment yourself!
Analyze the results and pick the right fraction
Finally, you will analyze the chromatogram and find the fraction that has our purified aSN protein. Your work will help the researchers in their further study. Maybe your contribution will help us find a cure for Parkinon’s disease?
</t>
  </si>
  <si>
    <t>Early Stage Bachelors Level
EHEA First Cycle
FHEQ 6
Intermediate Stage Bachelors Level
US College Year 1
US College Year 2
US College Year 3
US College Year 4</t>
  </si>
  <si>
    <t>a0K7R000016wkz2UAA</t>
  </si>
  <si>
    <t>Applications of Buoyancy: floatation</t>
  </si>
  <si>
    <t>BOY</t>
  </si>
  <si>
    <t>https://api2.labster.com/simulation/a0K7R000016wkz2UAA/play</t>
  </si>
  <si>
    <t>Physics
Forces and Motion</t>
  </si>
  <si>
    <t>PS2.A-M1</t>
  </si>
  <si>
    <t>Grossmont College (Dr. Philip Blanco)</t>
  </si>
  <si>
    <t>Predict whether an object will float or sink in a liquid, using the concept of buoyant force and equilibrium (possibly with a force diagram).
Calculate the submerged fraction of floating objects.</t>
  </si>
  <si>
    <t xml:space="preserve">Join Dr. One at the lake and learn what it takes to make an object float or sink. Find out how the density of a liquid does significantly impact the buoyancy of an object and how much of a floating object is submerged below the surface.
</t>
  </si>
  <si>
    <t xml:space="preserve">Boats, ships, submarines, or a pleasant swim at the lake are all possible because of the buoyant force. In fact, buoyancy is the upward force we need from a liquid to stay afloat.In this simulation, you will learn that the fluid density and the submerged volume of an object both influence the buoyant force. Do you think you will be able to help Archimedes design a perfect swimsuit for Dr. One and help her enjoy a trip of ultimate relaxation at the lake?
Floating and sinking objects
Join Dr. One in our virtual lab and experiment with the weights of objects and how this influences their position in a liquid. You will have three balls with different weights at your disposal and a tank filled up with a water sample you collected from the lake. 
During this experiment, you will investigate how the densities of both the object and the fluid affect buoyancy. You will also understand what exactly causes something to float or sink, and the relation between the buoyant force and the object’s weight for a floating object. 
Play with different liquid densities
You will have the possibility to fill up the tank with three different liquids. This experiment will explain how the fluid’s density affects the submerged volume of an object. You won’t just intuitively guess the position of the balls in the tank, but you will also evaluate the submerged volume of the balls using equations. You will look at how the submerged fraction of an object relates to the ratio between the densities of the object and the fluid it is immersed in. But don't worry! Dr. One will be there to explain and guide you through the terms of each equation. 
The shape-shifting ball 
It is time now to understand if the shape of an object can also influence its ability to float or sink. You can find this out by playing with a magic ball, which is able to change shape with the click of a button. Will you be able to solve this mystery? You will need this last piece of information to be able to help Dr. One float on her vacation!
Help Archimedes
At the end of this simulation, you will use your knowledge on the buoyant force to help Archimedes design a perfect swimsuit for Dr. One, and allow her to enjoy a trip of ultimate relaxation at the lake. Of course, you will be able to test your piece of art and see if it works!
</t>
  </si>
  <si>
    <t>Physics 2.2</t>
  </si>
  <si>
    <t>Physics 1 Unit 2.3
Physics 1 Unit 3.2
Physics 2 Unit 1.3</t>
  </si>
  <si>
    <t>EHEA Short Cycle
FHEQ 4
US College Year 1</t>
  </si>
  <si>
    <t>a0K7R000016wkzWUAQ</t>
  </si>
  <si>
    <t>Synthesis of Aspirin: How to fight students’ migraines</t>
  </si>
  <si>
    <t>ASP</t>
  </si>
  <si>
    <t>https://api2.labster.com/simulation/a0K7R000016wkzWUAQ/play</t>
  </si>
  <si>
    <t>HS-LS2-4
Energy and Matter</t>
  </si>
  <si>
    <t>Organic synthesis
Percentage yield calculation</t>
  </si>
  <si>
    <t>Briefly describe the reactions involved in the synthesis procedure (esterification)
Correctly assemble and use condenser apparatus 
Correctly assemble and use the suction filtration (Buchner)
Determine the percentage yield of the final product
Assess the purity with the melting point technique</t>
  </si>
  <si>
    <t xml:space="preserve">Hone your synthetic skills in organic chemistry by going through a reaction that involves crystallization, filtration, calculation of the yield and a quality analysis using the melting point: the synthesis of aspirin.
</t>
  </si>
  <si>
    <t xml:space="preserve">Begin your learning experience in a modern pharmacy and help Marie the pharmacist, by synthetizing some extra aspirin in the laboratory, to fight the outbreak of headaches amongst students during the exam period.
Identify the reaction
First, let’s dive into the theory!  Learn about esterification reactions and the history of aspirin. You will be challenged to understand the correct reagents and products involved in the synthesis of aspirin. With the basics now covered, you are ready to step into the laboratory! 
Perform crystallization and filtration
The practical part of the simulation begins. Following the canonical synthetic route, you go through the steps of a synthesis like you would in a real laboratory, with some precious time gained! In our virtual lab, multiple actions can happen simultaneously and you can speed up time.
From weighing the reagent to setting the correct apparatus for the reaction, from finding the correct ways of cooling down a solution to following the best practices to form big crystals, you are constantly challenged and supported with the theory. A great way to learn by doing, gain lab skills and master the equipment!
Calculate the yield and check the quality of the product
To complete the experience, you are asked to look into which steps could have caused a loss of product in the whole synthetic process, and calculate the yield. You are also responsible for  testing the quality of the product, and perform a qualitative analysis using the melting point technique.
Time to check if your mission is accomplished! Did you synthetize enough aspirin to help all those students?
</t>
  </si>
  <si>
    <t>Chemistry D.2</t>
  </si>
  <si>
    <t>Early Stage Bachelors Level
EHEA First Cycle
EHEA Short Cycle
FHEQ 6
SCQF 10
SCQF 9
US College Year 1
US College Year 2
US College Year 3</t>
  </si>
  <si>
    <t>a0K7R000011IKP6UAO</t>
  </si>
  <si>
    <t>Comparing Bacterial Structures</t>
  </si>
  <si>
    <t>BA2</t>
  </si>
  <si>
    <t>Describe general bacterial cell structures and their related function
Compare bacterial organelles to those of eukaryotic cells
Describe cellular features unique to bacterial cells and relate them to cell survival</t>
  </si>
  <si>
    <t xml:space="preserve">Explore the similarities and differences between bacterial and eukaryotic cell structures. Discover what structural features allow bacteria to survive in extreme environmental conditions.
</t>
  </si>
  <si>
    <t xml:space="preserve">This short, targeted simulation is adapted from the full-length “Bacterial Cell Structure” simulation.
Global warming is causing the ice to melt in Antarctica, leading to the discovery of bacteria that have survived this extreme environment. In this simulation, you will learn about bacterial cell structures and how these are important for bacterial survival. Discover which structural features have allowed the antarctica bacteria to survive in the extreme conditions.
Compare the outer cell structures
You will start your mission by comparing the outer bacterial cell structure to that of the eukaryotic cell. Explore the similarities and differences between the two cell structures by comparing features such as the cell shapes and the cell walls/membranes. Consider the purpose of the cell wall/membrane and how it helps the survival of the cells.
Assemble the inner cell structures
Assemble the cytoplasmic content of the bacterial and the eukaryotic cell. Look at the names of each organelle or cellular component and decide which cell you should place them in. Get feedback about your decisions, and try again if you placed a component incorrectly. Compare the different components in the two cells, such as the nucleus and nucleoid. Can you place all the components in the cells correctly?
Compare the bacterial cell structures
Finally, you will compare your bacterial cell structures to other bacteria and learn which cellular structures are important for the bacteria to survive in extreme environments. Study the structures of E. coli, coccus bacterium, and vibrio bacteria. Learn the function of each component. Can you help the Arctic researchers decide which features aid the survival of the bacteria?
</t>
  </si>
  <si>
    <t>Biology 1.2 Ultrastructure of cells</t>
  </si>
  <si>
    <t>Biology 7.12 Variation in populations</t>
  </si>
  <si>
    <t>a0K7R000011IKPGUA4</t>
  </si>
  <si>
    <t>Treatment for Chronic Kidney Disease</t>
  </si>
  <si>
    <t>PS2</t>
  </si>
  <si>
    <t>Physiology</t>
  </si>
  <si>
    <t>Understand how the hormone EPO is related to chronic kidney disease
Synthesis proteins in in E. coli and CHO cells
Compare the synthesis of proteins in E. coli and CHO cells
Interpret mass spectrometry histograms</t>
  </si>
  <si>
    <t xml:space="preserve">Synthesize a treatment for anemia in patients with chronic kidney disease. Examine the protein sequence to understand the differences between protein synthesis in prokaryotes and eukaryotes.
</t>
  </si>
  <si>
    <t xml:space="preserve">This shorter, targeted simulation is adapted from the full-length “Protein Synthesis” simulation.
Discover a treatment for anemia in patients with chronic kidney disease. In this simulation, you will learn about the difference between protein synthesis in prokaryotic cells (using E. coli) and eukaryotic cells (using CHO cells). Analyze your samples using mass spectrometry to find out which cells are better for synthesizing a treatment.
Chronic kidney disease
Start your mission with a 3D animation explaining the purpose of kidneys and the effects of chronic kidney disease on the body. Learn how anemia can be caused by the disease and how erythropoietin (EPO) affects the production of red blood cells. Review your knowledge of protein synthesis and make a hypothesis before you start your research into a possible treatment. Which cells will perform better?
Prepare the erythropoietin samples
Your first task in the lab will be to prepare recombinant human erythropoietin (rhEPO) that is transfected into E. coli and CHO cells. Prepare the two samples inside the biosafety cabinet then take the samples to the incubator. In a virtual lab we can speed up the incubation time so this step takes seconds instead of hours. Our helpful lab assistant will purify the samples while you review the synthesis of rhEPO with quiz questions.
Use mass spectrometry to analyze your samples
Prepare your samples for analysis. You will measure the mass to charge ratio of the two rhEPO samples using a mass spectrometer. Explore the histograms then answer questions about your results. Can you work out which cells are better for the production of erythropoietin? Was your hypothesis correct?
</t>
  </si>
  <si>
    <t>Biology 2.7 DNA replication, transcription and translation
Biology 3.5 Genetic modification and biotechnology</t>
  </si>
  <si>
    <t>Early Stage Bachelors Level
Early Stage Masters Level
EHEA First Cycle
FHEQ 6
Intermediate Stage Bachelors Level
Late Stage Bachelors Level
US College Year 1
US College Year 3
US College Year 2
US College Year 4</t>
  </si>
  <si>
    <t>a0K7R000011IKfnUAG</t>
  </si>
  <si>
    <t>Cell Membrane and Transport: Modifying the cell membrane</t>
  </si>
  <si>
    <t>AB2</t>
  </si>
  <si>
    <t>High level content, may support HS-LS2</t>
  </si>
  <si>
    <t>Data interpretation
Microscopy sample preparation
Experimental design
Fluorescence Microscopy</t>
  </si>
  <si>
    <t>Describe the plasma membrane structure using the fluid mosaic model
Recognize the relative permeability of lipid bilayers to different classes of molecule
Relate the expression of specific transport proteins to the cell's role</t>
  </si>
  <si>
    <t xml:space="preserve">Discover the structure and function of cell membranes using the fluid mosaic model. Apply your learning to improve the health of synthetic cells that the lead researcher wants to use to produce insulin. 
</t>
  </si>
  <si>
    <t xml:space="preserve">This short, targeted simulation is adapted from the full-length “Cell Membrane and Transport” simulation.
Join Dr. B.I.O. Hacker in her synthetic biology lab, where she wants to change the world! In this simulation, you will learn about the structure and function of the cell membrane, and discover why membrane transporters are vital for healthy cells and the function of organ systems.
The synthetic biology lab
Your mission begins in the synthetic biology lab. Here you will meet Dr. Hacker, who will share with you her idea to change the world. She will introduce you to the concept of selective permeability and the fluid mosaic models of the plasma membrane. Together, you will explore why cells need specialized transporter proteins to transport cargo molecules across their membranes.
Apply your knowledge
Test whether inserting a transporter protein in the membrane would help certain molecules to enter the cell. To do so, you will set up a fluorescence microscopy experiment to measure transport in living cells. First, you will learn how to use a pipette, and then you will add two types of dye to the cells. The cells will then be incubated, which is quick and easy in a virtual lab! By comparing the modified synthetic cells to the positive and negative controls, you can determine the effect of the transporter proteins.
Role in the body
Finally, discover how some transporter proteins do not only keep the cell healthy but also help organ systems to function. From filtration in the kidneys to the contraction of muscles during exercise, membrane transport contributes to many processes. Can you find out how?
</t>
  </si>
  <si>
    <t>Biology 1.4 Membrane transport</t>
  </si>
  <si>
    <t>High level content, may support Biology 2.6 Membrane transport</t>
  </si>
  <si>
    <t>a0K7R000011IKfiUAG</t>
  </si>
  <si>
    <t>Cell Membrane and Transport: Types of transporter proteins</t>
  </si>
  <si>
    <t>AB1</t>
  </si>
  <si>
    <t>Recognize the relative permeability of lipid bilayers to different classes of molecule
Compare active and passive transport of molecules
Identify the 3 modes of active transport and the different classes of ion channel and carrier molecules</t>
  </si>
  <si>
    <t xml:space="preserve">Discover the structure and function of cell membranes by launching cargo molecules at a virtual cell. 
</t>
  </si>
  <si>
    <t xml:space="preserve">This short, targeted simulation is adapted from the full-length “Cell Membrane and Transport” simulation.
You have been teleported to a virtual cell! In this simulation you will learn about the molecules that are able to diffuse across the cell membrane and the molecules that require a transporter protein to enter or leave the cell. Here, you can explore the different channels, carriers, and pumps that exist in the membrane and how they ensure that only the right molecules enter under the right conditions.
The main types of transport
Your mission begins by launching molecules at the virtual cell to discover which molecules can travel through the cell membrane alone and which molecules require transporter proteins. You will learn the role of each of the main types of transporter protein: the aquaporin, the carrier protein, and the channel protein.
Transport subtypes and gating mechanisms
Next, you will discover the role of each transporter protein subtypes, and how they work, by launching ions and molecules at the transporter proteins in the cell membrane of our virtual cell. For example, if a molecule needs to be transported by a carrier protein then you will need to identify the transporter proteins on the cell which are a subtype of the carrier protein.
Transport against chemical gradients
Finally, you will identify the transporter proteins that can transport molecules against a chemical gradient and how they work by launching molecules at the virtual cell. By the end of the simulation you will have learned about how ions and molecules can cross the cell membrane by using different types of transporter proteins.
</t>
  </si>
  <si>
    <t>Biology 2.5 Membrane permeability
Biology 2.6 Membrane transport</t>
  </si>
  <si>
    <t>a0K7R000011IKPBUA4</t>
  </si>
  <si>
    <t>MALDI Investigation into Doping</t>
  </si>
  <si>
    <t>PS3</t>
  </si>
  <si>
    <t>Mass spectrometry</t>
  </si>
  <si>
    <t>Understand the basic principles of mass spectrometry (MALDI-TOF)
Prepare samples for MALDI
Interpret mass spectrometry histograms</t>
  </si>
  <si>
    <t xml:space="preserve">Collaborate with an anti-doping agent at a bicycle race. Test athletes’ urine for a doping substance using mass spectrometry. Can you find out which athlete has been cheating? 
</t>
  </si>
  <si>
    <t xml:space="preserve">This shorter, targeted simulation is adapted from the full-length “Protein Synthesis” simulation.
Investigate doping in bicycle athletes using MALDI. In this simulation, you will collaborate with the doping agent who collects urine samples in a large bicycle race. You will learn how to test urine samples using the mass spectrometry technique MALDI. After preparing and submitting your samples, you will interpret the mass spectrometry histograms. Can you determine if an athlete has been cheating?
Introduction to the doping substance
Start your mission with a 3D animation explaining the purpose of kidneys and the effects of chronic kidney disease on the body. Learn how erythropoietin (EPO) affects the production of red blood cells. Meet the anti-doping agent to find out how athletes have been using recombinant human erythropoietin (rhEPO) to increase their production of red blood cells and enhance their performance.
Investigate doping in bike athletes
You will use mass spectrometry and investigate if there are any athletes who are using rhEPO as a doping substance. First you will prepare the athletes urine samples by adding the matrix solution. Carefully place the prepared samples on the MALDI plate before taking the sample plate into the mass spectrometer. Learn about mass spectrometry and the technique MALDI (Matrix-assisted laser desorption/ionization) with the help of quiz questions and a short video.
Interpret the mass spectrometry histograms
At the end of the lab, you will look at the mass spectrometry histograms. Compare the peaks in the positive rhEPO sample to each of the athletes’ samples. Will you be able to determine if any of the athletes are using the doping substance?
</t>
  </si>
  <si>
    <t>a0Kw000000JFMjuEAH</t>
  </si>
  <si>
    <t>Antibodies: Why are some blood types incompatible?</t>
  </si>
  <si>
    <t>ABL</t>
  </si>
  <si>
    <t>https:</t>
  </si>
  <si>
    <t>Blood Typing</t>
  </si>
  <si>
    <t>Understand the structure and function of antibodies (different isotypes and parts of an antibody)
Understand the formation of the antibody-antigen complex
Name the four major blood types (phenotypes) in the ABO system
Explain the principles of blood typing using Eldon cards
Describe rhesus incompatibility and hemolytic disease</t>
  </si>
  <si>
    <t xml:space="preserve">Learn about the concepts of antibodies and antigens, as well as the ABO and Rhesus blood grouping systems and their importance in blood transfusions. Then, you will help a young couple determine a potential risk for Rhesus disease in their unborn child.
</t>
  </si>
  <si>
    <t xml:space="preserve">Even though antibodies are proteins that protect us from harmful intruders, they can sometimes cause problems. In this simulation, you will examine blood samples from a mother and her unborn child, to determine whether or not they are compatible.
Learn the basics of antibodies
Examine the actual 3D molecular structure of antibodies on the holotable and observe an immersive animation to understand the basics of antibody-antigen interaction and the mechanism that lies behind rhesus incompatibility.
Perform a blood type test
Follow the steps of an Eldon test to determine what blood groups are found in several patient test samples. Discover what antigens and antibodies have to do with blood type, and learn why mixing certain different blood types together can cause problems.
Apply your knowledge
In the end, put all this knowledge to the test by performing the Eldon test on the mother and her unborn child and interpret the results. Will you be able to help the young couple and their child?
</t>
  </si>
  <si>
    <t>11.1 Antibody production and vaccination</t>
  </si>
  <si>
    <t>No direct alignment. May support: Topic 4.1: Cell Communication</t>
  </si>
  <si>
    <t>a0K7R000011IKPRUA4</t>
  </si>
  <si>
    <t>Cellular Respiration: Respirometry</t>
  </si>
  <si>
    <t>CR4</t>
  </si>
  <si>
    <t>https://api2.labster.com/simulation/a0K7R000016wkdLUAQ/</t>
  </si>
  <si>
    <t>Respirometry</t>
  </si>
  <si>
    <t>Contextualise respirometry within metabolic process investigation
Describe the steps of an example respirometric experiment
Relate respiration to blood glucose levels and oxygen consumption</t>
  </si>
  <si>
    <t xml:space="preserve">Observe how we can monitor and better understand respiration by a method known as Respirometry. Learn the effects of exercise of respiration by observing glucose levels and oxygen consumption through a model organism: a mouse. 
</t>
  </si>
  <si>
    <t xml:space="preserve">This short, targeted simulation is adapted from the full-length “Cellular Respiration” simulation.
What in the cellular respiration is Respirometry?!  In this simulation, you will learn all about respirometry and the techniques used to obtain rates of metabolism. You have been employed by the council to help the community basketball team learn about the science behind cellular respiration and metabolism. By performing the experiment on a virtual mouse, you will be able to collect all the data you need.
Respirometry
Discover the inner workings of respirometry and pick up some neat lab techniques! By injecting a mouse with a microchip, you will be able to analyze the oxygen levels, blood glucose levels and lactic acid levels of the subject after exposing it to different environmental factors. Don’t worry about hurting the mouse though! One of the many perks of a virtual simulation is that you get all the experiences and data you need during this experiment without any animals being harmed in the process!
Review your Knowledge
Throughout the experiment will be prompted with some engaging quiz questions to reinforce your knowledge to further your learning of cellular respiration, as well as coming up with a hypothesis to put to the test! To accompany the quiz questions there are relevant theory pages and informative diagrams to aid your learning.
Help athletes perform
Now you are a pro in respirometry and metabolism you will be ready to pass on your knowledge to the basketball players, so they can improve their diet and training regime to remain energized throughout the game. With this new knowledge on their bodies metabolism, they will be unstoppable!
</t>
  </si>
  <si>
    <t>Biology 8.2 Cell respiration, D.6 Transport of respiratory gases</t>
  </si>
  <si>
    <t>Biology Unit 3: Cellular energetics</t>
  </si>
  <si>
    <t>a0K7R000011IKHHUA4</t>
  </si>
  <si>
    <t>Signal Transduction: Choose the best cancer inhibitor</t>
  </si>
  <si>
    <t>ST2</t>
  </si>
  <si>
    <t>Explain the principles and importance of intracellular signal transduction
Explain receptor tyrosine kinase (RTK) cell signaling
Analyze dysregulated signal transduction in human cancer cells
Understand the connection between angiogenesis and tumor growth
Investigate the involvement of vascular endothelial growth factor receptor (VEGFR) signaling in human breast cancer</t>
  </si>
  <si>
    <t xml:space="preserve">Investigate the connection between blood vessel growth and cancer development. Use this knowledge to help the pharma company in their quest to uncover promising drug candidates to treat breast cancer patients.
</t>
  </si>
  <si>
    <t xml:space="preserve">This shorter, targeted simulation is adapted from the full-length “Signal Transduction” simulation.
How do tumors promote their growth in the human body? In this simulation, you will learn how tumor cells send signals to surrounding cells to help promote tumor growth, and how this signal is transmitted inside the cell. You will help a big pharma company uncover the most effective inhibitor to cancerous cell growth and therefore, a promising new drug candidate to treat breast cancer patients.
Analyze patient samples by western blotting
As a researcher in the R&amp;D department of a big pharma company, your mission will be to test the hypothesis that increased blood vessel growth, also called angiogenesis, plays a role in breast cancer development. To investigate this idea, you will interpret the results of a western blot experiment to test for the expression of vascular endothelial growth factor receptor (VEGFR) expression in patient samples compared to healthy tissue samples.
Learn about VEGFR signal transduction
Following the interpretation of initial results, you will learn more about how VEGFR, a receptor tyrosine kinase (RTK) transmits an external signal to the inside of the cell, and how this influences angiogenesis. You will be able to follow the process in a 3D animation.
Develop a strategy for breast cancer therapy
Finally, your mission is to test different inhibitors targeting VEGFR signaling. You will design an experimental approach to test for the activity of this specific class of RTKs. Report back to the company with your key findings! Will you be able to identify a promising new drug candidate for treating patients with breast cancer?
</t>
  </si>
  <si>
    <t>Supports Biology Unit 3: Cellular energetics</t>
  </si>
  <si>
    <t>a0K7R000010reaIUAQ</t>
  </si>
  <si>
    <t>Liquid-liquid Extraction: Extract caffeine from your everyday drinks</t>
  </si>
  <si>
    <t>LIQ</t>
  </si>
  <si>
    <t>Liquid-liquid extraction
Separatory funnel</t>
  </si>
  <si>
    <t>Describe the extraction process and its purpose, giving examples of its applications
Explain the fundamentals of extraction theory and describe the process on molecular and operational levels
Explain the use of drying agents and choose an appropriate drying agent for a variety of solvents
Confidently predict which liquid layer is which and identify the layer your product is in
Carry out step-by-step single and multiple extractions for a variety of solvents and combinations
Competently demonstrate practical techniques required specifically for solvent extraction by following best practice
Troubleshoot and rectify common problems encountered in solvent extraction protocol and rotary evaporation
Competently carry out the work up steps that follow liquid-liquid extraction to isolate a product (filtration, solvent evaporation)</t>
  </si>
  <si>
    <t xml:space="preserve">Learn how to use a separating funnel to extract and dry a water soluble compound, such as caffeine from tea or coffee. Can you also predict the liquid phases in which the compound can be found?
</t>
  </si>
  <si>
    <t xml:space="preserve">Most students (and teachers!) can relate to caffeine's effect, either in tea or coffee. In the Liquid-Liquid Extraction simulation, you will learn how to extract caffeine as powder from its liquid form.
Master the separatory funnel
Learn the correct usage of a separatory funnel by first decanting a simple soda, removing any gas from the liquid perfection you shake, and venting the separatory funnel.  This will teach you how to correctly set up the equipment while preparing you for the next steps. Next you’ll extract the caffeine, using an aqueous and organic phase to transfer the caffeine in multiple steps, from the aqueous coffee to dichloromethane.
Learn from your mistakes!
If you’ve ever made a mistake in the lab, this virtual lab has your back. Learn how to use a separatory funnel without fear of messing things up. In this simulation you have the freedom to make mistakes and learn from them as you go. And if you make a mess, don’t worry: Dr. One will be there to help clean up!
Use practice to learn theory
In liquid-liquid extractions the main focus is on using the separatory funnel. This is used here to separate caffeine from its aqueous phase into an organic phase and then dry it for a tiny amount of dried caffeine powder. Complete this task to help answer the question: Does a cup of tea contain more caffeine than a cup of coffee?
</t>
  </si>
  <si>
    <t>a0Kw000000OwtEKEAZ</t>
  </si>
  <si>
    <t>Signal Transduction: How cells communicate</t>
  </si>
  <si>
    <t>STL</t>
  </si>
  <si>
    <t>https://api2.labster.com/simulation/a0Kw000000OwtEKEAZ/play</t>
  </si>
  <si>
    <t>Out of Scope</t>
  </si>
  <si>
    <t xml:space="preserve">Investigate the connection between blood vessel growth and cancer development, and use this knowledge to identify a promising treatment for breast cancer.
</t>
  </si>
  <si>
    <t xml:space="preserve">In this simulation, you will learn how tumor cells send signals to surrounding cells to help promote tumor growth, and how this signal is transmitted inside the cell.
Analyze patient samples by western blotting
As a researcher in the R&amp;D department of a big pharma company, your mission will be to test the hypothesis that increased blood vessel growth, also called angiogenesis, plays a role in breast cancer development. To investigate this idea, you will perform a western blot experiment to test for the expression of vascular endothelial growth factor receptor (VEGFR) expression in patient samples compared to healthy tissue samples.
Learn about VEGFR signal transduction
Following the interpretation of initial results, you will learn more about how VEGFR, a receptor tyrosine kinase (RTK) transmits an external signal to the inside of the cell, and how this influences angiogenesis. You will be able to follow the process in a 3D animation.
Develop a strategy for breast cancer therapy
Finally, your mission is to test different inhibitors targeting VEGFR signaling. You will design an experimental approach to test for the activity of this specific class of RTKs.
Will you be able to identify a promising new drug candidate for treating patients with breast cancer?
</t>
  </si>
  <si>
    <t>6.6: Hormones, Homeostasis and Reproduction</t>
  </si>
  <si>
    <t>Unit 4: Cell Communication and Cell Cycle</t>
  </si>
  <si>
    <t>a0K2X00000jGkUHUA0</t>
  </si>
  <si>
    <t>Ecological niches: Choose the right Kuppelfang to bring to Earth!</t>
  </si>
  <si>
    <t>NCE</t>
  </si>
  <si>
    <t>https://api2.labster.com/simulation/a0K2X00000jGkUHUA0/play</t>
  </si>
  <si>
    <t>Out of scope</t>
  </si>
  <si>
    <t>Biometrics
Field sampling
HPLC
Data analysis of n-dimensional hypervolumes</t>
  </si>
  <si>
    <t>Quantify a species realized niche
Set up an experiment to compare the effect of simple variables on a species niche
Experimentally determine a species fundamental niche
Visualize niches using an n-dimensional hypervolume
Measure the extent to which acclimation expands a species’ niche
Determine how trade-offs affect the boundaries of a niche</t>
  </si>
  <si>
    <t xml:space="preserve">Investigate why the Kuppelfangs died when transplanted to the new Astakos IV biodome on Earth. Quantify their realized and fundamental niche, and explore how acclimation affects the boundaries of a niche.
</t>
  </si>
  <si>
    <t xml:space="preserve">What if you could have your own cute little alien to pet? How would you know the requirements to keep it alive? In this simulation, you will learn to identify the fundamental niche of any species using Kuppelfangs as an example. This rock-digesting species from Astakos IV couldn’t survive when it was transplanted to a biodome on Earth. You will perform different experiments to understand what caused Kuppelfangs to die in the biodome and ultimately suggest a solution that will enable the species to survive on Earth.
Explore Astakos IV to collect data on a Kuppelfang’s fundamental niche
You will visit the three main regions where Kuppelfangs live on Astakos IV and collect soil samples that will provide information about their realized ecological niche. You will analyze three main variables that affect the survival of Kuppelfangs: temperature, soil pH and soil silicon concentration.
Learn to use n-dimensional hypervolumes and design your own experimental setup
After your field trip, you will measure the pH of the soil samples and determine its silicon concentration using HPLC. You will then plot and visualize your results in a 3-dimensional graph in order to compare the Kuppelfangs’ fundamental and realized niches with the niche found inside Earth’s biodome. After discovering the fundamental niche of Kuppelfangs, you will design an experiment using the three variables you have already measured and let baby Kuppelfangs grow in a greenhouse for one year. Following this step, the simulation will fast forward time so that you can see whether the Kuppelfangs survived in each environment. You will then take some individuals to the lab so that you can measure how certain physical features are related to specific environmental conditions.
Decide the best conditions for the Kuppelfangs’ survival on Earth
At the end of the experiment, you will determine how acclimation can expand and affect the boundaries of a niche. Will you be able to determine why the first Kuppelfangs sent to Earth’s biodome died? Can knowledge of their fundamental niche help you to develop a solution to ensure the Kuppelfangs’ survival in Earth’s biodome?
</t>
  </si>
  <si>
    <t>Biology C.1 Species and communities</t>
  </si>
  <si>
    <t>a0K2X00000zhEw1UAE</t>
  </si>
  <si>
    <t>CEL</t>
  </si>
  <si>
    <t>https://api2.labster.com/simulation/a0K2X00000zhEw1UAE/play</t>
  </si>
  <si>
    <t>Microscopic analysis</t>
  </si>
  <si>
    <t>Explain cell theory
Describe the main differences between the prokaryotes, eukaryotes, plants and animals
Describe the different intracellular and extracellular components forming eukaryotic cells</t>
  </si>
  <si>
    <t xml:space="preserve">Explore a forest to discover the cellular structures of various organisms to help determine what a bear ate before it died. Build the structure and choose the internal organelles of the four basic types of animal cells
</t>
  </si>
  <si>
    <t xml:space="preserve">What components make your cells unique? In this simulation, you will learn to distinguish the structures and internal organelles of prokaryotes and eukaryotes. Physical structures of the four basic animal cell types will be highlighted and the function and importance of each internal organelle will be discussed.
Investigate a bear’s death 
Hikers have discovered a dead bear and it’s your mission to determine why it died. First, freely explore what types of organisms are present in the forest surrounding the bear and observe real microscopic images of their tissues. Determine whether the organisms are unicellular or multicellular and sort the organisms according to whether they have a cell membrane or cell wall. Finally, build the deadly organism by building 4 cells representative of each basic type of animal tissue: neural, epithelial, muscle and connective tissue.
Apply cell theory 
Students will be introduced to each principle of cell theory and apply it to understand how the cellular organization of animal cells in the forest compares to algae, mushrooms, plant roots, and leaves. An incoming storm will help you understand the implication of having a cell wall. After additionally categorizing the organisms as prokaryotes or eukaryotes, you will then build larger-than-life versions of each of the four animal cell types on the holofloor.
Challenged to choose the correct internal organelles for the animal cells, you will learn about the function and importance of the nucleus, ER, cytoskeleton, Golgi apparatus, lysosomes, ribosomes, and mitochondria.  Then, determine which cellular structures are unique to specific animal cells such as sarcomeres, tight junctions, axons, dendrites and the extracellular matrix.
Uncover the mystery animal
Put together everything you have learned about organelles and cellular structures to build each type of cell in the mystery organism. Will you find out what killed the bear?
</t>
  </si>
  <si>
    <t>Biology 1.3 Membrane structure
Biology 1.1 Introduction to cells
1.2 Ultrastructure of cells</t>
  </si>
  <si>
    <t>Biology Unit 2.1
Biology Unit 2.3
Biology Unit 2
Biology Unit 2.2
Biology Unit 2.10
Biology Unit 2.4</t>
  </si>
  <si>
    <t>a0K2X00000jGm8wUAC</t>
  </si>
  <si>
    <t>Atomic Structure: Assess the possibility of life on other planets</t>
  </si>
  <si>
    <t>ATS</t>
  </si>
  <si>
    <t>https://api2.labster.com/simulation/a0K2X00000jGm8wUAC/play</t>
  </si>
  <si>
    <t>Explain the concept of an atom
Explain the properties of the basic subatomic particles: protons, neutrons, and electrons
Define the atomic number and atomic mass
Define isotopes
Understand the basics of the quantum atomic model and describe the significance of the four quantum numbers</t>
  </si>
  <si>
    <t xml:space="preserve">Learn about the atomic structure of the elements and investigate the properties of element samples from an exoplanet to assess whether life on it is a possibility. Find out what differentiates an atom from an ion and define the isotopes of an element.
</t>
  </si>
  <si>
    <t xml:space="preserve">In a real research facility, you may end up provoking a nuclear fusion if the number of neutrons in the nucleus of an atom changed. In the Atomic Structure simulation, you will get the opportunityto decide what the nucleus of an atom looks like, and you will build anions, cations and various isotopes of an element from scratch. You will do this without the fear of causing a nuclear explosion!
Atoms and the subatomic particles
Everything you see around you is made up of atoms, and all atoms consist of subatomic particles. In the Atomic Structure simulation, you will learn the names and properties of the basic subatomic particles and understand how changing the number of electrons may charge an atom either positively or negatively.
Identify different elements from the periodic table
As a part of your mission, you will be teleported to an exoplanet to explore on your own, collect samples and come up with observations regarding the presence of life on the planet. Back in the laboratory, you will investigate the properties of the elements you brought back from the exoplanet. The periodic table will be close by to advise and guide you.
What is an isotope?
In order to understand the main properties of an isotope in the Atomic Structure simulation, you will use the holo-table. With the holo-table, you will be able to see a magnified atom of Lithium, and you will get the chance to build different isotopes of the same element.
The quantum model and quantum numbers
At the end of the simulation, you will be introduced to the quantum mechanical model of an atom and the four quantum numbers that provide all the necessary information to describe the orbits of the electrons around the nucleus.
Are you ready to uncover whether life exists on other planets than Earth?
</t>
  </si>
  <si>
    <t xml:space="preserve">All matter is made of atoms, they are the building blocks of our Universe. Through this simulation, the student will learn the basics of the structure of the atom by building their own atoms, ions, and isotopes. 
Through their acquired understanding of atomic structure, the student will be able to relate the structure of the atom of an element to its position on the periodic table. Finally, the student will be introduced through illustrations and 3D models to the different historical models of the atom, culminating in a fully quantized atom which includes explanations of the quantum numbers. 
 (internal notes
)	
Using Labster's atom builder (3:13 in screencast)
Using Labster's atom builder (3:13 in screencast). Keywords: Learn by doing, Game-like
Quantum atomic models (14:25 in screencast) (Visualization) 
Quantum atomic models (14:25 in screencast) (Visualization)
Identifying elements (8:17 in screencast) (Lab-technique, Learn by doing)
Identifying elements (8:17 in screencast) (Lab-technique, Learn by doing
</t>
  </si>
  <si>
    <t>Chemistry Unit 1.5</t>
  </si>
  <si>
    <t>EHEA First Cycle
EHEA Short Cycle
Early Stage Bachelors Level
US College Year 1
US College Year 2</t>
  </si>
  <si>
    <t>a0K2X00000jGm8cUAC</t>
  </si>
  <si>
    <t>Solution Preparation: From salt to solution</t>
  </si>
  <si>
    <t>SOL</t>
  </si>
  <si>
    <t>https://api2.labster.com/simulation/a0K2X00000jGm8cUAC/play</t>
  </si>
  <si>
    <t>HS-PS1-3, HS-PS1-2, HS-PS1-4, HS-PS1-5</t>
  </si>
  <si>
    <t>Correct use of analytical balance</t>
  </si>
  <si>
    <t>Prepare an aqueous solution of a specific concentration from a pure salt
Correctly use an analytical balance, a volumetric pipette, a volumetric flask, and a measuring cylinder
Explain the relationship between molarity and mass concentration</t>
  </si>
  <si>
    <t xml:space="preserve">Join your fantastic lab guide Dr. One in preparing a tricky aqueous solution of ammonium chloride using an analytical balance, which your colleagues need for an important analysis.
</t>
  </si>
  <si>
    <t xml:space="preserve">Prepare to become a solution champion! In this simulation, you will complete all the steps involved in preparing an aqueous solution of a given molarity from ammonium chloride – a water-soluble salt, from start to storage.
Use that balance
Your first mission will be to determine the exact amount of ammonium chloride needed for your solution. When the calculations are sorted, you will move to your first workbench, where you’ll find an analytical balance. You will use this instrument of high precision to obtain just the right amount of the substance. It’s a tricky procedure, but you’ll have unlimited time and attempts to get it right.
Glassware and quantitative transfer
Moving on to the second workbench, you will explore and determine what glassware will be appropriate for you to use. Your lab guide and mentor, Dr. One, will walk you through the process of preparing the solution. You will have the freedom to use the equipment as you like, but only by following Dr. One’s instructions will you be successful in making the right solution. To make sure you can always redo essential steps of the process, Dr. One will provide you with a fantastic reset button, so you can try again if you make a mistake.
Solve the preparation
In the end, only by carefully ensuring that the right amount of water and ammonium chloride is used can you make the correct solution. Are you prepared for solving how to perform a Solution Preparation?
</t>
  </si>
  <si>
    <t>1.3 Reacting Masses and Volumes</t>
  </si>
  <si>
    <t>3.8 Representations of Solutions</t>
  </si>
  <si>
    <t>a0K7R000011IKHIUA4</t>
  </si>
  <si>
    <t>Inheritance with Pedigrees</t>
  </si>
  <si>
    <t>ME1</t>
  </si>
  <si>
    <t>HS-LS3</t>
  </si>
  <si>
    <t>Pedigree trees</t>
  </si>
  <si>
    <t>Understand the difference between phenotype and genotype
Understand the difference between recessive and dominant alleles
Draw a pedigree tree</t>
  </si>
  <si>
    <t xml:space="preserve">Investigate the principles of inheritance and draw a pedigree tree to understand how color blindness is inherited.
</t>
  </si>
  <si>
    <t xml:space="preserve">This short, targeted simulation is adapted from the full-length “Mendelian Inheritance” simulation.
Did you know that more than 99% of your genes are identical to those found in any other human being on the planet? In this simulation, you will learn about color blindness, the principles of inheritance, and how to draw a pedigree tree. You will draw pedigree trees for eye color and color blindness. Do you think eye color could be related to color blindness?
Learn the principles of inheritance
Begin by reviewing some of the principles of inheritance. You will learn about how genes are passed on from your parents with cells called gametes. Discover the difference between phenotypes and genotypes. Then find out how a genotype can be represented using letters, and how to show if an allele is dominant or recessive. You are then ready to draw a pedigree tree.
Explore eye color in the family
Draw a pedigree tree of eye color in the family. First look at an image showing the eye color of each family member. Then add the eye color for each family member to the pedigree tree. Observe how different eye colors have been passed down through the generations. Can you see a pattern?
Explore color blindness in the family
Draw a pedigree tree of color blindness in the family. First read a description describing who is color blind in the family. Then add this information to the pedigree tree. Once again you can observe how color blindness has been inherited. Compare the two pedigree trees you have made. Does eye color correspond to color blindness?
</t>
  </si>
  <si>
    <t>Biology 3.4 Inheritance</t>
  </si>
  <si>
    <t>Biology 5.3 Mendelian genetics</t>
  </si>
  <si>
    <t>a0K2X000010rJg5UAE</t>
  </si>
  <si>
    <t>Proton NMR: Spectra interpretation</t>
  </si>
  <si>
    <t>PMR</t>
  </si>
  <si>
    <t>English (United States)
Italian
Spanish
German
French</t>
  </si>
  <si>
    <t>Proton NMR</t>
  </si>
  <si>
    <t>Describe the fundamentals of how proton NMR signals are obtained
Define chemical shift and peak splitting
Describe effects of molecular structure on chemical shift and peak splitting
Explain the concept of equivalent and non-equivalent protons
Assign chemical shifts for protons in the following types of groups: Alkanes, alkyl halides, alcohols, ketones
Evaluate peak splitting and peak integrals for molecular structure elucidation
Use proton NMR spectroscopic data to deduce the full structure of a simple organic compound</t>
  </si>
  <si>
    <t xml:space="preserve">Join Sam in the Labster lab where you will use proton NMR spectroscopy to elucidate the structure of an unknown organic compound. You will work with the fundamental concepts and functional groups needed to get started using this powerful technique.
</t>
  </si>
  <si>
    <t xml:space="preserve">How do we in chemistry figure out what chemicals are in an unknown sample? In this simulation you will learn the basic tools needed for interpreting a proton NMR spectrum and use them to elucidate the structure of an unknown compound.
The Labster Food Chemistry Department
You will start off by meeting with Sam, who’s trying to figure out what’s in a sample from the local canteen. If you accept the challenge, it’ll be you who leads the investigation!
Chemical shift
The sample is sent for analysis and you, following a short briefing on the main principle of NMR, will dive into the first main concept: chemical shift. You will practice its application on a series of presented spectra while Dr. One highlights key points to take into account.
Peak splitting
Next you’ll progress to the virtual holotable, where youwill encounter a second layer of complexity to the spectra you’re challenged with: peak splitting. Using your knowledge of organic molecules, and now chemical shifts, you need to figure out exactly which protons in a molecule are equivalent, and what leads to the split patterns you are observing.
Tackling the sample from Sam
Armed with the fundamental tools of NMR interpretation, you return to the spectrum from Sam’s sample. As a final support, Dr. One will add an extra instrument to your kit. But solving the spectrum will be entirely up to you. Will you be able to leverage proton NMR to elucidate the structure of the unknown compound in Sam’s sample?
</t>
  </si>
  <si>
    <t>a0K2X0000114dIKUAY</t>
  </si>
  <si>
    <t>Recrystallization: Dissolve your solid and precipitate your crystals</t>
  </si>
  <si>
    <t>RCM</t>
  </si>
  <si>
    <t>Recrystallization</t>
  </si>
  <si>
    <t>Explain the fundamentals of recrystallization theory and be able to describe the process on molecular and operational levels
Carry out the recrystallization technique by following best practices
Be able to troubleshoot and rectify common problems encountered in recrystallization</t>
  </si>
  <si>
    <t xml:space="preserve">Slip on your thermal resistant gloves, and let's get started! In this simulation, you’ll discover how to purify a solid by using the recrystallization technique. 
</t>
  </si>
  <si>
    <t xml:space="preserve">This mini-simulation is part of the larger “Recrystallization: Purify your solid.” See the full version for more information.
How are impure colored substances turned into pure white or transparent crystals?
In this simulation, you will learn what are the steps to follow in order to dissolve a solid and recrystallize it to eliminate impurities. You will learn why it is important to choose the right solvent and which are the best ways to recrystallize your solid.
Dissolve and recrystallize
Analyze your solid, decide on the right solvent to use, and carry out the entire process -- from dissolving your solid when the solvent is boiling hot, to cooling it down gradually by using an ice bath.
Recrystallization in no time!
Recrystallization is a process that takes time since we need to wait long periods for our solvent to heat up, our mixture to cool, and our crystals to form. Thanks to this virtual simulation, we can offer this experience in a much shorter time frame, minimizing the waiting times!
From the big picture to individual tasks
Get an overview of how recrystallization works and then follow the step by step lab protocol. You will not only understand how this technique is used, but also all the steps that need to be completed to ensure a successful recrystallization.
RELATED SIMULATIONS
Recrystallization: Purify your solid
Recrystallization: Filter your crystals and measure the melting point
</t>
  </si>
  <si>
    <t>a0K7R000010rMYIUA2</t>
  </si>
  <si>
    <t>Recrystallization: Purify your solid</t>
  </si>
  <si>
    <t>CRY</t>
  </si>
  <si>
    <t>Suction Filtration
Melting points
Recrystallization</t>
  </si>
  <si>
    <t>Explain the fundamentals of recrystallization theory and be able to describe the process on molecular and operational levels
Carry out the recrystallization technique by following best practices
Be able to troubleshoot and rectify common problems encountered in recrystallization
Successfully recover a reaction product by performing suction filtration and drying the crystalline solid product
Determine the melting point of a pure solid compound and by comparison explain the difference from crude sample data</t>
  </si>
  <si>
    <t xml:space="preserve">Have you ever wondered how to remove impurities from a solid? How can you be sure you’ve removed them if you do? Step into our recrystallization lab to learn how to purify a solid and check for its purity level! 
</t>
  </si>
  <si>
    <t xml:space="preserve">This is the full-length version of the “Recrystallization” simulation. You can also play the simulation in two smaller parts: "Recrystallization: Filter your crystals and measure the melting point" and "Recrystallization: Dissolve your solid and precipitate your crystals."
How can we purify a solid?
In this simulation, you will learn step by step how to purify a solid by using the recrystallization technique, and on top of that you will be able to filtrate your solid and check for its melting point range.
Recrystallize, filter, and check purity!
At the end of the simulation you will master three different techniques (yes you heard that right; three!): recrystallization, suction filtration, and melting point range.
Accelerated learning
Master the three techniques in a fraction of the time that it would take you in a real lab. Thanks to our ability to fast-forward time in our virtual labs, you’ll be able to skip all those waiting times in the process.
Understand the entire process and complete it step-by-step
You will apply three different techniques, but don’t worry, you will be presented with a whole overview of the process together with detailed instructions on how to complete the protocol. You’ll never be alone!
RELATED SIMULATIONS
Recrystallization: Filter your crystals and measure the melting point
Recrystallization: Dissolve your solid and precipitate your crystals
</t>
  </si>
  <si>
    <t>a0K2X0000113HD6UAM</t>
  </si>
  <si>
    <t>Hydrocarbon Nomenclature and Representations</t>
  </si>
  <si>
    <t>NOC</t>
  </si>
  <si>
    <t>HS-PS1-3, HS-PS1-6</t>
  </si>
  <si>
    <t>Apply the nomenclature of simple hydrocarbons to given 2D and 3D structures
Interpret the core formula types for organic compounds
Decide the appropriate chemical formula type to use for a given hydrocarbon</t>
  </si>
  <si>
    <t xml:space="preserve">Join Dr. One on a mission to figure out how to systematically name hydrocarbons and interpret and use the various core formula types for organic compounds.
</t>
  </si>
  <si>
    <t xml:space="preserve">This simulation was adapted from the original, longer “Organic Chemistry Introduction” simulation. See the full-length simulation for more information.
What’s in a name? In this simulation, you will learn how to name the hydrocarbons - the core part of organic compounds. You will also be challenged with various ways of representing chemical structures in 2D, and learn to decide when to use which one.
Organic chemical compounds
You will start off by meeting with Simon, who’s having trouble figuring out the ins and outs of the fundamentals within organic chemistry. He’s especially lost on how the naming works - which is known as the nomenclature. Perhaps you will be able to sort him out?
Match 2D structure with name and 3D visualization
In the lab, you join forces with Dr. One, who will support and test you on your mission. Begin by suiting up for the lab and getting a quick briefing on how the nomenclature works for hydrocarbons. Then dive straight in to the challenge of figuring out the appropriate name for a given 2D structure, helped by 3D molecular visualization on your holotable.
A chemical formula type for every need
In the challenge above, you’ll be exposed to a specific type of 2D representation of molecules. There are several other types of these representations, though; also called formula. Which one is appropriate to use when? You will explore this on the lab’s interactive wall screen, where you need to assess the strengths and weaknesses of the common types of formula.
Return to Simon
Armed with all your new knowledge, you will return to Simon to share all you’ve learnt. It’s a tricky topic though, but luckily you can repeat the experience if you want to drive the points in even further. Will you be able to solve the hydrocarbon nomenclature challenge?
RELATED SIMULATIONS
Organic Chemistry Introduction: Learn about organic compounds
Carbon Valence, Hybridization and Angles
Functional Groups and Basic Chemical Tests
</t>
  </si>
  <si>
    <t>a0K7R000011IKV4UAO</t>
  </si>
  <si>
    <t>Meiosis: How is color blindness inherited?</t>
  </si>
  <si>
    <t>ME3</t>
  </si>
  <si>
    <t>HS-LS3-2</t>
  </si>
  <si>
    <t>Explain how traits are passed on from parents to their offspring and what causes variation between siblings
Describe Mendel’s Laws of Inheritance in color deficiency
Analyze dominant and recessive alleles, and how they play a part in an individual’s biological make-up</t>
  </si>
  <si>
    <t xml:space="preserve">Investigate the principles of Mendelian inheritance and discover how color blindness is inherited by observing chromosomal rearrangement in an animation.
</t>
  </si>
  <si>
    <t xml:space="preserve">This short, targeted simulation is adapted from the full-length “Mendelian Inheritance” simulation.
Did you know that more than 99% of your genes are identical to those found in any other human being on the planet? In this simulation, you will learn the principle of inheritance and how chromosomal rearrangement leads to color blindness being inherited. Why is color blindness more common in men than women?
Learn the principles of inheritance
Begin by reviewing some of the principles of inheritance. You will learn about how genes are passed on from your parents with cells called gametes. Discover the difference between phenotypes and genotypes. Then find out how a genotype can be represented using letters, and how to show if an allele is dominant or recessive. You are then ready for an animation about gametes and chromosomal rearrangement.
Experience inheritance at the cellular level
Dive deeper into the laws of inheritance as you watch how cells divide to become gametes inside the reproductive system. Watch the cells as the chromosomes duplicate. Then see how genes from the maternal and paternal chromosomes can be swapped in the process called crossing over. The cells will continue to divide until a gamete is formed. Consider how these processes relate to Mendel's laws of inheritance.
Discover how color blindness is passed on
By unraveling the laws of X-linked inheritance, discover why color blindness affects more men than women. Rewatch the animation showing how gametes form, but this time the genes for color blindness are highlighted. A summary chart shows the different possible combinations of chromosomes. Is color blindness a recessive or dominant trait?
</t>
  </si>
  <si>
    <t>Biology 5.1 Meiosis</t>
  </si>
  <si>
    <t>a0K7R000011IKH3UAO</t>
  </si>
  <si>
    <t>Inheritance with Punnett Squares</t>
  </si>
  <si>
    <t>ME2</t>
  </si>
  <si>
    <t>Punnett squares</t>
  </si>
  <si>
    <t>Explain how traits are passed on from parents to their offspring
Draw a punnett square
Compare and predict the phenotypes of offspring with given genotypes using punnett squares</t>
  </si>
  <si>
    <t xml:space="preserve">Investigate the principles of inheritance and help a family determine whether future generations will inherit color blindness.
</t>
  </si>
  <si>
    <t xml:space="preserve">This short, targeted simulation is adapted from the full-length “Mendelian Inheritance” simulation.
Did you know that more than 99% of your genes are identical to those found in any other human being on the planet? In this simulation, you will learn about color blindness, the principles of inheritance, and how to draw a punnett square. Use punnett squares to predict whether future generations in a family will be color blind. What is your prediction?
Learn the principles of inheritance
Begin by reviewing some of the principles of inheritance. You will learn about how genes are passed on from your parents with cells called gametes. Discover the difference between phenotypes and genotypes. Then find out how a genotype can be represented using letters, and how to show if an allele is dominant or recessive. You are then ready to draw some Punnett squares.
Cross purebred mice and observe their phenotypes
To understand the fundamental laws of inheritance, you will cross purebred mice and see how their genes can influence their fur color. By crossing multiple generations you will learn which fur color is dominant. Draw a punnett square based on what you observed to learn how punnett squares can predict the phenotypes of future generations.
Predict the genotypes in the family
What is valid for the fur color in mice, can also be applied to human color blindness! Draw a punnett square for color blindness within the family so you can predict whether future generations will also be color blind. Will you be able to determine if the patient’s children will inherit his color blindness?
</t>
  </si>
  <si>
    <t>a0K2X0000114dCAUAY</t>
  </si>
  <si>
    <t>Bioinformatics: An introduction</t>
  </si>
  <si>
    <t>INF</t>
  </si>
  <si>
    <t>BLAST
RNA-seq</t>
  </si>
  <si>
    <t>Understand how a gene can be involved in the synthesis of a compound
Understand how Next Generation Sequencing technology can be used to measure gene expression
Use BLAST and phylogenetic analysis to screen candidate genes</t>
  </si>
  <si>
    <t xml:space="preserve">Embark on a mission to identify the metabolic pathway that produces an antimalarial compound in a rare plant. Can you begin the process of creating a novel antimalarial drug?
</t>
  </si>
  <si>
    <t xml:space="preserve">This simulation replaces the previous “Plant Transcriptomics” simulation.
What if you could engineer a metabolic pathway from a rare plant into another organism and produce an antimalarial compound at large scale? In this simulation, you will learn how to identify the genes that encode specific enzymes. You will use a method called RNA-seq to quantify the transcription of different genes. Use this information to narrow down the candidate genes by using bioinformatics tools.
Find a novel antimalarial compound
Your mission starts with analyzing a plant sample from the Amazon rainforest. A group of local tribal people use this rare plant to cure malaria. A phytochemist identifies the antimalarial compound. Your task is to identify the enzymes responsible for the production of this potential drug.
Learn how molecular compounds are produced and extract the RNA
Your next task will be to identify an enzymatic pathway that converts the precursor molecule into the antimalarial component. If you want to produce this compound at large quantities, you will need to transform the enzymatic pathway into another organism. To do so, you must identify the genes encoding the enzymes. All the information you need is contained within the composition of mRNA molecules in different plant tissues.
Learn about the structural difference of mRNA and DNA and perform RNA-seq
The key to the functions of mRNA and DNA is their structures. While the lab assistant is reverse transcribing your mRNA sample into cDNA, you will be learning about the structure of these two amazing molecules. Your next task is then to perform Next Generation Sequencing (NGS) of your cDNA sample. You will sequence the cDNA of different plant tissues to determine the sequence and expression of the target enzymes. An animation will show you what is going on inside the flow cell enabling you to see how millions of different sequences can be read in parallel.
Analyze your results using phylogenetic analysis and BLAST
Like a true detective, you will analyze the huge amount of NGS reads and determine which enzyme is most likely involved in the biosynthesis of the antimalarial compound. You will learn how relatedness of DNA sequences can be used to identify unknown enzymes and learn the basics of sequence comparisons.
Will you be able to identify the enzymes and produce a novel drug that can save millions of people?
</t>
  </si>
  <si>
    <t>a0K2X000010rKjmUAE</t>
  </si>
  <si>
    <t>Recrystallization: Filter your crystals and measure the melting point</t>
  </si>
  <si>
    <t>FAM</t>
  </si>
  <si>
    <t>Suction filtration
Melting point</t>
  </si>
  <si>
    <t xml:space="preserve">How can we separate liquids from solids? How can we determine the purity of that solid? In this simulation you will learn how to use the suction filtration and melting point techniques that will allow you to answer both questions.
</t>
  </si>
  <si>
    <t xml:space="preserve">This mini-simulation is part of the larger “Recrystallization: Purify your solid.” See the full version for more information.
How can we separate a solid from a liquid and determine its purity?
In this simulation, you will learn all the steps necessary to separate a solid from a liquid and then determine the purity of that solid.
Filtrate and determine the melting point
Filtrate a solid to separate it from a liquid. Once done, you will be able to determine the solid’s melting point range, which will allow you to determine its purity.
Fast, painless, and repeatable melting points!
The melting point technique uses the reagent in the process, meaning you could run out in a normal laboratory experiment. Luckily, in this virtual simulation you’ll be able to repeat the process as many times as you need—no need to worry about the amount of reagent left!
Understand the big picture and master the individual steps
In this lab, you will be able to understand what we’re trying to achieve from the very beginning. You’ll also have a very detailed protocol to follow, including support images, to help make your experience smooth.
RELATED SIMULATIONS:
Recrystallization: Purify your solid
Recrystallization: Dissolve your solid and precipitate your crystals
</t>
  </si>
  <si>
    <t>a0K7R000011IKP8UAO</t>
  </si>
  <si>
    <t>Ideal Gas Law: Introduction</t>
  </si>
  <si>
    <t>GA1</t>
  </si>
  <si>
    <t>Gas inlet
Bunsen burner
Ideal Gas Law</t>
  </si>
  <si>
    <t>Define the relationship between pressure, volume and temperature in gases
Relate the behavior of ideal gases to the ideal gas law equation.</t>
  </si>
  <si>
    <t xml:space="preserve">Observe the behavior of an ideal gas and the effects on this behavior when external variables are altered. Learn how the different variables affect the behavior and understand the relation of these variables to the ideal gas law equation. 
</t>
  </si>
  <si>
    <t xml:space="preserve">This short, targeted simulation is adapted from the full-length “Ideal Gas Law” simulation.
Are you interested in seeing virtual ideal gas molecules? In this simulation, you will observe how ideal gas molecules behave according to the Ideal Gas Law. You’ll learn about the relationship between pressure, volume and temperature in gases by adjusting these variables. Unlike in a normal lab, you’ll be able to observe a physical representation of the gas molecules!
Formulate the Ideal Gas Law
Imagine how easy it would be to understand the behavior of an ideal gas if the gas molecules were so big that they could be seen with the naked eye. Well, in this simulation they can! The gas molecules are magnified, so you can see what is otherwise invisible. Your next mission is to define the relationship between the pressure, temperature and volume of an ideal gas sealed in a glass jar.
Familiarize yourself with the ideal gas law equation
Take a deeper look into the makeup of the ideal gas law equation and how each variable is directly correlated with one another. Relate the effect of the variables from observing the virtual gas molecules in the jar to the ideal gas law equation to understand that it defines the exact behavior you have been observing.
Review your knowledge
Consolidate all of your knowledge gained from observing the ideal gas molecules by answering some questions and reading up on relevant theory through our informative theory pages linked in the simulation. Become introduced to a method that could be used in a lab to collect data and prove that this is in fact how ideal gases behave.
</t>
  </si>
  <si>
    <t>Chemistry Unit 3.4 Ideal gas law
Physics 2 Unit 2.2 Pressure, thermal Equilibrium, and the ideal gas law</t>
  </si>
  <si>
    <t>a0K7R000011IKOnUAO</t>
  </si>
  <si>
    <t>Ideal Gas Law: Apply to save a life</t>
  </si>
  <si>
    <t>GA2</t>
  </si>
  <si>
    <t>Ideal Gas Law
Gas thermometry</t>
  </si>
  <si>
    <t>Define the relationship between pressure, volume and temperature in gases using gas thermometry
Apply the Ideal Gas Law</t>
  </si>
  <si>
    <t xml:space="preserve">Use the Gas Thermometry technique to validate the Ideal Gas Law. Define the absolute zero temperature by carrying out a gas thermometry experiment; handling extreme temperatures with the help of your assistant. 
</t>
  </si>
  <si>
    <t xml:space="preserve">This short, targeted simulation is adapted from the full-length “Ideal Gas Law” simulation.
Do you know that you can save a life using the ideal gas law?  In the Ideal Gas Law simulation, you will define the physical concept of temperature and absolute zero. You’ll learn about the relationship between pressure, volume and temperature in gases using gas thermometry.
Explore your workbench
Your first mission in the Ideal Gas Law simulation will be to have a look at the equipment at your disposal and acknowledge what you would need for your experiment. Learn the roles of each piece of equipment and how they will play a part in your gas thermometry.
Experiment with gas thermometry
Handling extreme temperatures is not a hazard as long as you’re a part of this simulation! Observe the changes in the pressure of an ideal gas as you cool it down from the temperature of boiling water to the temperature of boiling nitrogen. You are lucky you’re in a virtual lab as this means you can speed up time for the pressure to reach equilibrium! You will have complete freedom to repeat the experiment with any amount of gas and to define the absolute zero temperature.
Are you ready to apply the Ideal Gas Law and everything you learned in gas thermometry in order to assist the transfer of an organ for a transplant surgery?
Report back to the paramedics
Once you have completed your experiment and have collected all of your data, your final mission would be to share the results with the paramedics so that they can keep the organ safe and sound in the correct pressure and temperature conditions to make it all the way to the hospital.
</t>
  </si>
  <si>
    <t>a0K7R000011IKH7UAO</t>
  </si>
  <si>
    <t>Energy Surfaces and Spontaneous Reactions</t>
  </si>
  <si>
    <t>CA2</t>
  </si>
  <si>
    <t>PS3.B-H2</t>
  </si>
  <si>
    <t>Define the core thermodynamics concepts of entropy, enthalpy, and free Gibbs energy
Explain the second law of thermodynamics
Understand and apply the concept of reaction spontaneity
Explain the differences between the enthalpy of combustion, and enthalpy of formation
Present Hess's law in connection with performing enthalpy change calculations
Present the concepts of exothermic and endothermic reactions</t>
  </si>
  <si>
    <t xml:space="preserve">Learn the core concepts of thermodynamics and discover how chemical reactions can be represented with energy surfaces. Determine which chemical reactions are spontaneous.
</t>
  </si>
  <si>
    <t xml:space="preserve">This short, targeted simulation is adapted from the full-length “Basic Chemistry Thermodynamics” simulation.
Energy is one of the great subject matters of our time, but what is energy actually? In this simulation you will learn the fundamental thermodynamic concepts of enthalpy, entropy and Gibbs free energy. You will study chemical reactions and Hess’s law with an energy surface. Learn about entropy and reaction spontaneity. Can you determine which chemical reactions are spontaneous?
Exothermic and endothermic reactions
In this simulation, you can play around with the energy levels of reactants and products on a virtual energy surface to visualise the enthalpy of the reaction and learn about the difference between endothermic and exothermic reactions. Next visualise the combustion of propane on the energy surface and use Hess’s law to calculate the overall enthalpy from the enthalpies of reaction and formation.
The fundamental concepts of thermodynamics
The second law of thermodynamics and the core concepts of enthalpy, entropy and Gibbs free energy are introduced in this simulation. Discover the second law of thermodynamic and the concept of entropy then apply what you learnt to the reaction on the energy surface. Understand the relationship between enthalpy, entropy, and gibbs free energy. The concept of reaction spontaneity is introduced and linked to the concept of Gibbs free energy.
Spontaneous reactions
The temperature dependence of gibbs free energy and how this impacts reaction spontaneity is explored in an interactive game. Work out which chemical reactions are spontaneous and make a hypothesis about whether they remain spontaneous at higher temperatures. Explore the change in gibbs free energy and as the temperature changes. Will your hypothesis be correct?
</t>
  </si>
  <si>
    <t>Chemistry 15.2 Entropy and spontaneity</t>
  </si>
  <si>
    <t>Chemistry 9.3 Gibbs free energy and thermodynamic favorability</t>
  </si>
  <si>
    <t>a0K7R000011IKPCUA4</t>
  </si>
  <si>
    <t>Chemistry Safety: Hazard symbols</t>
  </si>
  <si>
    <t>CS2</t>
  </si>
  <si>
    <t>Personal protective equipment
Hazard symbols
How to clean up stains/spillages</t>
  </si>
  <si>
    <t>Interpret the hazard symbols associated with different chemicals
Locate the hazard symbols on the bottle or container
Apply hazard identification skills to safe working practice in the laboratory
Locate important information in a safety data sheet</t>
  </si>
  <si>
    <t xml:space="preserve">Join lab assistant Marie to find out how to decide on the correct laboratory practice and personal protective equipment when dealing with hazardous chemicals. Learn the meaning of the hazard symbols and apply your knowledge with some example chemicals. 
</t>
  </si>
  <si>
    <t xml:space="preserve">This short, targeted simulation is adapted from the full-length “Chemistry Safety” simulation.
Hazards are everywhere, but can you minimize the risks? In this simulation, you will work with lab assistant Marie to identify the hazard symbols of hazardous chemicals related to a biodiesel production experiment. Learn the meaning of the hazard symbols and apply this knowledge in the lab with example chemicals.
Equip yourself safely in the lab
You will learn about the correct laboratory practice, by being introduced to ensuring they always wear the appropriate personal protective equipment in the lab before beginning any lab experiment, and handling a variety of hazardous chemicals.
Learn the hazard symbols
Test your own general knowledge on the hazard symbols in an interactive minigame. Here, you will have to identify the correct hazard symbols which represent the description provided in each question. You will be made aware that there are still hazards related to solvents used to clean up workstations such as cleaning up a stain or spillages in a fumehood. Also highlighting the hazards and risks involved when the stain or spillage is of an unknown substance and the standard precaution taken with such unknown substances.
Chemistry safety data sheet
How do you interpret safety data sheets? You are exposed to the chemistry safety documentation that is available for most chemicals. You are required to observe and identify the correct P statements for hazards for example chemicals related to a biodiesel production experiment. One of the examples for this is methanol. This will consolidate your understanding on how to properly handle and work with specific chemicals in the lab. Finally, you are given the opportunity to test your understanding of the document with quiz questions that require pinpointing the right information about the chemical.
</t>
  </si>
  <si>
    <t>a0K7R000011IKPfUAO</t>
  </si>
  <si>
    <t>Chemistry Safety: Dispose of chemical waste</t>
  </si>
  <si>
    <t>CS4</t>
  </si>
  <si>
    <t>Spillages/stains management
Use of waste containers
Use of organic and aqueous solvents</t>
  </si>
  <si>
    <t>Identify different waste containers in a lab and know their uses
Choose between organic and aqueous solvents for cleaning
Dispose of chemical waste safely using knowledge of hazards</t>
  </si>
  <si>
    <t xml:space="preserve">Join the lab assistant Marie in clearing up the fume hood after some students left a mess in the lab. Learn how to use your knowledge of the chemicals required for an experiment and apply it to safely dispose of the chemical waste.
</t>
  </si>
  <si>
    <t xml:space="preserve">This short, targeted simulation is adapted from the full-length “Chemistry Safety” simulation.
Are explosions possible if we don’t dispose of chemical waste the right way? The answer is yes. In this simulation, you will learn how to apply your knowledge of the chemicals used in a laboratory experiment to make a decision on the correct waste bins to use, without mixing chemicals that can cause harmful and unexpected reactions!
Analyze the lab workstation
You will learn the skill of assessing the fume hood in order to decide the best way to dispose of the waste, and clean up the workstation. Choose between solvents and waste containers and learn about the consequences of choosing the wrong one. Yes you guessed it, potential side reactions!
Safe laboratory practice
This is why a virtual simulation is so amazing; the cutting-edge technology will allow you to learn without putting you at risk! It is always good practice to implement the safety regulations and correct handling of hazardous chemicals no matter where you are! If you know now and are constantly reminded, you will have all of the knowledge you need to protect yourself and others in the lab by analyzing the risks with the chemicals that are required. Yes you are in a virtual lab but personal protective equipment is a must!
Review your knowledge
Answer quiz questions that challenge the choices you make when it comes to cleaning up the laboratory. Gain relevant knowledge with relevant theory pages about hazards and safety data sheets. Be presented with a scenario where you will be able to informatively decide which one would yield the biggest consequence in terms of waste disposal.
</t>
  </si>
  <si>
    <t>a0K7R000011IKH2UAO</t>
  </si>
  <si>
    <t>Calorimetry: Using a bomb calorimeter</t>
  </si>
  <si>
    <t>CA1</t>
  </si>
  <si>
    <t>HS-PS3-1, HS-PS3-2, HS-PS3-3, HS-PS3-4, HS-PS2-1, HS-PS2-2, PS3.B-H2</t>
  </si>
  <si>
    <t>Calorimetry</t>
  </si>
  <si>
    <t>Understand the basic steps and critical points of performing a calorimetry experiment
Define the thermodynamics concept of enthalpy and its units
Explain the first law of thermodynamics
Understand the relationship between internal energy and enthalpy</t>
  </si>
  <si>
    <t xml:space="preserve">Apply the technique of bomb calorimetry to help solve the challenge of storing renewable energy. Learn about the first law of thermodynamics, enthalpy, and internal energy.
</t>
  </si>
  <si>
    <t xml:space="preserve">This short, targeted simulation is adapted from the full-length “Basic Chemistry Thermodynamics” simulation.
Energy is one of the great subject matters of our time, but what is energy actually? In this simulation you will learn about the thermodynamic concept enthalpy and the first law of thermodynamics. You will also determine the internal energy of a chemical compound by using bomb calorimetry, and you’ll even travel inside the calorimeter to see it in action.
The challenge of storing energy
What is the best way to store energy? There is no simple answer, but in this simulation, you will be encouraged to give it some thought while learning about the very nature of energy and how it connects to chemical reactions. You will assess whether the gasoline component octane is a suitable chemical for energy storage by using a bomb calorimeter.
The fundamental concepts of thermodynamics
The first law of thermodynamics and the concept of enthalpy are introduced in this simulation. You will have access to a state-of-the-art bomb calorimeter. Travel inside to see the calorimeter to see it in action and understand how it works. From here, the concept of chemical bond energy is linked to the thermodynamic calculations of enthalpy on the calorimeter output. Discuss the total heat capacity, enthalpy, and internal energy of octane. Compare the energy densities of various fuels to discover the best fuel for energy storage.
Combine theory and practice
Throughout the simulation you will combine the fundamental teachings of thermodynamics with the experimental results from the calorimeter. Will you be able to suggest a solution for the energy storage challenge?
</t>
  </si>
  <si>
    <t>Chemistry 5.1 Measuring energy changes</t>
  </si>
  <si>
    <t>Chemistry 6.4 Heat capacity and calorimetry</t>
  </si>
  <si>
    <t>a0Kw000000JFoRyEAL</t>
  </si>
  <si>
    <t>Acids and Bases: Acidity and Alkalinity in Everyday Substances</t>
  </si>
  <si>
    <t>ACB</t>
  </si>
  <si>
    <t>https://api2.labster.com/simulation/a0Kw000000JFoRyEAL/play</t>
  </si>
  <si>
    <t>English (United States)
French (Canada)
German
Spanish
Italian
French</t>
  </si>
  <si>
    <t>Give examples of acids and bases from everyday life
Define pH and identify acids and bases using the pH scale
Apply the the Bronsted-Lowry definition of acids and bases to chemical compounds
Describe the amphoteric and self-ionization capacity of water
Calculate the pH of a strong acid and base in solution
Assess whether a neutralization reaction will occur
Evaluate the outcome of simple acid-base reactions</t>
  </si>
  <si>
    <t xml:space="preserve">Join Marie in the Acids and Bases Simulation and explore the nature and concepts of these important chemical compounds. Measure the pH of chemical solutions, and use your acquired knowledge to evaluate mixtures of acids and base.
</t>
  </si>
  <si>
    <t xml:space="preserve">Have you ever consumed an acid or a base? Yes you have! Acids and bases are found all around us: In the food we eat, the beverages we drink, many of the everyday household products at home and even inside us! In this virtual simulation, you will learn the fundamentals of acids and bases and go through some of the ways they can be characterized and used in the lab.
Acidic life
How do acidic or alkaline foods affect the pH of our blood, and what does this even mean? Together with your lab assistant, Marie, you will explore different concepts of acids and bases, and investigate how alkaline foods can also contain acids. You will measure the pH of solutions, and dive into these to experience what happens at the molecular level.
Salty mixtures
In order to determine what reactions occur when you mix acids and bases of different strengths, you will have the freedom to mix solutions of these and interpret the resulting salt reaction products. And don’t worry if you make mistakes – in this virtual lab, you can just reset and start over! On-the-go quizzes will make sure you are up to speed, and you can always dive into the theory pages for more in-depth explanations.
Corrosive everyday chemicals
Acids and bases can be corrosive and very dangerous to handle. But they also play a fundamental role in all living things, in nature, and in the chemical industry.
Will you be able to to measure the acidity of various substances around you?
</t>
  </si>
  <si>
    <t>8.3 Weak Acid and Base Equilibria
8.4 Acid-Base Reactions and Buffers</t>
  </si>
  <si>
    <t>a0K7R000011IKP2UAO</t>
  </si>
  <si>
    <t>Bacterial Shapes and Movement</t>
  </si>
  <si>
    <t>BA1</t>
  </si>
  <si>
    <t>Structure and Function</t>
  </si>
  <si>
    <t>Microscopy
Brightfield and darkfield microscopy</t>
  </si>
  <si>
    <t>Describe and differentiate common bacterial cell morphologies
Describe movement patterns associated with different bacterial cell morphologies</t>
  </si>
  <si>
    <t xml:space="preserve">Explore different bacterial shapes by using a microscope to look at a sample of bacteria from Antarctica.
</t>
  </si>
  <si>
    <t xml:space="preserve">This short, targeted simulation is adapted from the full-length “Bacterial Cell Structure” simulation.
Global warming is causing the ice to melt in Antarctica, leading to the discovery of bacteria that have survived this extreme environment. In this simulation, you will learn about bacterial shapes and movement. To look at the bacteria sample, you will use a microscope that has a darkfield and brightfield setting. Then you will jump into the sample to get a closer look.
Prepare the microscope slide
First you will prepare the microscope slide of the Antarctic bacteria. Take a microscope slide from the stack and use a pipette to transfer the bacteria sample onto the microscope slide. Don’t forget to add the coverslip to the slide!  Once the microscope slide is ready you can take it to the microscope and look at the bacteria sample.
Choose the microscope setting
Once you have carefully placed your microscope slide, you will see the different types of bacteria moving around on a screen. Before you can look at the bacteria in more detail you need to choose a setting for the microscope. Compare the microscopes brightfield and darkfield modes, and then choose which you think is the best for getting a clear and detailed look at the bacteria. Then get ready to dive deeper into this microscopic environment.
Identify the shapes
Jump into the Antarctic bacteria sample, to explore the motility features and shapes of bacteria. Identify the names for the different bacterial shapes and observe how each of the bacteria moves. There is much to discover in this microscopic world! What will you learn today?
</t>
  </si>
  <si>
    <t>a0K7R000011IKGkUAO</t>
  </si>
  <si>
    <t>Thermal Effects on Marine Oxygen Levels</t>
  </si>
  <si>
    <t>MB1</t>
  </si>
  <si>
    <t>Spectrophotometer
Sampling</t>
  </si>
  <si>
    <t>Understand the basic concepts of sample collection
Analyze the level of dissolved oxygen level in your water sample using a spectrophotometer
Learn the concepts of a calibration curve, linear regression and extrapolation</t>
  </si>
  <si>
    <t xml:space="preserve">Become an environmental investigator and solve a massive fish kill mystery. Use a spectrophotometer to analyze oxygen levels in the water and unravel the mystery.
</t>
  </si>
  <si>
    <t xml:space="preserve">This short, targeted simulation is adapted from the full-length “Marine Biology” simulation.
Can you get to the bottom of a mysterious massive fish-killing?  In this simulation, you will be an environmental investigator to solve this fish kill mystery. You will analyse the oxygen levels in the water using a spectrophotometer and discover the impact of the oxygen levels on the fish.
The mass fish-killing
Meet Trisha at the bay where you learn of a mass fish killing. Make a hypothesis about what happened and discuss how you could find the cause of the fish killing. Take samples from the site of the fish killing before returning to the lab.
Analyze the oxygen levels in water
You collected water samples from the bay where the fish were found. Start your analysis by learning about the principles of spectrophotometry. To measure the absorbance of your samples you need to add a coloring agent that has more intense color if more oxygen is in the sample. Use a spectrophotometer to measure the absorbance of the water sample and samples containing a known amount of oxygen. Plot a calibration curve to compare the dissolved oxygen levels in the water sample to the known value samples to investigate whether low oxygen in the lake could have caused the massive fish death. Do the results of this analysis correspond with the symptoms exhibited by the fish?
Solve the mystery
After gathering evidence by analysing the dissolved oxygen levels in the water samples, you will need to figure out what caused the massive fish death. Will you be able to solve the mystery?
</t>
  </si>
  <si>
    <t>Environmental Science 1.3 Aquatic biomes
Environmental Science 8.6 Thermal pollution</t>
  </si>
  <si>
    <t>a0K7R000011IKPkUAO</t>
  </si>
  <si>
    <t>Environmental Impact of Coal Power Plants</t>
  </si>
  <si>
    <t>CS1</t>
  </si>
  <si>
    <t>HS-ESS3-1
HS-ETS1-3</t>
  </si>
  <si>
    <t>Describe the effects of industrial carbon dioxide emissions
Differentiate global warming and climate change
Relate greenhouse gas emissions to climate change
Describe the environmental impacts of algae blooms
Appraise the use of biodiesel as an alternative to fossil fuels</t>
  </si>
  <si>
    <t xml:space="preserve">Join the project manager Marie in her quest to uncover the environmental impacts of coal power plants and fish farming. Explore the issues with our current source of fuel and help Marie come up with a greener solution to save the environment.
</t>
  </si>
  <si>
    <t xml:space="preserve">This short, targeted simulation is adapted from the full-length “Chemistry Safety” simulation.
What is global warming? In this simulation, you will dive into an offshore algae farm and explore how our current way of using coal power plants to provide a source of energy is harming our environment. You will learn all about greenhouse gas emissions and pollution produced by coal power plants, the fishing industry, as well as algal blooms, and how these contribute to global warming and the implications they can have on the aquatic ecosystem.
Teleport to the Algae Farm in Northwest Alaska
From the lab room to the algae farm without having to travel at all! The citizens have decided to make a change to their sustainability and environmental protection. You will identify the two main concerns that prevent this through an interactive animation.
Proposing a greener solution
In order to help the citizens improve sustainability, the students would need to understand how to solve the problems of the power plant and fish farming. This involves how to effectively reduce emissions from the plant and water pollution from the farm. Tying that all in to a proposed solution of the production of biofuels.
How can biofuel be the answer
The students can visualize the positive effects such production can significantly reduce the occurrence of the harmful consequences of burning coal and fish farming.
Review your knowledge
The students are able to reflect back on the knowledge they have gained throughout the activity by answering completing quiz questions that tests and broadens the scope of their knowledge around the topic.
</t>
  </si>
  <si>
    <t>Biology 10.2</t>
  </si>
  <si>
    <t>Environmental Science 7.1 Introduction to air pollution
Environmental Science 7.6 Reduction of air pollutants</t>
  </si>
  <si>
    <t>a0K2X00000h3c4SUAQ</t>
  </si>
  <si>
    <t>Electron Transport Chain: A rollercoaster ride that produces energy</t>
  </si>
  <si>
    <t>ETC</t>
  </si>
  <si>
    <t>https://api2.labster.com/simulation/a0K2X00000h3c4SUAQ/play</t>
  </si>
  <si>
    <t>HS-ETS1-1, HS-ETS1-2, HS-ETS1-3, HS-ETS1-4, HS-LS1-5, HS-LS2-3</t>
  </si>
  <si>
    <t>Hill reaction
Centrifugation
Spectrophotometry</t>
  </si>
  <si>
    <t>Understand the importance and uses of photosynthesis
Understand the photolysis of water and electron transport
Understand properties of light and why pigments are colorful
Develop a hypothesis and set up an experiment to test it
Understand how to measure the redox potential of the electron transport chain</t>
  </si>
  <si>
    <t xml:space="preserve">Help a group of engineers figure out if a mysterious dark alga is able to do photosynthesis using green light and measure this process with the Hill reaction. If it is, your work will help create a sustainable plan that will use sunlight and pollution sources for biofuel production.
</t>
  </si>
  <si>
    <t xml:space="preserve">In the Electron Transport Chain simulation, you’ll meet Roxy, the lead engineer for a project in north Alaska. Here, environmental protection has been made a priority. With VR, you will fly over the ocean on a journey to discover that the most problematic facilities are the coal power plant and the fish farm, which are causing glacier melting and eutrophication. But fear not, Roxy has come up with a brilliant idea to produce biofuel from algae using the excess of nutrients from the fish farm and the heat and CO2 from the coal plant. When scuba diving, she found some mysterious dark algae and now she needs your help to figure out if the algae can use green light to perform photosynthesis.
Use the Hill reaction and spectrophotometry
Most plants are green, so they reflect this colour and absorb other wavelengths, which they use for photosynthesis. However, green is a major component of the visible light spectrum, so combining algae that use green light with algae that use other wavelengths maximises the use of sunlight. In this simulation, you will use the Hill reaction and spectrophotometry to measure electron flow and find out if the pigments can use green light for photosynthesis.
Look inside a chloroplast
To understand how photosynthesis works, you will shrink to a tiny size and see what happens during the electron transport chain. You will be able to click on the different molecules to see electrons and protons moving, water molecules splitting and the ATP synthase spinning around to pump protons and produce ATP.
Don’t forget your controls!
Dr. One has already extracted pigments for you. It can be very handy to have a virtual assistant! Now, to check out if the pigments can use green light, you will set up an experiment. In order to properly test your hypothesis, you will need to prepare and measure your sample, as well as positive and negative controls.
Measure photosynthesis
The Hill reaction uses DCPIP, a redox dye, which helps measure the electron flow from photosystem II. By comparing the absorption spectra of your pigment sample exposed to green light only in the spectrophotometer to those of the controls, you will be able to figure out if the dark algae are able to perform photosynthesis using green light or not.
</t>
  </si>
  <si>
    <t>8.2 Cell respiration</t>
  </si>
  <si>
    <t>Biology Unit 3: Cellular Energetics
Biology Unit 3.5
Biology Unit 3.4</t>
  </si>
  <si>
    <t>a0Kw000000TdPidEAF</t>
  </si>
  <si>
    <t>Wastewater Treatment</t>
  </si>
  <si>
    <t>WWT</t>
  </si>
  <si>
    <t>https://api2.labster.com/simulation/a0Kw000000TdPidEAF/play</t>
  </si>
  <si>
    <t>English (United States)
German</t>
  </si>
  <si>
    <t>Environmental engineering</t>
  </si>
  <si>
    <t>Wastewater treatment
Gas chromatography
Mass spectrometry</t>
  </si>
  <si>
    <t>Understand the different steps of the wastewater treatment process
Understand how microorganisms degrade organic compounds during denitrification and nitrification
Understand the influence of internal recirculation, sludge recirculation and aeration on the wastewater treatment process
Understand how micropollutants can influence aquatic organisms
Prepare samples for GC-MS
Understand the basic concept behind GC-MS</t>
  </si>
  <si>
    <t xml:space="preserve">Study the treatment of urban wastewater. Will you be able to rescue a fish population suffering from pollution?
</t>
  </si>
  <si>
    <t xml:space="preserve">Clean water in the pipes! In this simulation, you will learn the basics of how a wastewater treatment process works. You will work with the different specific steps of the treatment, such as denitrification, nitrification and aeration, and prepare samples for GC-MS analysis to look for a targeted micropollutant.
Is the water safe to release?
It will be your mission to ensure that the micropollutant bisphenol A is effectively removed in the wastewater treatment process. Bisphenol A is commonly used in plastics and can be detrimental to life in water environments, even in very low concentrations. You will have to thoroughly understand how each of the treatment steps work, and carefully analyze whether the micropollutant is sufficiently removed.
Work on our lab-scale wastewater treatment plant
After visiting a full-scale sewage plant, you will head to our virtual lab to work on a lab-scale treatment plant that contains all the essential steps in the treatment process. You will have to ensure they all function correctly! 
You will then need to employ gas chromatography coupled with mass spectrometry (GC-MS) to analyse samples of the water before and after treatment. In this simulation, it will be your task to correctly prepare the samples while your amazing virtual lab assistant will take care of the GC-MS method.
Protect the aquatic environment
Some of the water that we use in our daily lives will inevitably become polluted. Many of the pollutants that enter our sewers along with our used water can cause habitat degradation and harm aquatic life in both freshwater and marine environments.  
Will you be able to improve the water quality of the wastewater to protect the environment?
</t>
  </si>
  <si>
    <t>a0Kw000000ePuhKEAS</t>
  </si>
  <si>
    <t>Vectors and Scalars: Guide two astronauts on a mission to Mars</t>
  </si>
  <si>
    <t>VAS</t>
  </si>
  <si>
    <t>https://api2.labster.com/simulation/a0Kw000000ePuhKEAS/play</t>
  </si>
  <si>
    <t>HS-PS2-1</t>
  </si>
  <si>
    <t>Describe the difference between vector and scalar quantities
Identify the magnitude and direction of a vector
Determine the product of two vectors
Define the components of a vector</t>
  </si>
  <si>
    <t xml:space="preserve">Learn how to differentiate between a vector and scalar quantity and identify the magnitude and direction of a vector. Define the vector components and solve basic engineering problems with the Cartesian coordinate system, while helping out two astronauts on their Relatedplanetary mission on the surface of Mars.
</t>
  </si>
  <si>
    <t xml:space="preserve">What do you do if a rover gets stuck on the surface of another planet? In this simulation, the future of a space rover, LERS-M, lies in the hands of two astronauts, who on their Relatedplanetary mission land on the same planet as the stuck rover. Your overall objective will be to help them out, using your knowledge of vectors and scalars. But it doesn’t end there!
The Cartesian coordinate system
Your first mission in the Vectors and Scalars simulation is to guide the astronauts from the control panel, through the hostile environment of Mars. In order to do so, you need to master the Cartesian coordinate system. Use real-time images sent from a satellite and provide information to the astronauts about their position, while identifying the magnitude of vector and scalar quantities.
The direction of a vector
Your next mission in the Vectors and Scalars simulation is to assist the astronauts in finding the safest route towards their spacecraft, and then the rover. Can you imagine how easy it would be to get lost on the surface of Mars? Since there are no signs or labels pointing them in the right direction, your task is to identify the direction of vectors and to learn how to add several vectors using the Head to Tail method.
The components of a vector
Once you have guided both astronauts to the rover, your last mission is to try to find the best solution to get LERS-M out of the loose mud that it is sinking in. A shovel, a hammer, and two ropes are at the disposal of the astronauts. Learn how to use the tools wisely while defining the components of the vector of force and expressing the components in the coordinate system.
Are you ready to apply everything you have learned about vectors and scalars, so that the rover LERS-M can continue to perform geological analysis of rocks and other planetary surface features on Mars?
</t>
  </si>
  <si>
    <t>1.3 – Vectors and scalars
2.1 – Motion</t>
  </si>
  <si>
    <t>3.1 Vector Fields
1.1 Position, Velocity, and Acceleration</t>
  </si>
  <si>
    <t>a0Kw000000V2VqhEAF</t>
  </si>
  <si>
    <t>Uracil based excision cloning (USER): Cloning made simple</t>
  </si>
  <si>
    <t>USE</t>
  </si>
  <si>
    <t>https://api2.labster.com/simulation/a0Kw000000V2VqhEAF/play</t>
  </si>
  <si>
    <t>TM-Novo</t>
  </si>
  <si>
    <t>Uracil based excision cloning (USER)</t>
  </si>
  <si>
    <t>Understand the principles of USER cloning
Design primers for USER cloning
Describe the molecular mechanism behind the USER cloning
Explain the critical points to design a USER cloning experiment</t>
  </si>
  <si>
    <t xml:space="preserve">Join Marie in the molecular biology lab to apply your knowledge of the sophisticated cloning method, USER, in order to generate a beta-carotene cell factory.
</t>
  </si>
  <si>
    <t xml:space="preserve">We live in an age of advanced genetic modification where it is possible to generate a mutant organism in a matter of hours. Molecular biologists have been using sophisticated cloning techniques such as uracil-excision (USER) based cloning to create vectors rapidly and efficiently.
Introduction to USER 
In this simulation, you will be introduced to the principles of uracil-excision (USER) based cloning. You will learn why USER is superior to other cloning techniques, such as those that involve ligation, and why we are interested in cloning Beta-carotene.
Performing USER
Once you have covered the basics of USER, you will apply your newly-acquired knowledge to clone three genes of the Beta-carotene production pathway into an Escherichia coli strain, in order to start the compound’s production in a cell factory.
By the end of this simulation, you will be able to understand the critical points that must be considered when designing a USER cloning experiment. You will go through the main steps of the USER technique, including designing specific primers, performing the PCR, and choosing specific reagents. Finally, you will also learn how to solve common issues that can arise when using this technique. Will you be able to insert the genes correctly into the desired plasmid?
</t>
  </si>
  <si>
    <t>a0K2X00000qKXb5UAG</t>
  </si>
  <si>
    <t>Introduction to Echocardiography: Use different projections to diagnose patients</t>
  </si>
  <si>
    <t>USA</t>
  </si>
  <si>
    <t>https://api2.labster.com/simulation/a0K2X00000qKXb5UAG/play</t>
  </si>
  <si>
    <t>M-mode
Tissue Doppler
Continuous-wave Doppler
Pulsed-wave Doppler
Echocardiography
Color Doppler</t>
  </si>
  <si>
    <t>Distinguish and apply the different projections used in a basic echocardiography examination, as well as where the transducer is placed to obtain them.
Relate the position and angle of the transducer as well as direction of its indicator to certain projections.
Identify anatomical landmarks in the different projections.
Approach a patient with respect and confirm that it is the correct person (checking ID)
Understand the physics behind Doppler and how and when to apply it correctly.
Understand how and when to apply M-mode.
Understand and evaluate the most common measurements used for evaluation of  left and right ventricular systolic function.
Understand and evaluate the most common measurements used for evaluation of left ventricular diastolic function.
Assess heart chamber dimensions (left and right ventricles, left and right atria, aortic root, vena cava, valvular function) and recognize what makes a case normal.</t>
  </si>
  <si>
    <t xml:space="preserve">Practice obtaining different ultrasound views of the heart anatomy and use different Doppler ultrasound imaging techniques on a giant virtual heart. Apply your new skills to diagnose a patient.
</t>
  </si>
  <si>
    <t xml:space="preserve">Welcome to the Labster cardiology training facility! In this simulation, you will learn how to perform cardiac ultrasound using different modes and views. After practicing on a virtual heart, you will also evaluate cardiac function on a patient.
Use a giant virtual heart to practice Doppler ultrasound imaging
In our virtual training facility, we have a giant heart to practice the many different ultrasound transducer positions and angles that need to be mastered to correctly visualize and identify cardiac structures. It takes a lot of practice and sometimes small differences can make a difference when it comes to diagnosing abnormalities! In this simulation, you can repeat this training as much as you would like to familiarize yourself with normal cardiac structures, where the transducer needs to be placed, and at what angle to obtain the desired views.
Perform cardiac ultrasound on a patient
After your practice, you can choose to dust off your knowledge of ultrasound physics to better understand the technique and its different modes. Alternatively, you can also skip this lesson and immediately proceed to meet your patient, Mr. Johansson, a 50-year-old male who was referred here for an echocardiography examination. He presents symptoms of previous pain in the left arm and possibly in the chest, which he thought had to do with bad ergonomy at office work, being left-handed and working a lot on a computer. However, a physical exam from his physician revealed a systolic murmur in the stethoscope.
To get to the bottom of Mr. Johansson’s case and help inform his doctor, you will have to obtain the different ultrasound projections you practiced, as well as make some measurements and observations. Dr. One will be there to help you out, save your images and make notes of all the data.
Analyze the data and diagnose the patient
At the end of this very thorough examination, you will have access to all the images, videos and measurements that you performed on the patient, as well as on the practice healthy heart. By understanding and comparing all the information you have now gathered, will you be able to correctly diagnose the patient?
</t>
  </si>
  <si>
    <t>Biology D.4 The heart</t>
  </si>
  <si>
    <t>a0K2X00000h4Mz1UAE</t>
  </si>
  <si>
    <t>Tissue Engineering</t>
  </si>
  <si>
    <t>TEV</t>
  </si>
  <si>
    <t>https://api2.labster.com/simulation/a0K2X00000h4Mz1UAE/play</t>
  </si>
  <si>
    <t>Rheology
Ionic crosslinking
Michael addition crosslinking</t>
  </si>
  <si>
    <t>Explain the basic principle of tissue engineering
Describe the articular cartilage injuries and its treatment
Define the types of crossllinking to synthesis hydrogels:
Ionic crosslinking
Michael addition crosslinking
Enzymatic crosslinking
Radical crosslinking
Identify natural and synthetic polymers
Analyze the synthesized hydrogels’ mechanical properties using rheology.</t>
  </si>
  <si>
    <t xml:space="preserve">Help out a desperate soccer player who has been badly injured. Will you able to help the sports physician in using the tissue engineering technique to restore damaged articular cartilage?
</t>
  </si>
  <si>
    <t xml:space="preserve">Despite the notorious diving and fake foul in a soccer game, players are prone to serious injuries. One of the most common injuries is damaged articular cartilage in the knee. Cartilages cannot self-repair, and thus need replacement. In the Tissue Engineering simulation, you will learn the required elements of synthesizing a tissue for cartilage replacement. Will you able to produce hydrogels for repairing the articular cartilage?
Finding the essential elements in tissue engineering
You will be introduced to a sports physician who needs your help in treating an injured soccer player. In this simulation, you will learn three principle elements of tissue engineering and apply them to produce the scaffold of articular cartilage replacement. You will also explore the characteristics of two polymers that you will be using in creating the hydrogel scaffold throughout the experiment.
Synthesizing hydrogels scaffold
You will perform two crosslinking experiment, ionic and Michael addition method, to create the hydrogels scaffold. You will have to choose the polymers you want to use in the experiment based on what you’ve learned in the previous mission. At the end of each experiment, you will watch the chemical or physical reaction between the polymers that take place inside the hardening hydrogels.
Analyzing the mechanical properties of hydrogels
Finally, you will have obtained several hydrogels scaffolds that have been created using different crosslinking methods. Using a  rheology approach, you will analyze the mechanical properties of each hydrogel. This virtual lab is equipped with a rheology simulator which will enable you to experiment with a various combination of parameters such as crosslinking method, polymer concentration, and temperature. In the end, you will have to decide which combination of polymer and crosslinking method is most suitable for the articular cartilage replacement.  Will you able to ease the soccer player’s suffering?
</t>
  </si>
  <si>
    <t>a0K2X00000jGm8IUAS</t>
  </si>
  <si>
    <t>Stoichiometric Calculations: Identify a compound using gravimetric analysis</t>
  </si>
  <si>
    <t>STO</t>
  </si>
  <si>
    <t>https://api2.labster.com/simulation/a0K2X00000jGm8IUAS/play</t>
  </si>
  <si>
    <t>English (United States)
German
Italian
French
Spanish</t>
  </si>
  <si>
    <t>HS-PS1-1, HS-PS1-2</t>
  </si>
  <si>
    <t>Explain the relationship between mass, molecular weight, and numbers of atoms or molecules and perform calculations deriving these quantities from one another
Perform mass-to-mass stoichiometric calculations via conversions to mole
Identify the limiting and excess reagents in a chemical reaction
Calculate the theoretical, actual and percent reaction yield
Define Avogadro’s number and describe the mole quantification of matter</t>
  </si>
  <si>
    <t xml:space="preserve">Learn about Avogadro’s number and the relationship between moles, mass and molecular weight as you use the technique of gravimetric analysis to identify an unknown compound.
</t>
  </si>
  <si>
    <t xml:space="preserve">Did you know that there are more water molecules in a glass of water than there are sand grains in the Sahara desert? In this simulation, you will learn about the relationship between mass, molecular weight and the number of atoms or molecules, and you will understand the magnitude and importance of Avogadro’s number.
Identify an unknown compound
In order to identify a compound where the label has been partly destroyed, you must apply the technique of gravimetric analysis. To do so, you must first learn to understand the relationship between mass, moles and molecular weights and how to perform stoichiometric calculations from mass to mass via mole conversions.
Stoichiometric calculations with moles
You will perform a realistic gravimetric analysis with detailed instructions on what to do and why to do it in every step of the experiment. From balancing the equation to recognizing the stoichiometry of the reactants and finding out which equation to employ in the calculations, the theory behind the experiment is explained step-by-step in the order of the experiment.
What compound is it?
At the end of the simulation, you will have finalized all of the stoichiometric calculations, and the answer to the question should be clear… Can you see what compound it is?
</t>
  </si>
  <si>
    <t>1.3 Reacting masses and volumes
1.2 The mole concept
1.1 Introduction to the particulate nature of matter and chemical change</t>
  </si>
  <si>
    <t>1.3 Elemental Composition of Pure Substances
Chemistry 4.5 Stoichiometry
4.3 Representation of Reactions
Chemistry 1.1 Moles and Molar Mass
4.2 Net Ionic Equations
4.1 Introduction for Reactions</t>
  </si>
  <si>
    <t>a0K2X00000d2UopUAE</t>
  </si>
  <si>
    <t>Exercise Physiology</t>
  </si>
  <si>
    <t>SPS</t>
  </si>
  <si>
    <t>https://api2.labster.com/simulation/a0K2X00000d2UopUAE/play</t>
  </si>
  <si>
    <t>Blood lactate assay
Wingate sprint
Respiratory exchange ratio (RER) measurement</t>
  </si>
  <si>
    <t>Explain physiological responses to high-intensity sprint interval training (SIT)
Understand how to perform a Wingate sprint
Determine the impact of repeated Wingate sprints on health
Monitor acute and chronic physiological responses during and after a Wingate sprint
Explain the contribution of different energy systems during supramaximal exercise
Perform a breath-by-breath gas analysis
Define the role of lactate in anaerobic glycolysis
Measure blood lactate levels</t>
  </si>
  <si>
    <t xml:space="preserve">In this sports science lab, you will find out how only three times ten minutes of supramaximal sprint interval training per week can increase your exercise capacity and fitness level.
</t>
  </si>
  <si>
    <t xml:space="preserve">In the Exercise Physiology simulation, you will supervise a clinical trial to investigate the acute and chronic physiological effects of high-intensity sprint interval training (SIT) on a sedentary lifestyle.
Perform an anaerobic exercise
You will learn how this type of anaerobic exercise, also called the Wingate sprint, is connected to the body’s ancient “fight-or-flight” response and how to monitor this process in the lab. Your task is to follow a training program consisting of brief repeated cycle sprints over four weeks with one of the study participants. You will then determine the effect of the Wingate protocol on the participant’s health and fitness.
Monitor the physiological response
At the beginning of the Exercise Physiology simulation, you will learn how to set up the necessary equipment and choose the correct settings to correctly perform a Wingate sprint. During the sprint, you measure power output, respiratory exchange ratio, and the heart rate of the study participant to determine the physiological effects during the course of the interval training. You will simultaneously be able to study the skeletal muscles and to observe how the energy during the sprint is produced at a molecular level. You will also be able to observe the effects of this on the pulmonary and cardiovascular system. By measuring the participant’s blood lactate levels before and after the sprint, you will learn about the role of lactate in anaerobic glycolysis.
The effect of repeated Wingate sprints on a sedentary lifestyle
By analyzing all the data collected during the study, you will be able to come to a conclusion about the specific effect of the Wingate interval protocol.
Will this 20-seconds-sprint training have a significant effect on the health of sedentary individuals?
</t>
  </si>
  <si>
    <t>11.2 Movement</t>
  </si>
  <si>
    <t>a0K2X00000jGNpcUAG</t>
  </si>
  <si>
    <t>Spatial Ecology: Learn how the environment can influence the distribution of species</t>
  </si>
  <si>
    <t>SPE</t>
  </si>
  <si>
    <t>https://api2.labster.com/simulation/a0K2X00000jGNpcUAG/play</t>
  </si>
  <si>
    <t>HS-ESS3-2, HS-ESS3-3, HS-ESS3-4, HS-LS2-1, HS-LS2-2, HS-LS2-7</t>
  </si>
  <si>
    <t>Shannon diversity index
Map layers analysis</t>
  </si>
  <si>
    <t>Map the distribution of species over a region and identify hotspots for biodiversity.
Relate patterns of biodiversity to abiotic or anthropogenic conditions.
Describe and explain gradients in abiotic factors in an area.</t>
  </si>
  <si>
    <t xml:space="preserve">Help the scientists on the exoplanet Astakos IV to choose the location of the new research center by finding out where it will have the least impact on the ecological diversity of the area.
</t>
  </si>
  <si>
    <t xml:space="preserve">What is spatial ecology? Find out in this simulation, where you will help the residents on the exoplanet Astakos IV choose the location for the new research center, while learning how environmental factors can influence the distribution of species.
Build a new research center
Scientists on Astakos IV need to build a new marine research center to be able to continue their research on the planet. They have chosen you as an ecologist to decide where it should be placed. Your task is to decide on a location with minimum impact on the local species.
Analyze the species’ distribution
You will collect field data from the species and environmental variables and transfer them to the Labster holo-table. On the holo-table you will be able to analyze all the information you have gathered by using map layers analysis on a 3D holographic model of the terrain you are investigating. You will also analyze the distribution of different variables, and even be able to track the location of many different species in the area!
Learn by doing
You will learn what the most important aspects to take into account are in order to minimize the impact of such a project in a natural environment. With this knowledge you will be able to decide what the optimum location should be.
Will you be able to help the scientists on Astakos IV build their new research center?
</t>
  </si>
  <si>
    <t>Unit 8: Ecology
Potentially too high level, but could support:</t>
  </si>
  <si>
    <t>a0K2X00000x0znvUAA</t>
  </si>
  <si>
    <t>Nucleophilic Substitution Reaction: Alkyl halides substrates</t>
  </si>
  <si>
    <t>SNR</t>
  </si>
  <si>
    <t>https://api2.labster.com/simulation/a0K2X00000x0znvUAA/play</t>
  </si>
  <si>
    <t>Retrosynthesis
Reaction energy diagrams</t>
  </si>
  <si>
    <t>Demonstrate a detailed understanding of nucleophilic substitution reactions, both SN1 and SN2 and explain the difference between them
Draw the mechanisms of both the SN1 and SN2 nucleophilic substitution reactions
Describe the variables in substitution reactions and the effects of changing substrate (steric effects), solvent, nucleophile, and leaving group
Consider the stereochemistry of the product to determine the likely reaction mechanism
Describe the reactive properties of the alkyl halide group</t>
  </si>
  <si>
    <t xml:space="preserve">Solve a craft beer conundrum using your substitution smarts to design reactions for a unique range of flavor molecules! Will you help draw in a hip crowd with the new beverage flavors you create in the brew lab?
</t>
  </si>
  <si>
    <t xml:space="preserve">If reactions were flavors - substitution would be tutti-frutti! In this simulation, you will explore the factors that affect substitution reactions and learn how to promote different mechanisms of substitution. Put your substitution expertise to the test by using retrosynthesis and reaction design principles to create an assortment of aroma molecules in developing exciting new beverage flavors for a craft brewery!
Flavor chemistry saves the day
Help Corey the microbrewery barista attract more customers by designing flavor molecules in the brew lab. Students will get hands-on in learning about substitution - getting immersed in the mechanisms, exploring the factors that affect different types of substitution and how it relates to changes in reaction energy profiles. In order to design their own substitution reactions, students will first develop their theoretical and mechanistic understanding and apply this to practical experimental design.
Exploring substitution mechanisms
Interact with both SN2 and SN1 reactions at a molecular level with our 3D reaction visualizer. Identify the reactive components in substitution reactions, trigger the reaction and replay or rewind at your leisure to spot the mechanistic differences. Be immersed in the mechanistic principles to help lock in molecular-level reactivity concepts and considerations.
Investigate substitution variable factors
Become acquainted with the factors that can affect substitution - and develop your SN2 versus SN1 prediction skills. Investigate why the selection of solvent, leaving groups and substrate size can either promote or prevent substitution. You’ll get to know superstar substrates - the alkyl halides - and their reactivity preferences in substitution reactions. Delving into reaction energy diagrams along the way, you’ll probe and predict the effect of changing these factors to find the energetically most favorable reaction conditions.
Substitution: synthesis design!
To successfully complete the mission, you’ll select the necessary chemical ingredients to synthesize five flavor molecules using substitution. Can you mix and match alkyl halides, nucleophiles and solvents to come up with the perfect recipe for each unique flavor?
</t>
  </si>
  <si>
    <t>a0K2X00000n0czRUAQ</t>
  </si>
  <si>
    <t>Smooth muscle: Learn how your gut contracts!</t>
  </si>
  <si>
    <t>SMV</t>
  </si>
  <si>
    <t>https://api2.labster.com/simulation/a0K2X00000n0czRUAQ/play</t>
  </si>
  <si>
    <t>Potentially HS-LS1-2, however likely too high level</t>
  </si>
  <si>
    <t>Myography</t>
  </si>
  <si>
    <t>Describe smooth muscle characteristics
Explain the autonomous nervous system (sympathetic and parasympathetic) control of smooth muscle
Identify which neurotransmitters and receptors are involved in smooth muscle contraction
Use the equipment and interpret the results from the performed experiments</t>
  </si>
  <si>
    <t xml:space="preserve">Join a physiology laboratory to understand how smooth muscle contracts by performing several in vitro experiments, and help your friend identify the cause of her intestinal pain.
</t>
  </si>
  <si>
    <t xml:space="preserve">Have you ever noticed a feeling of discomfort after a large meal? In this simulation, you will learn the basics of smooth muscle contraction and how it is controlled by the nervous system in order to provide more insight into the causes of a friend’s digestion issues.
Use animal models
Although smooth muscle is located in many different parts of your body, this session focuses on the smooth muscle that is located in the intestine. In order to understand how smooth muscle contracts, you will use an animal model that resembles the way smooth muscle works in humans. You will perform different experiments using pieces of rat intestine to evaluate the impact of several neurotransmitters and drugs on smooth muscle contraction.
Get your results in real time and dive into the sample
Learn about the purpose of different parts of equipment in the physiology lab, and discover the importance of the composition of reagents and conditions in conducting experiments with reliable results. You will be able to use different reagents that resemble the control of the nervous system as well as other drugs that modify the smooth muscle contraction. On top of this, you will be able to observe the outcome in real time via your virtual PC screen.
In addition, every time you test a new reagent, you will be able to visualize the results at a cellular level, understanding the changes in the concentration of different molecules and the interaction with the specific receptors to trigger different events, which will ultimately impact the smooth muscle contraction.
Identify the cause of the intestinal pain
At the end of the simulation, after testing your hypothesis and performing all the experiments, you will have a clear understanding of how smooth muscle contracts.
Will you be able to identify the cause of your friend’s intestinal discomfort?
</t>
  </si>
  <si>
    <t>6.1 Digestion and absorption
Biology D.2 Digestion</t>
  </si>
  <si>
    <t>a0K2X00000jGZlkUAG</t>
  </si>
  <si>
    <t>Skeletal Muscle: Learn about the muscles we use to walk and run</t>
  </si>
  <si>
    <t>SMS</t>
  </si>
  <si>
    <t>https://api2.labster.com/simulation/a0K2X00000jGZlkUAG/play</t>
  </si>
  <si>
    <t>Force transduction
- Twitch kinetics
- Tetanus kinetics
- Length tension
- Staining/Microscopy
- Fatigue
- Force frequency
Histochemistry
- Slide preparation</t>
  </si>
  <si>
    <t>Explain the length-tension relationship in skeletal muscle
Understand how twitch and tetanus, the force-frequency relationship, and the response
Measure the physiological properties of isolated EDL and soleus muscles
Learn about enzyme histochemistry techniques and understand the steps involved
Quantify the proportion of different fiber types found in both muscle types</t>
  </si>
  <si>
    <t xml:space="preserve">Investigate the properties of two types of skeletal muscle and analyze their fiber composition. Use histochemistry and force transduction to compare muscles and learn why you can stay energized on long walks but get tired from a short sprint.
</t>
  </si>
  <si>
    <t xml:space="preserve">Have you ever wondered what the difference between walking and running is? In this simulation you will learn the key differences between muscles used during walking and those used for sprinting. Spotting these differences will require the use of a variety of lab techniques.
Stain two muscles using histochemistry
With a cryostat you will cut two muscles in thin slices, and use different protocols to stain the muscle cells and identify myosin ATPase, succinate dehydrogenase (SDH), and aGDPH. You will dye the cells of the extensor digitorum longus (EDL), as well as those of the soleus to inspect the fibre composition under a light microscope. You will then complete a full protocol. First, you will dissect a rat to extract two types of skeletal muscle. Then, you will use the microtome in a cryostat to prepare microscope slides with the muscles to compare them and inspect the differently stained muscle fibres.
Use the force… transducer!
In the second half of the simulation you will investigate the properties of the two types of skeletal muscle to see how they differ and where they are similar. Use force transducers to investigate how the tension of the two muscles differs with length, and what kind of force they produce at different lengths and with different stimuli. Dive in to skeletal muscle exercises such as twitch kinetics, tetanus kinetics, force frequency and fatigue!
Compare the muscles
Use histochemistry and force transduction to get data to compare two types of skeletal muscles from dissected virtual rats. Will you be able to compare the two skeletal muscles and explain why you can be super fit for long walks but get tired from a short sprint?
</t>
  </si>
  <si>
    <t>a0K2X00000zehk7UAA</t>
  </si>
  <si>
    <t>Substitution vs. Elimination Reactions: Predict the outcome</t>
  </si>
  <si>
    <t>SER</t>
  </si>
  <si>
    <t>https://api2.labster.com/simulation/a0K2X00000zehk7UAA/play</t>
  </si>
  <si>
    <t>Explain the main differences between elimination (E1 and E2) and substitution reactions (SN1 and SN2)
Predict the reaction type and product for reaction conditions that could lead to either of the SN1, SN2, E1, or E2 type reactions</t>
  </si>
  <si>
    <t xml:space="preserve">Join Dr. One in the lab to investigate how several types of substitutions and eliminations are competing with each other in organic chemistry. Predict, mix and observe the outcome!
</t>
  </si>
  <si>
    <t xml:space="preserve">Have you ever mixed some chemicals and the result was alkynes of trouble? In this simulation, you will extend your knowledge of nucleophilic substitution and elimination reactions, and work with which reaction type will be dominant under different reaction conditions.
Brush up on the reactions
Your main mission in this simulation will be to solve a series of challenges revolving around substitution and elimination reactions, given by Dr. One, your virtual lab assistance. You will start by brushing up on your knowledge of the reactions, revisiting the SN1, SN2, E1 and E2 types. You then move to the main lab room, where the chemistry materials you need to solve the challenges awaits you.
Predict the outcome
The tricky thing with substitution and elimination reactions is that they are often in competition with each other for specific combinations of reactants. Working with a set of alkyl halides and nucleophiles/bases, you will be challenged to form and test hypotheses about which reaction type will be dominant, or which product will be the major one. You can test your assumptions freely by trying out any conceivable combination of the available chemicals, and if you don’t get the expected product, you can always just reset the reaction vessel and try again!
In the final challenge, Dr. One will simply ask you a series of quiz questions on the topic. You might already know the answers by then, but if not, you can continue to explore the reactions using the materials on your workbench.
Solving the puzzle
Only by carefully considering the different reaction conditions will you be able to complete your mission. Dr. One will, of course, be there to assist you as you move through the challenges, and you can always head to the theory pages to dive further into the reactions.
Will you be able to figure out how substitution and elimination reactions compete?
</t>
  </si>
  <si>
    <t>a0K2X00000qwP4LUAU</t>
  </si>
  <si>
    <t>Sensory transduction: Learn why you feel pain when you get hit by a rock</t>
  </si>
  <si>
    <t>SEN</t>
  </si>
  <si>
    <t>https://api2.labster.com/simulation/a0K2X00000qwP4LUAU/play</t>
  </si>
  <si>
    <t>Latency to Withdrawal
Voltage-clamp method</t>
  </si>
  <si>
    <t>Understand the types of sensory neurons and their responses to different stimuli
Describe the response of a sensory receptor to chemical stimuli at the cellular and organismal level
Set up a voltage-clamp experiment, and measure and interpret changes in current in response to chemical stimuli
Analyze and interpret patch clamp results to contrast how two sodium channel blockers inhibit capsaicin-induced excitability
Collect data and analyze it on withdraw reflex time in an acute pain model</t>
  </si>
  <si>
    <t xml:space="preserve">Learn the basic mechanisms of sensory transduction by performing in vitro and in vivo experiments and determine which anesthetic drug will allow your friend to keep climbing a mountain without having the muscles affected.
</t>
  </si>
  <si>
    <t xml:space="preserve">How do anesthetic drugs work? In this simulation, you will learn the basics of sensory transduction by testing and comparing the mechanisms of action of two anesthetic drugs. Explore which stimuli activate different types of sensory neurons and behold the flow of ions inside an axon. Perform a patch-clamp experiment to analyze how the anesthetics impact the pain transduction in the nociceptors, and confirm the results by performing some in vivo experiments before selecting the best pain killer for your friend.
Explore sensory neurons
Which neurons are activated when you get a cut? What about when you are hit by a rock? Explore the different types of sensory neurons on the holo-table and see the impact of six different stimuli as many times as you want! Then, figure out which stimuli activate nociceptors to transduce pain, and dive into an axon to learn which transmembrane receptor makes nociceptors sensitive to pain and the flow of ions inside.
Set up your own patch-clamp experiment
You will dissect some dorsal root ganglia from a rat’s spinal cord to use for a patch clamp experiment. You will set up the equipment and use different buffers to conduct the voltage-clamp experiment. You will then be able to see and analyze the results on the virtual PC screen in a short time, avoiding long waiting times in between changes of buffers, and allowing you tol test the effect of the two anesthetics to evaluate their effect on the flow of ions and in sensory transduction.
Confirm your results with an in vivo model
After analyzing the in vitro data, you will determine if the differences in the effect of the two pain killers are confirmed in in vivo studies. This includes conducting latency to withdrawal experiments and analyzing motor function experimental results. You will finally dive one last time into the axon to see the effect of each anesthetic drug inside the nociceptors. Will you be able to determine which drug is best to give your injured friend?
</t>
  </si>
  <si>
    <t>A.3 Perception of stimuli</t>
  </si>
  <si>
    <t>Early Stage Bachelors Level
US College Year 1
US College Year 2</t>
  </si>
  <si>
    <t>a0Kw000000Iko9sEAB</t>
  </si>
  <si>
    <t>Synthetic Biology</t>
  </si>
  <si>
    <t>SBL</t>
  </si>
  <si>
    <t>https://api2.labster.com/simulation/a0Kw000000Iko9sEAB/play</t>
  </si>
  <si>
    <t>TM-MIT</t>
  </si>
  <si>
    <t>Gel electrophoresis
Restriction digest
Electroporation
Antibiotics selection
Plasmid isolation with purification columns
Gateway cloning technique
Sterile technique</t>
  </si>
  <si>
    <t>Engineer natural systems to perform specific functions
Describe the fundamentals of the Gateway cloning technique and design your own biological circuit
Explain and perform bacterial transformation, antibiotic selection and plasmid purification
Explain and perform a restriction digest of your cloning product</t>
  </si>
  <si>
    <t xml:space="preserve">Join cutting edge research at MIT and design a biological circuit that can sense and destroy cancer cells.
</t>
  </si>
  <si>
    <t xml:space="preserve">Use the specific microRNA profile of cancer cells to design an apoptotic biological circuit that is only activated in cancer cells. You are the only hope for a patient with a rare form of cancer.
Learn how to use the Gateway cloning technique
In the Synthetic Biology simulation, you will learn how to use the Gateway cloning technique to combine different genetic modules in an expression vector. You will learn how the Gateway cloning technique can be used to efficiently combine these modules. Use electroporation to transform the bacteria with your vector of interest and select successful transformants. You will learn all about the basics of sterile lab work and bacterial selection.
Extract and isolate plasmids
Your next task in the lab will be to grow the transformed bacteria and extract the plasmids using a ‘miniprep’ kit. You will learn how different buffers enable you to isolate plasmid, and not genomic, DNA from the cells. You will check if the plasmid, indeed, contains your circuit, and if it is mutation-free by digesting it with restriction enzymes and by using gel electrophoresis. In the end you will test your circuit in living cells to see if the cancer cells are the only cells that die.
Will you be able to find a cure for this rare form of cancer?
</t>
  </si>
  <si>
    <t>a0K2X00000qKXWiUAO</t>
  </si>
  <si>
    <t>Electrophilic Addition: Explore reactions of hydrocarbons</t>
  </si>
  <si>
    <t>ROH</t>
  </si>
  <si>
    <t>https://api2.labster.com/simulation/a0K2X00000qKXWiUAO/play</t>
  </si>
  <si>
    <t>Bromine Test for hydrocarbon unsaturation
GC data analysis
Gas-liquid reaction</t>
  </si>
  <si>
    <t>Describe the reactions of simple alkanes, alkenes, and alkynes
Describe the reaction of simple alkenes with electrophiles
Demonstrate a detailed mechanistic understanding of addition reactions
Predict which way an electrophile will add to an alkene using Markovnikov’s Rule and an understanding of carbocation stability
Predict the major product of the main different types of addition reactions</t>
  </si>
  <si>
    <t xml:space="preserve">Travel to Titan on a reactivity reconnaissance mission and explore this hydrocarbon world. Can you use your knowledge of the electrophilic addition reaction to identify hydrocarbons that you could use to build an extra-terrestrial colony on Titan?
</t>
  </si>
  <si>
    <t xml:space="preserve">Buckle up for a chemistry journey a billion kilometers away! In the Electrophilic Addition: Explore Reactions of Hydrocarbons simulation you will identify some natural hydrocarbon resources on Saturn’s moon, Titan, and explore their most significant reactions. Hydrocarbons may be the simplest organic molecules - but they provide great building blocks for chemical synthesis!
Investigate hydrocarbons on Titan
Join Dr. Smith in the Titan lab to begin identifying hydrocarbons that could be used to synthesize more complex substances and materials. Discover which hydrocarbons and reactions are the most synthetically useful for our colonization mission. We’ll delve deeper into understanding the electrophilic addition reaction and its wide-ranging applications.
Perform and visualize addition reactions
Be immersed at a molecular level in our 3D reaction visualizer. There you’ll engage interactively with the reaction components and carry out the electrophilic addition reaction mechanism in 3D. Get better acquainted with reaction principles and selectivity and see the reaction happen before your very eyes!
In our lab, you’ll perform the bromine test for hydrocarbon unsaturation on Titan samples before carrying out investigative electrophilic addition reactions in the fume hood. Find the equipment you need to perform electrophilic addition reactions on two alkene isomers simultaneously and use your knowledge to predict the products. With replenishing pipettes and the option to reset - there are opportunities to repeat experimental steps quickly in our virtual lab!
Explore selectivity - and the colony
Lastly, you will analyze the results of your electrophilic addition experiments and investigate possible products in our 3D molecular visualizer. Will you be able to identify and synthesize hydrocarbon materials that we can use to build a colony?
</t>
  </si>
  <si>
    <t>a0K2X000011532PUAQ</t>
  </si>
  <si>
    <t>Redox Reactions: Discover how batteries work!</t>
  </si>
  <si>
    <t>RED</t>
  </si>
  <si>
    <t>English (United States)
French
German
Italian
Spanish</t>
  </si>
  <si>
    <t>Gen Chem Gaps</t>
  </si>
  <si>
    <t>Galvanic cells
Aqueous redox reactions</t>
  </si>
  <si>
    <t>Describe the concept of oxidation states and explain trends in the periodic table
Apply the rules for determining the oxidation state
Describe the role of the electron in reduction-oxidation
Predict the direction of redox reactions
Balance a redox reaction in both acidic and alkaline environments</t>
  </si>
  <si>
    <t xml:space="preserve">Build your own battery to power an electric car! Discover the chemical reactions that power batteries by finding oxidation numbers, balancing redox reactions, and experimenting with redox reactions in the lab.
</t>
  </si>
  <si>
    <t xml:space="preserve">Oh no! Your electric car has broken down. Can you build your own battery to get moving again? Discover the chemical reactions that power batteries by finding oxidation numbers, balancing redox reactions, and experimenting with redox reactions in the lab, then make a recommendation to your friend Hansen about whether to replace his worn-out lead-acid battery with a new lithium-ion one.
Oxidation number and redox reactions
Join Dr. One in the redox chemistry lab to find out how redox reactions power batteries. Start by using the periodic table to predict the oxidation numbers of various compounds. Then balance the charges of half-reactions and see what happens to the oxidation numbers when electrons are lost or gained!
Redox potentials and balancing reactions
Develop and test a hypothesis about the reaction between copper and different aqueous solutions based on their reduction potentials. How can these potentials help you predict the direction of a redox reaction? Batteries can be both acidic and alkaline, so next up,  join Dr. One to balance redox reactions one step at a time in both environments.
Optimize a galvanic cell
Now that you understand what a redox reaction is and what happens to the electrons, learn how this can be used to generate power in a galvanic cell. Experiment with different combinations of metal for the anode and cathode to find the most powerful duo. Will you be able to complete the reactivity series and discover another way of predicting the direction of redox reactions? Remember that you set out to find the best kind of battery to fix the electric car. With everything you now know about galvanic cells, what kind of battery do you recommend to your friend?
</t>
  </si>
  <si>
    <t>9.1 Oxidation and reduction</t>
  </si>
  <si>
    <t>4.9 Oxidation-Reduction (Redox) Reactions</t>
  </si>
  <si>
    <t>a0Kw000000TFheDEAT</t>
  </si>
  <si>
    <t>Protein Denaturation</t>
  </si>
  <si>
    <t>PRD</t>
  </si>
  <si>
    <t>https://api2.labster.com/simulation/a0Kw000000TFheDEAT/play</t>
  </si>
  <si>
    <t>English (United States)
French
German
Spanish</t>
  </si>
  <si>
    <t>Understand what protein denaturation is
Understand how interactions between side groups influence the protein structure
Understand the chemical causes of protein denaturation
Understand the physical causes of protein denaturation
Remember the steps involved in protein denaturation
Understand the results of protein denaturation and how food texture changes as a result of it (coagulation)
Understand how biotechnology is used in daily life</t>
  </si>
  <si>
    <t xml:space="preserve">Learn the different ways of denaturing proteins and learn about their importance in food science.
</t>
  </si>
  <si>
    <t xml:space="preserve">In the Protein Denaturation lab, you will learn the different ways to denature proteins and their relation to food science. You will perform various experiments using ovalbumin, the primary protein found in eggs, in order to understand the chemical and physical causes of protein denaturation, and how it affects food texture. Will you be able to unravel the mysteries of cooking an egg?
</t>
  </si>
  <si>
    <t>Biology D.2 Digestion
2.4 Proteins
6.1 Digestion and absorption
Biology D.1 Human nutrition</t>
  </si>
  <si>
    <t>a0K2X00000qxA9hUAE</t>
  </si>
  <si>
    <t>Intestinal Glucose Transport: Study a mouse intestine for diagnosis</t>
  </si>
  <si>
    <t>POO</t>
  </si>
  <si>
    <t>https://api2.labster.com/simulation/a0K2X00000qxA9hUAE/play</t>
  </si>
  <si>
    <t>Use a mouse intestinal everted sac to study epithelial glucose transport between mucosal and serosal sides
Make an everted intestinal sac
Glucose assay (oxidase, peroxidase, o-dianisidine)
Calibration curve</t>
  </si>
  <si>
    <t>Understand the epithelial model for how glucose is transported across the mammalian small intestine
Perform a glucose assay method
Use an animal model to study the transport of materials across the intestine
Describe the effect of blocker ouabain on glucose transport by the small intestine
Explain the effect of manipulations of mucosal concentrations of glucose and sodium on glucose intestinal transport
Interpret physiological data and apply to clinical cases</t>
  </si>
  <si>
    <t xml:space="preserve">Turn a mouse intestine inside out and use it to study glucose transport in order to figure out what is wrong with an infant.
</t>
  </si>
  <si>
    <t xml:space="preserve">In this simulation, you will help treat an infant who is experiencing diarrhea, and as a consequence, is not gaining weight. She also has elevated blood sodium concentration and glucose in her feces and urine. Dr. Shaw, your supervisor, suspects that her diarrhea is caused by a lack of ability to absorb glucose. In this simulation, you will use a mouse model to study glucose transport and see if data from animal studies can be used to diagnose human diseases.
Make an everted sac
You will use a piece of mouse intestine as your model to study glucose transport between the inner (mucosal) and outer (serosal) sides. To make sure no impurities interfere with your results, you will need to turn it inside out, which you will do via an interactive animation. At the end of the everting procedure, the intestine looks like a sausage!
Study glucose transport by measuring its concentration
Once you have your everted intestinal sac, you will expose both sides to glucose solutions of different concentrations, a sodium-potassium ATPase blocker and a sodium-free saline solution. Then, after measuring the glucose levels on both sides following the treatments, you will analyze your data and be able to understand how active glucose transport in the intestinal epithelium works. A step-by-step interactive summary diagram will help you visualize what happens to all the molecules and transporters involved.
Help diagnose the infant
Once you know how intestinal active glucose transport works and what molecules are involved, you will call Dr. Shaw so that she can confirm your diagnosis and try to treat her little patient.
Will your findings be able to help make the infant well again?
</t>
  </si>
  <si>
    <t>6.1 Digestion and absorption</t>
  </si>
  <si>
    <t>a0K2X00000jGkTOUA0</t>
  </si>
  <si>
    <t>Population Growth: Lets catch some goslins!</t>
  </si>
  <si>
    <t>POG</t>
  </si>
  <si>
    <t>https://api2.labster.com/simulation/a0K2X00000jGkTOUA0/play</t>
  </si>
  <si>
    <t>High level content, may support HS-LS2-1</t>
  </si>
  <si>
    <t>Capture and marking
Mark-recapture</t>
  </si>
  <si>
    <t>Assess the population structure using data from mark-recapture to estimate the average age of death and fecundity
Predict the growth of a population using a mathematical model</t>
  </si>
  <si>
    <t xml:space="preserve">Help ecologists devise a conservation strategy that will protect the goslin population on a newly discovered exoplanet, Astakos IV.
</t>
  </si>
  <si>
    <t xml:space="preserve">Welcome to science camp on Astakos IV, a newly discovered exoplanet! In this simulation, you will meet exciting creatures, learn about their population structure, and help devise a conservation plan.
Meet the goslins!
Near the science camp there is a lake where scientists have built a pontoon, a water filtering system, and some paths. Five years after their arrival here, the goslin population seems to be decreasing in numbers. Nearby, there is another more pristine lake, where goslins also live. The population here, it seems, has remained stable. Dr. One, your lab assistant, and Sophie, the chief ecologist, have been collecting data for the past four years, and now you get to help them collect data for year five! You will get to see and explore the goslins up close on the holotable and in the field. You will also get to watch a movie about how they lay their precious pods upwards onto the safety of the branches of zenroses! Before going to the field, you will learn about the goslin lifecycle and see some data that has already been collected. This data will help you to make a prediction about what the best conservation strategy for the species may be. Is it best to invest more in protecting the pods or the fertile adults?
Gotta catch them all!
As the evening approaches, you will find yourself in a canoe in the pristine lake, trying to find some goslins. They can be quite elusive sometimes! After deciding on the correct capturing technique and marking tool, you will work together with Dr. One to capture and mark young goslins. As well as this, you will recapture marked adults in order to collect more data for the current year.
Use your data to create a plan
Back in the lab, you will analyze the data, see if your initial prediction was correct, and come up with a conservation strategy that minimizes human impact and preserves the goslin populations on Astakos IV!
</t>
  </si>
  <si>
    <t>a0K2X00000x2d2lUAA</t>
  </si>
  <si>
    <t>Springs and Masses (Principles): Learn how to detect and record earthquakes</t>
  </si>
  <si>
    <t>PHH</t>
  </si>
  <si>
    <t>https://api2.labster.com/simulation/a0K2X00000x2d2lUAA/play</t>
  </si>
  <si>
    <t>Oscillations
Physics</t>
  </si>
  <si>
    <t>HS-PS4-1, HS-PS3-3, HS-ETS1-2, HS-ETS1-4, HS-ESS2-2</t>
  </si>
  <si>
    <t>Seismometer</t>
  </si>
  <si>
    <t>Understand the motion of a mass oscillating on a vertical spring
Determine the equilibrium position of a vertical oscillator
Understand the basic properties of Simple Harmonic Motion
Understand Hooke’s law in relation to a spring-mass system
Determine the magnitude and epicenter of an earthquake from a seismogram</t>
  </si>
  <si>
    <t xml:space="preserve">Become a spring oscillation master and help determine the magnitude and epicenter of an earthquake using just a mass and a spring.
</t>
  </si>
  <si>
    <t xml:space="preserve">This is the principles (high school) version of the simulation. For a more advanced version please see Springs and Masses: Learn how to detect and record earthquakes.
Enter the ideal world… as physicists see it! In the Springs and Masses simulation, you will play with vertical springs connected to different masses in ideal conditions. You’ll learn the main properties of a special type of oscillation: simple harmonic motion. This is one of the most fundamental concepts in physics and it’s used to describe many different phenomena, from the vibration of a tuning fork to the vibrations of the electrons in an atom. In the end, you will get to see springs in action in one of their many applications: a seismic station.
Ideal springs in ideal conditions
Have you ever wondered what would happen if you attached a mass to an ideal vertical spring and you could neglect the resistance of air? These conditions are called ideal conditions and are very important for letting physicists understand the world around us. In a real lab, you can only observe approximations to ideal conditions, but in this virtual simulation, you can forget about all the real-world messy conditions. In the springs and masses simulation, you will play with a vertical spring that moves without friction and observe its motion when no air resistance acts on it.
Harmonic oscillator
Simple harmonic motion is one of the most fundamental concepts in physics. In the Springs and Masses simulation, you’ll work on an ideal system and determine its equilibrium for different combinations of springs and masses. Springs are everywhere around us, but do you know what distinguishes the spring in your pen from that in the suspensions of cars? Here, you will learn how Hooke’s law can help you determine the elasticity of different springs, and you will get to measure it yourself.
Build your own seismograph:
Among their many uses and applications, a mass attached to a spring is the main building block of seismometers. Seismometers are the instruments used to detect seismic waves and other ground vibrations. Here you will get to assemble your own seismic station and learn how to read a seismogram, the recording output of a seismograph.
Will you be able to detect the magnitude and epicenter of an earthquake using just a mass and a spring?
</t>
  </si>
  <si>
    <t>2.1 – Motion
4.1 – Oscillations</t>
  </si>
  <si>
    <t>6.1 Period of Simple Harmonic Oscillators
6.2 Energy of a Simple Harmonic Oscillator
10.1 Properties of Waves
10.2 Periodic Waves</t>
  </si>
  <si>
    <t>a0K2X00000jGm8mUAC</t>
  </si>
  <si>
    <t>Periodic Table of Elements: Get the table organized in time!</t>
  </si>
  <si>
    <t>PET</t>
  </si>
  <si>
    <t>https://api2.labster.com/simulation/a0K2X00000jGm8mUAC/play</t>
  </si>
  <si>
    <t>Flame color test</t>
  </si>
  <si>
    <t>Describe the structure and organization of the periodic table
Classify elements of a family based on their location in the periodic table
Distinguish metals from other element classes based on typical characteristics
Use the flame color test to identify metals based on their position in the periodic table
Relate valence electrons and oxidation state of a main group element to its position in the periodic table
Describe the main trends among groups and periods for atomic properties
Explain the causes on the atomic level for the main trends among groups and periods concerning atomic radii, ionization energy and electronegativity</t>
  </si>
  <si>
    <t xml:space="preserve">Help Dr. One get the periodic table ready in time! By directly observing the elements’ characteristics, testing their flame color, and investigating trends in atomic properties, your mission is to figure out where a number of fallen out elements belong.
</t>
  </si>
  <si>
    <t xml:space="preserve">Light up the elements! In this simulation, you will learn all the fundamental ins and outs of the periodic table. Find out which elements have metallic characteristics, perform a flame test, and explore trends in atomic properties among the main groups and periods.
A broken table
The periodic table is an amazing tool for getting an overview of all the elements in existence, even the elements that only exist when we create them ourselves. But the table in this virtual lab lab is broken; some of the elements have fallen out, and it’s your mission to figure out where they belong by investigating their characteristics and properties.
Flame color test and atomic properties
To sort the first few elements in the table you can observe their flame colors. You may need to use your knowledge about element classes as well to get the full overview.
There are surprisingly many atomic properties for which trends can be observed via the periodic table. Moving on to the virtual holo-table, you will investigate these trends and deduct how they behave when you move within and between periods and groups of the table. You will need this knowledge to assign the most tricky fallen-out elements.
Become the teacher
At  the end of the simulation, a special visitor will be coming by the lab, and she needs you to help her understand the basics of the periodic table.
Will you be able to grasp the periodic table well enough to explain it to the visitor?
</t>
  </si>
  <si>
    <t>a0K2X00000d2Hw6UAE</t>
  </si>
  <si>
    <t>Springs and Masses: Learn how to detect and record earthquakes</t>
  </si>
  <si>
    <t>PER</t>
  </si>
  <si>
    <t>https://api2.labster.com/simulation/a0K2X00000d2Hw6UAE/play</t>
  </si>
  <si>
    <t>Describe the motion of a mass oscillating on a vertical spring
Determine the equilibrium position of a vertical oscillator
Explain the basic properties of Simple Harmonic Motion
Apply Hooke’s law to a spring-mass system
Determine the magnitude and epicenter of an earthquake from a seismogram</t>
  </si>
  <si>
    <t xml:space="preserve">Enter the ideal world…as physicists see it! In the Springs and Masses simulation, you will play with vertical springs connected to different masses in ideal conditions. You’ll learn the main properties of a special type of oscillation: simple harmonic motion. This is one of the most fundamental concepts in physics and it’s used to describe many different phenomena, from the vibration of a tuning fork to the vibrations of the electrons in an atom. In the end, you will get to see springs in action in one of their many applications: a seismic station.
Ideal springs in ideal conditions
Have you ever wondered what would happen if you attached a mass to an ideal vertical spring and you could neglect the resistance of air? These conditions are called ideal conditions and are very important for letting physicists understand the world around us. In a real lab, you can only observe approximations to ideal conditions, but in this virtual simulation, you can forget about all the real-world messy conditions. In the springs and masses simulation, you will play with a vertical spring that moves without friction and observe its motion when no air resistance acts on it.
Harmonic oscillator
Simple harmonic motion is one of the most fundamental concepts in physics. In the Springs and Masses simulation, you’ll work on an ideal system and determine its equilibrium for different combinations of springs and masses.  Springs are everywhere around us, but do you know what distinguishes the spring in your pen from that in the suspensions of cars? Here, you will learn how Hooke’s law can help you determine the elasticity of different springs, and you will get to measure it yourself.
Build your own seismograph
Among their many uses and applications, a mass attached to a spring is the main building block of seismometers. Seismometers are the instruments used to detect seismic waves and other ground vibrations. Here you will get to assemble your own seismic station and learn how to read a seismogram, the recording output of a seismograph.
Will you be able to detect the magnitude and epicenter of an earthquake using just a mass and a spring?
</t>
  </si>
  <si>
    <t>a0K2X00000v8MUCUA2</t>
  </si>
  <si>
    <t>Periodic Table (Principles): Get the table organized in time</t>
  </si>
  <si>
    <t>PEH</t>
  </si>
  <si>
    <t>https://api2.labster.com/simulation/a0K2X00000v8MUCUA2/play</t>
  </si>
  <si>
    <t xml:space="preserve">Interactive periodic table where each element has description (2:19, 11:01, 12:14) (Visualisation)
Interactive periodic table where each element has description (2:19, 11:01, 12:14) (Visualisation)
Flame test where each solution results in different colour (8:46 in screenshot) (Visualisation, Experiment, Learn by doing)
Flame test where each solution results in different colour (8:46 in screenshot) (Visualisation, Experiment, Learn by doing)
Fill up the gaps in periodic table based on lab analysis (11:38, 20:47) (Learn by doing, Game-like)
Fill up the gaps in periodic table based on lab analysis (11:38, 20:47) (Learn by doing, Game-like)
</t>
  </si>
  <si>
    <t>1.7 Periodic Trends
1.8 Valence Electrons and Ionic Compounds</t>
  </si>
  <si>
    <t>a0K2X00000jGcmPUAS</t>
  </si>
  <si>
    <t>Renal Physiology: Find the mode of action of a diuretic drug</t>
  </si>
  <si>
    <t>PEE</t>
  </si>
  <si>
    <t>https://api2.labster.com/simulation/a0K2X00000jGcmPUAS/play</t>
  </si>
  <si>
    <t>Out  of Scope</t>
  </si>
  <si>
    <t>Data analysis of a tubule reabsorption experiment
Analysis of glomerular filtration rate
Perfusing and extraction of a kidney from a rat
Radioimmunoassay
Preparing a section of a nephron tubule</t>
  </si>
  <si>
    <t>Understand the morphological relationships between the kidney tubules and the circulatory system
Analyze experimental data for calculating glomerular filtration rate
Set up and perform a perfusion of renal tubules, including the calculation of liquid absorption rates
Learn about the epithelial transport mechanism in the kidney tubules
Use experimental data to assess the mode of action of a diuretic drug</t>
  </si>
  <si>
    <t xml:space="preserve">Explore the structure of the kidney and discover its different functions by trying to uncover the mode of action of a new diuretic drug that has the potential to prevent hypertension.
</t>
  </si>
  <si>
    <t xml:space="preserve">Did you know your kidneys play a critical role in purifying the bloodstream and recycling important molecules? In this simulation, you will learn about the structure of the different tissues inside the kidney and their respective functions for maintaining a healthy body, as well as their influence on urine regulation.
Uncover the mode of action of a new diuretic drug
A diuretic drug can help with hypertension and prevent kidney disease by increasing urine output. In this simulation, you’ll meet a nephrologist who has a promising new drug candidate, but who would like a student to elucidate the mode of action of this drug before clinical trials can be undertaken. You will explore the kidney structure through holograms and perfuse a kidney from a dissected rat to test different hypotheses regarding the potential mechanism of this new drug candidate.
Perfuse a kidney and perform a radioimmunoassay
A full 3D hologram of a kidney will let you explore the functions of the different renal tissues throughout the simulation, helping you formulate plausible hypotheses regarding the mode of action of the drug on different renal structures. You will also perfuse and extract the kidney of a dissected rat, before performing a radioimmunoassay on the section of a nephron. You will measure the resulting flow of radioactive perfusate to identify the target of the new diuretic drug candidate based on water and ion transport through the epithelial barrier.
Test your hypotheses
There are many ways a diuretic drug could influence urine output in the kidney. Using the 3D hologram and all the data at your disposal, will you be able to figure out the mode of action of the mysterious diuretic drug?
</t>
  </si>
  <si>
    <t>Biology D.2 Digestion
Biology D.1 Human nutrition</t>
  </si>
  <si>
    <t>a0Kw000000TpSF9EAN</t>
  </si>
  <si>
    <t>Pasteurization and Sterilization</t>
  </si>
  <si>
    <t>PAS</t>
  </si>
  <si>
    <t>https://api2.labster.com/simulation/a0Kw000000TpSF9EAN/play</t>
  </si>
  <si>
    <t>Using a pH meter
Aerobic plate count
High-Temperature-Time-Treatment (HTST) pasteurization
Canning</t>
  </si>
  <si>
    <t>Understand the concept of food spoilage and shelf life
Understand the principle of pasteurization and sterilization
Analyze the parameters of High-Temperature-Time-Treatment (HTST) pasteurization
Perform canning as a method of sterilization
Understand how plastic and metal can be used as materials for packaging</t>
  </si>
  <si>
    <t xml:space="preserve">Help an organic farmer to increase the shelf life of his peach juice. Will you be able to eliminate spoilage of the peach juice?
</t>
  </si>
  <si>
    <t xml:space="preserve">In the Pasteurization and Sterilization lab, you will help Adam, an organic farmer, to increase the shelf life of his peach juice. Together with Marie, a food scientist, you will learn the basics of food spoilage and shelf life by performing a series of spoilage detection experiments. Later, you will explore two types of heat treatment, pasteurization and sterilization, to eliminate the food spoilage in the peach juice. Finally, you will employ your knowledge to determine which type of packaging and heat treatment is suitable for Adam’s peach juice. Will you be able to eliminate spoilage in Adam’s peach juice?
</t>
  </si>
  <si>
    <t>a0Kw000000XC6CNEA1</t>
  </si>
  <si>
    <t>Parkinson's Disease</t>
  </si>
  <si>
    <t>PAK</t>
  </si>
  <si>
    <t>https://api2.labster.com/simulation/a0Kw000000XC6CNEA1/play</t>
  </si>
  <si>
    <t>Confocal microscopy
Sonication
Size exclusion chromatography
Ion exchange chromatography</t>
  </si>
  <si>
    <t>Describe the role of alpha synuclein in Parkinson’s disease
Describe the different parts of a liquid chromatography equipment
Interpret results from liquid chromatography experiments
Describe the difference between Ion Exchange Chromatography and Size Exclusion Chromatography
Evaluate the mode of action of Epigallocatechin gallate on Lewy body formation
Describe the benefits of using Large Unilamellar vesicles as a cell membrane in vitro model</t>
  </si>
  <si>
    <t xml:space="preserve">Use liquid chromatography to purify a protein involved in Parkinson’s disease to learn more about its causes and evaluate the efficacy of a promising molecule for its treatment using confocal microscopy.
</t>
  </si>
  <si>
    <t xml:space="preserve">Your grandmother has recently been diagnosed with Parkinson’s disease. In this simulation, you will investigate the effects of a molecule found in green tea on the degeneration of neurons using an in vitro model.
Purifying alpha synuclein monomers
You will extract and purify monomers of alpha synuclein (aSN), a protein that is involved in the formation of Lewy bodies in the brain during the development of Parkinson’s disease. In order to do so, you will first use sonication to extract the protein, which is produced by an E. coli bacterial strain, and which was previously genetically modified by your lab assistant. Then, you will purify the extracted aSN monomers by ion exchange chromatography, while you learn about the different parts of the liquid chromatography equipment to get familiar with them before operating the equipment in the real lab.
Inducing and purifying aSN oligomers
After purifying the aSN monomers, you will induce the formation of aSN oligomers using a simple heating procedure. Once the oligomers are formed, you will further purify the sample to separate aSN monomers from oligomers using size exclusion chromatography. You don’t need to worry about long time-consuming preparation steps, because time will be fast-forwarded so you can focus on evaluating the results!
Evaluation of EGCG therapeutic potential
At the end of the Parkinson’s disease simulation, you will use the purified aSN monomers and oligomers to test the potential effects of Epigallocatechin gallate (EGCG), a polyphenol from green tea. You will use Large Unilamellar Vesicles containing a fluorescent dye as the membrane model to reproduce the in vivo conditions, and evaluate your results using confocal microscopy. Finally, you will take a trip inside the sample to find out the molecular mechanism that causes neurons to degenerate.
Will you be able to elucidate the mechanism of action of EGCG to provide your grandmother with insights about the benefits of green tea?
</t>
  </si>
  <si>
    <t>a0K2X00000vWxBhUAK</t>
  </si>
  <si>
    <t>Organic Chemistry Reactivity Rules: Time to react!</t>
  </si>
  <si>
    <t>OCR</t>
  </si>
  <si>
    <t>https://api2.labster.com/simulation/a0K2X00000vWxBhUAK/play</t>
  </si>
  <si>
    <t>HS-PS1-2
HS-PS1-4</t>
  </si>
  <si>
    <t>Explain the concept of electronegativity and how the distribution of electrons across a molecule determines its reactivity
Describe what a nucleophile, electrophile and leaving group are, and identify them
Describe an organic chemical reaction and its mechanism using the correct terminology and notations (lonepairs, curly arrows, reactants, reagents, products, catalysts, intermediates, transition states)
Draw reaction mechanisms using the correct notations
Explain the differences between the three fundamental types of reactions: Addition, elimination and substitution
Describe the typical reactivity of the main functional groups</t>
  </si>
  <si>
    <t xml:space="preserve">Determine the outcome of a chemical reaction between two organic compounds by mastering the fundamental rules of reactions in organic chemistry.
</t>
  </si>
  <si>
    <t xml:space="preserve">Did you know that as you’re reading this text, you are interacting with at least one organic compound? Organic compounds are everywhere, and the field dedicated to exploring their structure, properties and reactions is called organic chemistry. In this simulation, you will explore the core principles of organic chemistry reactions to understand the fundamentals of reactivity.
How do electrons determine the reactivity of molecules?
Bonds: organic compounds are made of the number of atoms connected by chemical bonds. In your first mission, you will find the connection between electronegativity, polarity, and electron density. You will see how these concepts determine the reactivity of the molecule via the electron distribution in the molecule.
How do organic compounds react?
You may already know by heart the outcome of some chemical reactions, but here we dive into the what’s and why’s. You will be shown an uneven distribution of electrons within an organic compound, and tasked to identify the relevant nucleophile, electrophile, and leaving group. Once you’ve got the hang of this, you’ll be well on your way to determine the outcome of many chemistry reactions! This simulation will help you to understand the fundamentals of how organic compounds react, instead of simply showing you what the reaction produces.
How many types of reactions are there in organic chemistry?
At this point, you have already learned the step-by-step mechanism of an organic chemistry reaction and determined the product of the reaction. You will engage with an assortment of chemical reactions, namely additions, substitutions, and eliminations. The next time you encounter organic compounds, will you able to predict how they will react?
</t>
  </si>
  <si>
    <t xml:space="preserve">Dr. One wants to take the students on a reactive journey. On this journey, they will learn all the basics they need to understand and predict how organic molecules will react with one another. This learning includes the identification of leaving groups, electrophilic and nucleophilic regions.  (internal notes
)
Placement of molecular bonds on a scale from non-polar to ionic based on electronegativity (5:00 in screencast) (Learn by doing, game-like)
Placement of molecular bonds on a scale from non-polar to ionic based on electronegativity (5:00 in screencast) (Learn by doing, game-like)
Identify leaving group, nucleophilic and electrophilic regions on organic molecules. Watch how this will cause a reaction to happen. (19:36, 21:44) (Learn by doing, visualization, animation)
Identify leaving group, nucleophilic and electrophilic regions on organic molecules. Watch how this will cause a reaction to happen. (19:36, 21:44) (Learn by doing, visualization, animation)
Categorize reaction types by filling out blanks. (23:48 in screencast) (Learn by doing, game-like)
Categorize reaction types by filling out blanks. (23:48 in screencast) (Learn by doing, game-like)
</t>
  </si>
  <si>
    <t>Unit 4. Chemical Reactions</t>
  </si>
  <si>
    <t>a0K2X000010zvA1UAI</t>
  </si>
  <si>
    <t>Nuclear Chemistry: Understand the processes happening in the atomic nucleus</t>
  </si>
  <si>
    <t>NUC</t>
  </si>
  <si>
    <t>HS-PS1-8</t>
  </si>
  <si>
    <t>Identify common subatomic particles and energies involved in nuclear reactions
Recognize common modes of radioactive decay (alpha, beta, gamma) by observing differences in nucleic mass defect and/or binding energies
Explain the concept of half-life
Describe common applications of radioactive isotopes (nuclear medicine, radiometric/carbon dating, nuclear energy)
Describe how carbon dating works</t>
  </si>
  <si>
    <t xml:space="preserve">Have you ever wondered what’s inside the atomic nucleus? Why are some elements radioactive? What is radioactivity? The Nuclear Chemistry simulation will teach you the answer to these questions, and many more!
</t>
  </si>
  <si>
    <t xml:space="preserve">Radioactivity is something that only happens in nuclear power plants, right?
In this simulation, you will learn that radioactivity is much more common than you might think—in fact, you are surrounded by it! You will also learn what types of atoms are radioactive and why, and how alpha, beta, and gamma decay generate different types of radioactivity.
Understand the processes happening in the atomic nucleus
Use our holofloor to visualize how protons and neutrons interact in the nucleus. Experiment with stability of isotopes and figure out why some combinations are more stable than others.
Analyze properties of alpha, beta, and gamma decay
Radioactive isotopes can undergo alpha, beta, and gamma decay. Each of these processes generates radioactivity; luckily, we are in a virtual simulation and we can experiment with these isotopes without being exposed to harmful levels of radiation. Additionally, you will be able to see how protons and neutrons interact in the nucleus thanks to our advanced holofloor.
Learn and put it into practice!
First, you will learn how particles interact in the nucleus and how alpha, beta, and gamma decay occurs. Then you’ll put those concepts into practice. With the help of only a scale, you will need to figure out the type of decay that three different isotopes are undergoing.
</t>
  </si>
  <si>
    <t>Chemistry C.3 Nuclear fusion and fission</t>
  </si>
  <si>
    <t>Unit 5: Kinetics</t>
  </si>
  <si>
    <t>a0Kw000000OwsLEEAZ</t>
  </si>
  <si>
    <t>Nuclear Magnetic Resonance (NMR): Analyze small protein samples</t>
  </si>
  <si>
    <t>NMR</t>
  </si>
  <si>
    <t>https://api2.labster.com/simulation/a0Kw000000OwsLEEAZ/play</t>
  </si>
  <si>
    <t>Understand how to perform NMR experiments
Understand how to analyze NMR spectra</t>
  </si>
  <si>
    <t xml:space="preserve">In the Nuclear Magnetic Resonance simulation, you will learn how to use NMR to characterize binding events between proteins and ligands. You will perform NMR experiments and interpret the resulting spectra. Will you be able to help improve an existing antibiotic in order to reduce its side effects?
</t>
  </si>
  <si>
    <t xml:space="preserve">Get your spin magnetized with NMR! In this simulation, you will learn about the nuclear magnetic resonance (NMR) technique from both a theoretical and practical perspective. In order to succeed, you will need to work with the instrument hands-on, preparing and running samples on it, and analyze the data.
Exploring protein-antibiotic interactions
Your mission will be to investigate how a common antibiotic may sometimes cause unwelcome side effects. After getting into the basics of how NMR works, you will explore how this antibiotic interacts with a protein in the kidneys, leading to kidney malfunction. Identifying the key interaction points is crucial in the work to improve the drug!
Running your own NMR samples 
There are several distinct ways to use NMR. In your work in the virtual lab, we will discuss both isotope options, as well as 1-, 2- or 3-dimensional NMR. You will help decide which one is most suitable for the research questions we’re trying to answer. After preparing, loading and running your samples on the NMR instrument, you will need to interpret the produced spectra. Don’t worry, your lab assistant will be there to guide you!
Side effects that keep people sick
To complete your mission, you will have to understand the aspects of NMR well enough to identify the key interaction points between the kidney protein and the antibiotic so we can look into modifying these sites and avoid the interaction. 
Will you be able to help reduce the side effects of this drug?
</t>
  </si>
  <si>
    <t>a0Kw000000Iko9pEAB</t>
  </si>
  <si>
    <t>Next Generation Sequencing</t>
  </si>
  <si>
    <t>NGS</t>
  </si>
  <si>
    <t>https://api2.labster.com/simulation/a0Kw000000Iko9pEAB/play</t>
  </si>
  <si>
    <t>Next generation sequencing</t>
  </si>
  <si>
    <t>Understand the different steps in sample preparation, cluster generation, sequencing and data processing
Understand the characteristics of ancient DNA
Understand that Single Nucleotide Polymorphism (SNP) can be tightly correlated to a specific physical feature</t>
  </si>
  <si>
    <t xml:space="preserve">Learn the different steps of sample preparation, sequencing, data collection and data analysis using next generation sequencing technique.
</t>
  </si>
  <si>
    <t xml:space="preserve">In the Next Generation Sequencing (NGS) simulation, you will obtain a hair sample from an ancient man from Greenland, extract his DNA, and perform DNA sequencing. The NGS technology uses second-generation DNA sequencing, where users perform sequencing of many samples at the same time, also known as massive parallel sequencing. NGS has many real –life application scenarios. In this lab specifically, you will use SNP (Single Nucleotide Polymorphism) analysis to correlate the result with physical appearance such as hair baldness, earwax thickness and many others. By looking at the SNP result, you will learn how to reconstruct the physical appearance of the ancient man from Greenland.
Understanding the steps from DNA to sequencing results
In the first part of the Next Generation Sequencing lab, you will be taken through the multiple steps of sample preparation and sequencing process and learn about sample fragmentation, end repairing, A-tailing and PCR amplification of the sample. You will then proceed to the sequencing machine where you will perform cluster generation followed by the sequencing reaction and data collection. These processes will be illustrated with 3D animations as well as quiz questions.
Data processing and analysis
After completing the sequencing procedure, you will acquire the data outcome as a FASTQ file. Your next task is then to process them. Using the command lines, you will learn to perform quality control for the data, eliminate degraded and contaminated DNA, trim out the adapters, map the sequence to a reference genome, and perform the SNP analysis. By comparing the SNP profiles, you can study the pattern of migration. You can also look at specific SNPs, for example, the ones that result in amino acid change and give rise to a specific physical characteristic such as hair baldness or ear wax thickness. Please note that data processing and analysis presented in this lab can be adapted to other data analysis tools suitable for different courses.
Learn all about sequencing
The Next Generation Sequencing lab highlights sample preparation and sequencing procedures—which are constant regardless of different downstream applications. By going through the virtual lab, you will get a thorough understanding of the multistage processes of obtaining a DNA sample, and be able to use this to find the sequencing result and perform an analysis.
</t>
  </si>
  <si>
    <t>a0Kw000000bFaRBEA0</t>
  </si>
  <si>
    <t>Cancer Sample Preparation for Mass Spectrometry</t>
  </si>
  <si>
    <t>MS1</t>
  </si>
  <si>
    <t>https://api2.labster.com/simulation/a0Kw000000bFaRBEA0/play</t>
  </si>
  <si>
    <t>Phosphopeptide enrichment
Protein purification
Enzymatic digestion
Cell lysis</t>
  </si>
  <si>
    <t>Understand the correlation between phosphorylation and cancer
Prepare a biopsy sample for mass spectrometry</t>
  </si>
  <si>
    <t xml:space="preserve">Assist in a biopsy on a cancer patient and learn how to prepare the sample for mass spectrometry by extracting its phosphopeptides. Will you be able to identify the cancer stage of the patient by looking at the phosphorylation pattern?
</t>
  </si>
  <si>
    <t xml:space="preserve">Take action! Cancer is on the rise, and you can help with diagnosis and treatment. In the Cancer Sample Preparation for Mass Spectrometry simulation, you will assist doctors by determining the cancer stage of a patient diagnosed with colon cancer. This is the first simulation in the Mass Spectrometry series.
Prepare the biopsy
Join doctors in the hospital and enter an immersive animation to see how we perform a colorectal cancer biopsy. Once back in the lab, your mission will be to extract proteins from the tumor sample. Find the equipment you need in the lab to lyse the tumor cells, denature the proteins, and perform phosphopeptide enrichment, in order to prepare the sample for mass spectrometry.
Explore the molecules
Use the holotable to observe detailed 3D models of the molecules involved in phosphorylation. Get an understanding of the molecular principles underlying the biopsy preparation and how the phosphorylation pattern relates to cancer.
Interpret your findings
In the end, you will analyze the results from the mass spectrometry on a graph. Will you be able to help guide the patient’s treatment by identifying their cancer stage?
</t>
  </si>
  <si>
    <t>a0K2X00000vWwFbUAK</t>
  </si>
  <si>
    <t>Cell Division (Principles): Mitosis and Meiosis</t>
  </si>
  <si>
    <t>MIH</t>
  </si>
  <si>
    <t>https://api2.labster.com/simulation/a0K2X00000vWwFbUAK/play</t>
  </si>
  <si>
    <t>HS-LS1-4
HS-LS3-1
HS-LS3-3
HS-LS3-2</t>
  </si>
  <si>
    <t>Describe the role cell division plays in growth, tissue repair, and reproduction
Describe the principle of cell cycle regulation and control
Distinguish between the different stages of the cell cycle: interphase (G1, S and G2) and mitosis/meiosis
Model how meiosis ensures genetic diversity
Summarize the main events that occur in the sequential phases of mitosis and meiosis
Categorize outcomes of meiosis and mitosis</t>
  </si>
  <si>
    <t xml:space="preserve">How can a toxic compound be used in medicine? Paclitaxel, isolated from yew trees, can kill large animals like horses but is also used in cancer therapy. In this simulation, you will learn how cells divide and how they are affected by poisonous paclitaxel.
Test the effect of paclitaxel
Start by testing the effect of paclitaxel on cultured cells. Will the compound kill the cells, or perhaps inhibit or accelerate cell division? Continue by learning more about the phases a cell must go through in order to divide and how this complex process is regulated.
How is DNA packaged?
Next, you have the option to dive into a blood sample to find out how DNA is packaged in an immersive animation of the cell. Find the DNA inside the nucleus and then zoom in from the chromosomes all the way to individual nucleotides. If you are already familiar with this, you can continue with the next experiment straight away!
Use microscopy to study mitosis
Prepare a sample of onion cells to observe the phases of mitosis under the microscope. Find out how each phase contributes to successful duplication of the cell.
Compare mitosis and meiosis 
Now that you are an expert in mitosis, it is time to find out how this way of cell division differs from meiosis. Compare the phases and outcomes of mitosis and meiosis through an interactive learning activity and discover how meiosis contributes to genetic diversity in the population. Finally, think back to the effect of paclitaxel: does this compound affect only cells dividing through mitosis or would it affect meiosis as well?
</t>
  </si>
  <si>
    <t>3.3 Meiosis
1.6 Cell division
10.1 Meiosis</t>
  </si>
  <si>
    <t>a0Kw000000Iko9kEAB</t>
  </si>
  <si>
    <t>MEG</t>
  </si>
  <si>
    <t>https://api2.labster.com/simulation/a0Kw000000Iko9kEAB/play</t>
  </si>
  <si>
    <t>English (United States)
French
German
Spanish
Italian</t>
  </si>
  <si>
    <t>HS-LS3-1
HS-LS3-2
HS-LS3-3</t>
  </si>
  <si>
    <t>Gel electrophoresis
PCR
DNA sequencing
Protein Truncation Test</t>
  </si>
  <si>
    <t>Understand Mendelian genetics and know how to perform linkage analysis
Perform PCR and gel electrophoresis
Understand the basics of breast cancer, tumor suppressor, oncogenes and BRCA1/2
Understand the genetic event underlying breast cancer</t>
  </si>
  <si>
    <t xml:space="preserve">Learn about Mendelian genetics, linkage analysis, hereditary cancer, tumor suppressor, oncogenes and how to identify a defective gene in a family.
</t>
  </si>
  <si>
    <t xml:space="preserve">In the Medical Genetics Lab, you will learn about Mendelian genetics, linkage analysis and finding the defected gene in a family with hereditary breast cancer. You will also learn about the genetics and development of cancer.
Constructing pedigree
Your first task is to construct a family pedigree based on gathered information. You will learn how to read a family pedigree and determine whether or not traits are hereditary. You will take a visit to the hospital and talk with a doctor to learn about hereditary cancer, Knudson two hits hypothesis and identifying genes that cause hereditary breast cancer a family.
Linkage analysis
Next, you will arrive in the laboratory to begin experimentation. You will begin with a linkage analysis using four microsatellite markers that are located close to BRCA1 and BRCA2 genes. Then you will perform PCR to amplify the microsatellite markers and analyze their genotype using gel electrophoresis. Analyzing the genotypes from family members, you will be able to determine which gene is linked to hereditary breast cancer in this family.
Protein Truncation Test
In breast cancer, mutations in BRCA1 or BRCA2 genes often result in protein truncation. In order to check if there is a mutation in BRCA1 or BRCA2 genes, you will perform Protein Truncation Test (PTT) comparing protein synthesized from the patient’s DNA versus a healthy control. By comparing the resulting protein in polyacrylamide gel electrophoresis, you will be able to conclude whether the patient has a truncated protein.
DNA sequencing
After receiving the PTT result, you need to perform a validation experiment to find out the exact mutation causing the truncated protein. You will perform DNA sequencing of this specific gene and analyze the results. To complete the analysis, you will perform a validation experiment to find the exact mutation causing truncated proteins. You will perform DNA sequencing of this specific gene and analyze the results.
Cancer: from DNA to metastasis
The Medical Genetic lab ends with a series of quiz questions assessing uour comprehension in topics regarding cancer, oncogenes, tumor suppressor and DNA repairs. Supplementary 3D animation is provided to visually portray cancer progression—defective cells divide uncontrollably and form lumps giving rise to breast cancer and subsequently metastasize to distant tissue in the body.
</t>
  </si>
  <si>
    <t>a0Kw000000JFZrdEAH</t>
  </si>
  <si>
    <t>Monogenic Disorders</t>
  </si>
  <si>
    <t>MDL</t>
  </si>
  <si>
    <t>https://api2.labster.com/simulation/a0Kw000000JFZrdEAH/play</t>
  </si>
  <si>
    <t>Gel electrophoresis
Capillary electrophoresis
PCR</t>
  </si>
  <si>
    <t>Understand the basic concepts of inheritance
Build and interpret a pedigree based on family data
Understand genetic risk assessment and counselling
Understand the work of a genetics laboratory</t>
  </si>
  <si>
    <t xml:space="preserve">Learn about the monogenic disorder Cystic Fibrosis and its inheritance from one generation to the next.
</t>
  </si>
  <si>
    <t xml:space="preserve">Cystic Fibrosis is a type of monogenic disorder caused by a mutation in both copies of the CFTR gene (Cystic Fibrosis Transmembrane Conductance Regulator).
Learn about Cystic Fibrosis
The CTFR gene encodes a protein that regulates the movement of chloride ions in and out of cells that produce mucus, sweat, saliva, or tears. Cystic Fibrosis is also called mucoviscidosis because patients suffer from thickened mucus. People with one mutated copy of the CFTR gene are called carriers and do not experience any symptoms.
Patients with Cystic Fibrosis
Cystic Fibrosis is the most common autosomal recessive disease among Europeans. It is characterized by allele heterogeneity, meaning that CFTR genes from many different patients with Cystic Fibrosis show different type of mutations. The most common alteration in the CFTR gene is a deletion of three nucleotides, resulting in a loss of the amino acid phenylalanine (F) at position 508 in the protein, and is hence called ΔF508.
Apply your knowledge
In the Monogenic Disorders lab, you will learn about the monogenic disorder Cystic Fibrosis and its inheritance from one generation to the next. You will also learn how a single gene mutation leads to a dysfunctional, disease-causing protein.
Will you be able to consult a young couple on the potential risk for their future children to develop Cystic Fibrosis?
</t>
  </si>
  <si>
    <t>a0Kw000000R26S0EAJ</t>
  </si>
  <si>
    <t>Multiplex Automated Genomic Engineering (MAGE): Conjuring massive mutations</t>
  </si>
  <si>
    <t>MAG</t>
  </si>
  <si>
    <t>https://api2.labster.com/simulation/a0Kw000000R26S0EAJ/play</t>
  </si>
  <si>
    <t>MAGE (Multiplex automated genome engineering)
Electroporation</t>
  </si>
  <si>
    <t>Explain the concept and molecular mechanism of MAGE technique
Describe the oligo design  requirements for MAGE
Understand which proteins, enzymes, and plasmids are involved in MAGE
Perform MAGE cycles</t>
  </si>
  <si>
    <t xml:space="preserve">Gain insight into how scientists can improve children’s eyesight by genetically modifying E.coli to produce more beta-carotene.
</t>
  </si>
  <si>
    <t xml:space="preserve">Imagine you were tasked to edit over 100 genes to find which gene or combinations of genes will work best to produce the pigment beta-carotene. You could try editing them one at a time, but that would take way too much time in the lab! That’s where Multiplex Automated Genome Engineering, or MAGE, comes in. Instead of painstakingly editing one gene at a time, the MAGE technique helps scientists to perform many genetic mutations at many target sites at a time.
Introduction to MAGE and designing oligos
In this simulation, you will be introduced to the principles of MAGE as a recombinant engineering tool for the large-scale programming and accelerated evolution of cells. After understanding the basics of the technique, you will be tasked to perform MAGE to enhance the beta-carotene metabolic pathway in Escherichia coli.  To start your MAGE journey, you will first learn how to design the optimum oligos to be used for editing E.Coli genomes.
Performing MAGE
Once you’ve understood the principles behind MAGE, you will have the freedom to experiment with changing up different parameters of the technique as you progress. For example, you can try tweaking cell density, growth media electroporation process, and MAGE cycle. Your decision will determine the outcome of your experiment!
Plating and screening 
To help you visualize what happens at the molecular level in this technique, this simulation shows you the step-by-step progression of the MAGE cycle in immersive 3D animations. The choices that you made when designing your experiment at the beginning of the simulation will be portrayed in the screening steps of the resulting E.Coli clones. 
Will you be able to enhance the beta-carotene production in E. coli to help improve the eyesight of young children?
</t>
  </si>
  <si>
    <t>a0K2X00000x0zgOUAQ</t>
  </si>
  <si>
    <t>Trophic Levels: Grazer vs. predator</t>
  </si>
  <si>
    <t>LVL</t>
  </si>
  <si>
    <t>https://api2.labster.com/simulation/a0K2X00000x0zgOUAQ/play</t>
  </si>
  <si>
    <t>HS-LS2-3
Partial alignment: HS-LS2-6</t>
  </si>
  <si>
    <t>Trophic pyramid
Food chain
Food web</t>
  </si>
  <si>
    <t>Define trophic levels, food webs and ecological pyramids
Elaborate on definitions of autotrophic, heterotrophic and mixotrophic organisms.
Differentiate between food chains and food webs
Explain how energy flows between different trophic levels and how this impacts ecosystem structure
Predict how pests and parasites fit into trophic systems</t>
  </si>
  <si>
    <t xml:space="preserve">Experience first-hand how energy is transferred within a food web and between trophic levels. In this simulation, you will guide a zebra towards a feeding ground by interacting with organisms in different trophic levels.
</t>
  </si>
  <si>
    <t xml:space="preserve">From photosynthesis to apex predator, get ready for a Labster simulation outside of the lab. In this short simulation, you will explore the different trophic levels and understand a zebra’s place in the food web.
Explore trophic levels in an ecosystem
Receive immediate feedback upon exploring food webs and trophic levels. The mission is simple: help a zebra to its feeding ground. To do this, you will have to hide a crocodile in a food chain, place an elephant in a food trophic pyramid and help a lion to place parasites in a food web.
An academic safari
By the end of this simulation, you will explain the different chains within a food web and relate them to a trophic pyramid. Understand concepts such as heterotroph, mixotroph, and autotroph and use them to explain certain behaviors in the different levels of a trophic pyramid.
Will you be able to safely guide the zebra across a crocodile-filled river?
</t>
  </si>
  <si>
    <t>4.3 Carbon cycling
4.2 Energy flow
Biology C.2 Communities and ecosystems
4.1 Species, communities and ecosystems</t>
  </si>
  <si>
    <t>Unit 8: Ecology</t>
  </si>
  <si>
    <t>a0K2X00000n0dLmUAI</t>
  </si>
  <si>
    <t>Landscape Ecology: Determine persistence in a spatially heterogeneous landscape</t>
  </si>
  <si>
    <t>LEC</t>
  </si>
  <si>
    <t>https://api2.labster.com/simulation/a0K2X00000n0dLmUAI/play</t>
  </si>
  <si>
    <t>High level content, could support HS-LS2-6</t>
  </si>
  <si>
    <t>Species's persistence prediction
Determine colonization probability
Species-Area Relationship
Analyze data on species' dispersal capabilities and specialization</t>
  </si>
  <si>
    <t>Determine factors that affect the location of patches within a landscape
Calculate species extinction rates using species-area and endemics-area theory
Estimate species extinction and colonization rates in a heterogeneous landscape
Explain the impact of landscape spatial heterogeneity on population dynamics</t>
  </si>
  <si>
    <t xml:space="preserve">Discover unique areas within an exoplanet’s landscape and apply your findings to predict the persistence of an alien species by estimating colonization and extinction rates.
</t>
  </si>
  <si>
    <t xml:space="preserve">Not all areas within a landscape are created equal. When studying ecological processes in an environment, it is important to remember that landscapes may be spatially heterogeneous. In this simulation, you will learn to identify and compare unique patch types on the exoplanet Astakos IV and use their specific characteristics to help understand local population dynamics. Bioengineers need your help applying the principles of landscape ecology to determine if the persistence of the Propella species on Astakos IV is in danger.
Predict the Propella’s persistence on Astakos IV
A bioengineer has become fascinated by an interesting species on Astakos IV called the Propella that can generate energy from wind power. However, her team will not arrive from Earth for many years and she wants to know if the Propella species will continue to survive after the recent volcano eruptions and human growth on the planet. Using the principles of landscape ecology, you will examine colonization and extinction rates to predict the chance of the Propella’s persistence.
Determine colonization and extinction rates
You will use a variety of methods to estimate both colonization and extinction rates, which you will use together to predict the Propella’s population dynamics. Firstly, you will be tasked with interpreting GIS maps to identify a variety of different landscape patch types and paint a full mosaic of the landscape. Using impressive data visualization techniques layered on an interactive 3D map, you will analyze dispersal capabilities and specialization levels of a variety of species to help predict the colonization probability of the Propella. Extinction rates will be analyzed using both Species-Area Relationship and Endemics-Area Relationship. Finally, you will combine all of the accumulated data and landscape ecology principles to summarize the impact of recent volcano eruptions and human growth on the Propella’s population.
Suggest actions to improve persistence
You will complete your application of landscape ecology principles to predict the Propella’s chance of persistence and even suggest specific measures that could help increase the likelihood of its survival. Will you be able to help the bioengineers ensure that the Propella will be around long enough to learn its secrets?
</t>
  </si>
  <si>
    <t>a0K2X00000zehqjUAA</t>
  </si>
  <si>
    <t>Reaction Kinetics: The essentials</t>
  </si>
  <si>
    <t>KIN</t>
  </si>
  <si>
    <t>https://api2.labster.com/simulation/a0K2X00000zehqjUAA/play</t>
  </si>
  <si>
    <t>Stability and Change</t>
  </si>
  <si>
    <t>Describe the main factors that influence the rate of a chemical reaction (reactant concentration, temperature, solvent, use of catalyst), and give examples of their effect
Assess the reaction rate of simple reactions by examining concentration data over time
Explain the relation between temperature and reaction rate
Describe the relation between collision theory and activation energy
Interpret reaction energy diagrams, and relate them to energy changes during the course of a reaction
Suggest a suitable experimental setup for measuring the kinetics of a reaction</t>
  </si>
  <si>
    <t xml:space="preserve">Join Dr. One at our extraterrestrial lab facility, where we’re struggling to get enough propulsion for our transporter. We need you to figure out the kinetics and optimize the chemical reaction of the fuel we’re using, so we can continue with our experiments.
</t>
  </si>
  <si>
    <t xml:space="preserve">Power up the Squadrone! In this simulation, you will learn the main factors that influence the rate of a chemical reaction, and use this knowledge to improve the output of our drone transporter’s propulsion fuel. The changed reaction affects how much heat is generated though, which can potentially overheat the drone. You will need to dive into potential energy diagrams to figure out what’s going on there.
Kinetics at the core 
After meeting Dr. One at the lab facility and getting up to speed on the chemical reaction we’re working with, you will explore hands-on and optimize the key factors involved in the kinetics of the reaction. We will use the power of the rate law and the Arrhenius’ equation to really pinpoint what’s going on, and also link this to effects at the molecular level. You will be able to dynamically adjust the parameters of the reaction as you see fit, and see the direct effect on the rate of the reaction and concentration of the reactants and products.
Potential for more energy
After having optimized the reaction, you will move on to explore how the levels of potential energy for the reactants and products of the reaction affect the heat being produced, and how the use of a catalyst can affect the activation energy.
Don’t dip in the acid
Ultimately, you will need all your gathered knowledge on kinetics to get the reaction to produce enough propulsion for the transport drone. Will you be able to enable it to get across the acid lake?
</t>
  </si>
  <si>
    <t>Chemistry 16</t>
  </si>
  <si>
    <t>Chemistry Unit 5</t>
  </si>
  <si>
    <t>Early Stage Bachelors Level
EHEA First Cycle
FHEQ 6
Intermediate Stage Bachelors Level
US College Year 1
US College Year 2</t>
  </si>
  <si>
    <t>a0K2X00000vWxSlUAK</t>
  </si>
  <si>
    <t>Nucleophilic Addition: Explore the Grignard Reaction</t>
  </si>
  <si>
    <t>KET</t>
  </si>
  <si>
    <t>https://api2.labster.com/simulation/a0K2X00000vWxSlUAK/play</t>
  </si>
  <si>
    <t>Reflux technique
Synthesis and use of Grignard reagent in situ
Air- and moisture-sensitive synthesis</t>
  </si>
  <si>
    <t>Demonstrate a detailed understanding of the nucleophilic addition reaction
Provide an overview and examples of nucleophilic addition to a carbonyl group
Draw correctly the mechanism for common nucleophilic addition reactions
Demonstrate a detailed understanding of the Grignard reaction
Describe the role of each reagent in the Grignard reaction
Explain the sensitivity of Grignard reaction conditions and be able to make procedural adjustments
Gain understanding and practical experience of essential laboratory techniques:
Reflux reactions
Air-sensitive synthesis
Generation and use of reagents in situ</t>
  </si>
  <si>
    <t xml:space="preserve">Assist scientists on a drug discovery project and learn how to use nucleophilic addition to transform organic molecules into life-saving drugs! Will you be able to synthesize a new pharmaceutical product using the Grignard reaction?
</t>
  </si>
  <si>
    <t xml:space="preserve">Addition reactions are one of the greatest tools in a medicinal chemists’ toolkit! In this simulation, you will learn the principles of the nucleophilic addition reaction and put your knowledge into practice by performing a Grignard reaction to synthesize a potential cancer drug candidate. You’ll have the chance to make a ground-breaking drug discovery!
Last-ditch drug discovery
Join scientists in a drug discovery team as they investigate one last hunch before the failing project is shut down. Students will get hands-on in exploring the nucleophilic addition reaction in a pharmaceutical research lab, and apply their knowledge to help synthesize a molecule with therapeutic potential. To transform the existing ketone into the target alcohol, students will develop their practical and theoretical knowledge of the Grignard reaction.
Nucleophilic addition - experiment and explore!
Interact with nucleophilic addition reaction components at a molecular level with our 3D reaction visualizer. Identify important reaction components before triggering the electron flow to carry out the reaction before your eyes! Get up close with the mechanistic principles of nucleophilic addition and better acquainted with molecular-level reactivity considerations.
You’ll also have the chance to give a Grignard reaction a go in a safe and instructive lab environment. Synthesize your moisture-sensitive Grignard reagent in situ before using it directly in a Grignard reaction to get one step closer to your target molecule. Prompts from Dr. One will remind you of the tricky practical aspects to remember for a successful Grignard reaction!
Pharmaceutical scale-up
To complete the simulation you’ll investigate factors you’ll need to consider in scaling up the Grignard reaction to an industrial scale if the drug is shown to be a ‘hit’. Will you be able to design a synthesis for an effective treatment for breast cancer?
</t>
  </si>
  <si>
    <t xml:space="preserve">The sim follows a storyline where the student assists in the discovery of a ground-breaking drug. From an understanding of the role of the different functional groups, to playing in 3D with virtual molecules to assess nucleophilic addition, the student has a complete overview of the topic. In the 3D environment, the user gets exposed to the concepts of electronegativity, electron movement and polarity maps, building the correct mechanism for the reaction in different molecules.
In the second part of the simulation, once the theory has been covered, the student has to build the apparatus for the synthesis of Grignard reagents, encountering multiple fail states  to the purpose of an active learning. A brief consideration of the necessities of industry-sized implants and synthesis is also covered.  (internal notes
)
Analysis of functional groups (5:30 in screencast) (Visualization)
Analysis of functional groups (5:30 in screencast) (Visualization)
3D visualization of molecular reactivity (6:45 in screencast) (Learn by doing)
3D visualization of molecular reactivity (6:45 in screencast) (Learn by doing)
Practical building of laboratory equipment for Grignard reactants synthesis (22:20 in screencast) (Experiment)
Practical building of laboratory equipment for Grignard reactants synthesis (22:20 in screencast) (Experiment)
Teleportation in the future to prove the results of the research (31:20) (Game-like)
Teleportation in the future to prove the results of the research (31:20:00) (Game-like)
</t>
  </si>
  <si>
    <t>a0K2X00000u6rIJUAY</t>
  </si>
  <si>
    <t>Identification of Unknown Bacteria: Help save baby Kuppelfangs from an epidemic!</t>
  </si>
  <si>
    <t>IDB</t>
  </si>
  <si>
    <t>https://api2.labster.com/simulation/a0K2X00000u6rIJUAY/play</t>
  </si>
  <si>
    <t>Biochemical tests (catalase test and oxidase test strip)
Differential culture media
Bacterial staining interpretation
Aseptic Technique</t>
  </si>
  <si>
    <t>Explain the importance of correctly identifying pathogenic bacteria
Outline the principle of the main bacterial identification methods
Describe the use and limitations of bacterial morphology and differential staining techniques
Critically combine biochemical tests such as the catalase, oxidase and indole test with differential staining and differential media to identify pathogenic bacteria</t>
  </si>
  <si>
    <t xml:space="preserve">Visit the exoplanet Astakos IV, where the Kuppelfang population is suffering from a bacterial infection. Use staining, differential media and biochemical tests to identify the bacteria so that the Kuppelfangs can be treated before they go extinct.
</t>
  </si>
  <si>
    <t xml:space="preserve">Extraterrestrial life has been found! Sadly, some of the creatures have been infected with a bacterium from Earth. In this simulation, you will learn to identify unknown bacteria. Just like in clinical settings on Earth, it is important to identify unknown pathogens for diagnosis and treatment. Explore clinical microbiology techniques, such as differential staining, differential and selective media and biochemical assays, then use your new skills to identify the bacteria.
Explore clinical microbiology techniques
Explore the lab and get to know different clinical microbiology techniques and how they work by playing a mini-game. You will have to figure out how to use all the tools and reagents and guess which results you can expect from each assay. Depending on your level of knowledge, you can spend more or less time exploring the lab and engaging with the explanatory conversations.
Critically combine tests to identify unknown bacteria
Interpret a Gram stain, then culture your sample using differential media and perform the catalase, oxidase and indole biochemical tests on it. Critically combine the results of these assays in order to identify the unknown bacterium. Because different bacteria can cause similar symptoms, the lab assistant Dr. One has taken a sample of another infected Kuppelfang. Help out by interpreting Dr. One’s results or re-do the simulation and choose another Kuppelfang to take a sample of if you want more practice with any of the techniques.
Administer treatment and verify your results
Communicate your results and see whether your Kuppelfang patients improve after treatment. Meanwhile, your colleague on Earth has analyzed your sample with a nucleic acid-hybridization assay. Do their results match your own?
</t>
  </si>
  <si>
    <t>a0K2X00000n0p1EUAQ</t>
  </si>
  <si>
    <t>Ionic and Covalent Bonds</t>
  </si>
  <si>
    <t>ICV</t>
  </si>
  <si>
    <t>https://api2.labster.com/simulation/a0K2X00000n0p1EUAQ/play</t>
  </si>
  <si>
    <t>French (Canada)
English (United States)
German
Spanish
French
Italian</t>
  </si>
  <si>
    <t>HS-PS1-1
HS-PS2-6</t>
  </si>
  <si>
    <t>Conductivity measurement
Melting point determination</t>
  </si>
  <si>
    <t>Describe the formation of ionic and covalent bonds
Identify anions and cations
Apply the octet rule
Describe ionic lattice structure
Draw Lewis dot structures
Explain the formation of single, double, and triple bonds
Distinguish between ionic compounds and covalent compounds</t>
  </si>
  <si>
    <t xml:space="preserve">Join your friend on a quest to analyze two mysterious substances he got from an alchemist to cure his migraine and learn how atoms connect.
</t>
  </si>
  <si>
    <t xml:space="preserve">Have you ever wondered how atoms are held together? In this simulation, you will learn the basics about atomic bonding in ionic and covalent compounds and how to distinguish those compounds experimentally. With all this knowledge, you will help your friend analyze two mysterious substances he received from an alchemist. By testing their specific physical properties, you’ll be able to identify the nature of the substances. Finally, you will learn how ions form lattice structures and how this influences the property of a compound.
Test solubility and conductivity
Atoms can interact in many different ways, giving compound-specific properties. In the first mission of the Ionic and Covalent Bonds simulation, your task is to choose appropriate laboratory equipment to test the solubility and conductivity of the two substances. You will explore how these properties differ in ionic and covalent compounds.
Draw Lewis dot structures
In the second part of the Ionic and Covalent Bonds simulation, you will learn about the octet rule and how to apply this to building Lewis dot structures in a virtual drawing activity. You will see that there are many ways that covalent bonds can be formed, depending on the compound and electron configuration. You will also learn how to identify lone electron pairs in a covalent bond.
Determine melting points
In the last mission, your task is to determine the melting point of the two substances by using a melting point apparatus. You will explore how your results are connected to the ability of ions to form a lattice structure.
Will you be able to identify the two mysterious substances and help your friend cure his migraine?
</t>
  </si>
  <si>
    <t>4.1 Ionic bonding and structure
4.3 Covalent structures
4.2 Covalent bonding</t>
  </si>
  <si>
    <t>2.3. Structure of Ionic Solids
2.5 Lewis Diagrams
2.1 Types of Chemical Bonds</t>
  </si>
  <si>
    <t>a0Kw000000Iko9iEAB</t>
  </si>
  <si>
    <t>HPLC</t>
  </si>
  <si>
    <t>HPL</t>
  </si>
  <si>
    <t>https://api2.labster.com/simulation/a0Kw000000Iko9iEAB/play</t>
  </si>
  <si>
    <t>Understand the different compartments of an HPLC machine and functions
Understand the principles of HPLC separation
Understand the lipophilic interaction between the analyte and the mobile and stationary phase
Understand the different changes in parameters (such as the column, mobile phase, temperature etc.) and its effects on analyte separation and concentration measurements</t>
  </si>
  <si>
    <t xml:space="preserve">Learn how different factors such as heat and humidity can alter drug stability. Identify the components of the HPLC machine and use it to separate and measure the different compounds of a medicine.
</t>
  </si>
  <si>
    <t xml:space="preserve">Explore the HPLC machine by taking a look inside it. Find the different components including the sample injection station, column, pumps and UV detector, and learn all about the principles of liquid chromatography, specifically HPLC.
Understanding High Performance Liquid Chromatography
In the HPLC simulation, your first task is to select different mobile phases and different columns to run your experiment. You will then separate the components of a drug and measure concentrations. Next, compare the separation profile using different mobile phases and columns. During the experiment, you will be able to visualize the lipophilic interaction between analyte and both the stationary and mobile phase by watching a 3D animation. Quiz questions throughout the lab check will check your understanding of the HPLC technique.
Drug stability analysis
After completing the first part of the HPLC lab, you will learn how to analyze drugs that have been stored in different conditions and measure and compare the active ingredient’s concentration.
About the HPLC lab
The HPLC Lab is constructed with specific detail and information that can be beneficial for anyone pursuing pharmaceutical studies. Additionally, it can be applied to any area of study that uses chromatography techniques such as biology and biochemistry. Chromatography is an important technique used by pharmacists, and drug stability is an important issue that a pharmacist must be aware of. This lab combines the technique and application.
</t>
  </si>
  <si>
    <t>B.9 Biological Pigments</t>
  </si>
  <si>
    <t>a0K2X00000jGkdTUAS</t>
  </si>
  <si>
    <t>Thermal Homeostasis: Apply thermoregulation to climate change</t>
  </si>
  <si>
    <t>HOT</t>
  </si>
  <si>
    <t>https://api2.labster.com/simulation/a0K2X00000jGkdTUAS/play</t>
  </si>
  <si>
    <t>Oxygen analyzer
Humidity Probe
Infrared heat detection
Metabolic Chamber
Douglas Bag
Spirometer</t>
  </si>
  <si>
    <t>Understand the principles of heat balance and thermoregulation
Compare mammalian methods of heat gain and heat loss used to regulate body temperature
Interpret how vasoconstriction and vasodilation contribute to thermoregulation
Demonstrate how counter-current exchanges regulate extremity temperatures
Analyze the impact of thermogenic heat production and heat loss on survival capabilities of deer
Quantify the metabolic rate of deer at different temperatures
Compare the thermoneutral zones of deer in summer and winter months</t>
  </si>
  <si>
    <t xml:space="preserve">See how deer physiologically respond to climate change. Use a metabolic chamber and Douglas bag to measure the oxygen content, humidity and volume of a deer’s exhaled breath at different temperatures.
</t>
  </si>
  <si>
    <t xml:space="preserve">Maintaining a constant body temperature is central to an animal’s survival. In this simulation, you will apply the principles of thermal homeostasis to understand how deer thermoregulate in response to climate change. You will complete field work in Northern Canada and then carry out experiments in the lab on the effect of high temperatures on deer using a metabolic chamber and Douglas bag. You will measure oxygen content, humidity and volume of breath exhaled, and calculate the metabolic rate, evaporative heat loss and fat burned to answer how climate change affects deer in the North.
Help the International Climate Change Committee
The International Climate Change Committee wants you to investigate how large animals in the North are affected by changing temperatures. You will therefore collect internal and external body temperature data of deer in Northern Canada before returning to the lab where you will learn how changes to blood vessels can help deer maintain thermal homeostasis. By calculating and comparing potential heat production to potential heat loss, you will be able to determine how deer can optimally respond to changes in temperature.
Experiment using a metabolic chamber
You will alter the temperature and air flow through a sophisticated metabolic chamber holding a deer. An oxygen analyzer measures the oxygen content of air flowing in and out of the chamber and allows you to calculate and compare the metabolic rate of deer at different temperatures. Using a face mask on the deer attached to a Douglas bag, you will be able to measure the humidity and volume of exhaled air at different temperatures. This allows you to determine which factors change in order to help the deer maintain thermal homeostasis. In this simulation, you can repeat experiments quickly at various temperatures for deer during summer and winter months, with and without wind. An emphasis on unit conversions ensures that you are able to compare your calculations for heat production with heat loss and ultimately with fat burned per day to identify how long deer can survive in Northern conditions.
Summarize thermal homeostasis
Finally, you will summarize everything you have learned about thermal homeostasis by identifying which physiological conditions are increased and decreased during hot and cold days. Will you be able to predict how deer respond to climate change in the North?
</t>
  </si>
  <si>
    <t>6.6 Hormones, homeostasis and reproduction</t>
  </si>
  <si>
    <t>a0K2X000011533oUAA</t>
  </si>
  <si>
    <t>Carbon Valence, Hybridization and Angles</t>
  </si>
  <si>
    <t>HOC</t>
  </si>
  <si>
    <t>Give examples of uses of organic compounds
Identify the carbon valence electrons and the hybridization of their orbitals
Predict the angles of covalent bonds in hydrocarbons</t>
  </si>
  <si>
    <t xml:space="preserve">Join Dr. One on a mission to figure out how the orbitals of carbon’s valence electrons hybridize, and how this greatly influences the bonds that carbon is able to form.
</t>
  </si>
  <si>
    <t xml:space="preserve">This simulation was adapted from the original, longer “Organic Chemistry Introduction” simulation. See the full-length simulation for more information.
Get your hybridization right! In this simulation, you will learn why the element carbon forms four chemical bonds to be in a stable state. You will explore the involved valence electrons and their orbitals, and how hybridization is key to forming equal, stable bonds.
Organic chemical compounds
You will start off by meeting with Simon, who’s having trouble figuring out the ins and outs of the fundamentals within organic chemistry. Try to resolve his confusion about what, exactly, is meant by ‘organic’. Perhaps you will be able to sort him out?
Dive into the orbitals
In the lab, you join forces with Dr. One, who will support and test you on your mission. After getting suited up for being in the lab, and getting a quick briefing on organic compounds, you jump into a virtual animation on the valence and orbitals of carbon. You’ll need to pay close attention, as Dr. One will quiz you afterwards! Should you be in trouble, you can always jump over to the theory pages for help in finding the correct answer.
Getting the bond angles right
Now that you’re prepped with the fundamental knowledge of carbon bonds, it will be time to put it all into action. Move on to the holotable, where you will be challenged with figuring out the placement of hydrogens in common organic compounds, factoring in double and triple bonds.
Returning to Simon
Armed with all your new knowledge, you will return to Simon to share all you’ve learnt. It’s a tricky topic though, but luckily you can repeat the experience if you want to drive the points in even further. Will you be able to solve the carbon hybridization challenge?
RELATED SIMULATIONS
Organic Chemistry Introduction: Learn about organic compounds
Hydrocarbon Nomenclature and Representations
Functional Groups and Basic Chemical Tests
</t>
  </si>
  <si>
    <t>a0Kw000000UYOpiEAH</t>
  </si>
  <si>
    <t>Hematology: Introduction to Blood</t>
  </si>
  <si>
    <t>HAL</t>
  </si>
  <si>
    <t>https://api2.labster.com/simulation/a0Kw000000UYOpiEAH/play</t>
  </si>
  <si>
    <t>Peripheral blood smear
Giemsa stain
Hematology analyzer
Analysis of complete blood counts</t>
  </si>
  <si>
    <t>Explain the different functions of each type of blood cell
Analyze complete blood counts
Use an automatic hematology analyzer
Prepare peripheral blood smears
Identify different blood cells using Giemsa stain</t>
  </si>
  <si>
    <t xml:space="preserve">Explore the morphology of different types of blood cells and differentiate them via Giemsa staining. Separate the components of blood and analyze the results of blood samples using an automated hematology analyzer. 
</t>
  </si>
  <si>
    <t xml:space="preserve">Not only vampires are obsessed with blood - hematologists love blood as well!  In this simulation, you will generate complete blood counts and prepare blood smears of control and patient samples to diagnose various blood disorders in three patients. Dive into the inner workings of the different blood components with immersive 3D animations, where you will get acquainted with the morphology and function of red blood cells, white blood cells, and platelets.
Analyze complete blood counts
First, you will learn how to prepare control and patient blood samples for the automatic hematology analyzer. Before proceeding to the analysis of complete blood counts, you will first have to understand the difference between hematocrit and plasma and where white blood cells and platelets are found after separation of blood components. Then, explore the importance of each output from the hematology analyzer, including values for mean corpuscular volume (MCV), mean corpuscular hemoglobin (MCH), and mean corpuscular hemoglobin concentration (MCHC).
Prepare peripheral blood smears
Continuing your investigation, you will then have to carefully prepare blood smears of multiple patients for observation using a light microscope and identify different blood cells using a Giemsa stain. Compare healthy and unhealthy morphologies of red and white blood cells and hypothesize the reason for each abnormality seen. To complete your hypothesis, relate the results of the blood smears to the results from the automatic hematology analyzer.
Help diagnose various blood disorders
Throughout the simulation, the results of the experiments are saved and recorded for you to compare at the end of the simulation. Based on your new conceptual understanding of each blood component and results from the blood analysis, will you be able to help a doctor to diagnose the different blood disorders in your three patients?
</t>
  </si>
  <si>
    <t>6.2 The blood system</t>
  </si>
  <si>
    <t>a0K2X00000rg62PUAQ</t>
  </si>
  <si>
    <t>Genetic Transfer in Bacteria: Prevent the rise of superbugs!</t>
  </si>
  <si>
    <t>GTB</t>
  </si>
  <si>
    <t>https://api2.labster.com/simulation/a0K2X00000rg62PUAQ/play</t>
  </si>
  <si>
    <t>Bacteria morphology examination
MEGA-Plate setup
Basic agar plate setup</t>
  </si>
  <si>
    <t>Distinguish vertical gene transfer from horizontal gene transfer
Understand the concept of genetic variability and survivability in bacteria
Describe the concept of horizontal gene transfer
Identify genetic elements and cell machinery required for DNA transfer
Outline the main events that occur during conjugation, transformation, and transduction
Discuss the outcome and barrier of genetic transfer in bacteria</t>
  </si>
  <si>
    <t xml:space="preserve">Prevent Dr. One from wiping out humanity! Complete a number of learning games to understand the three ways of genetic transfer in bacteria, transduction, transformation, and conjugation, and use your learnings to prevent the rise of superbugs.
</t>
  </si>
  <si>
    <t xml:space="preserve">Humanity is in grave danger due to powerful antibiotics becoming ineffective in the treatment of multi-resistant bacteria, also called superbugs. In this simulation, you will learn about the powerful abilities of these superbug bacteria. Your task is to find out how they acquire the foreign DNA that allows them to become superbugs.
Beat Dr. One in the board game ”Superbugs!”
In this simulation, you will try to beat Dr. One in a board game. This board game isn’t like other board games, however. Here, you will learn about the spread of bacterial infection and try to prevent a global pandemic! Dr. One is the enemy, trying to wipe out the human race, and it’s your task to save them! While playing this game, you will learn the key concepts of horizontal gene transfer in bacteria.
Learn the basics of bacterial genetics
First, you will learn about mutation and genetic elements of bacteria, which include chromosomes and plasmids. You will recreate the famous Microbial Evolution and Growth Arena (MEGA) plate developed by Harvard University and Technion-Israel Institute of Technology to highlight the inheritance of antibiotic resistance across many generations of bacteria. You have the freedom to decide where to grow your culture and how to set the antibiotic concentration levels. In the process, you will strengthen your understanding of the concept of mutation and its relation to the development of antibiotic resistance in bacteria.
Perform bacteria culture experiments
The spread of antibiotic resistance is not only a result of inherited random genetic mutations. By analyzing a patient’s sample with a resistant strain of Acinetobacter baumanii, you will be able to identify three methods of horizontal gene transfer that the bacteria can use to acquire foreign DNA. You will set up agar plates with your sample and controls, and complete a series of small learning games to understand the mechanisms and concepts behind conjugation, transformation and transduction.
Dive into the microbe realm
After completing the experiments and learning activities, you will take a virtual leap into the microscopic world. With bacteria, plasmids, and bacteriophages floating around you, your task is to find out which type of horizontal gene transfer will occur, based on your observation on the bacteria’s characteristics and surrounding environment.
Will you be able to grasp all the learning concepts behind the acquisition of antibiotic resistance? And will you be able to prevent Dr. One from winning the board game and wiping out the human race? We hope so!
</t>
  </si>
  <si>
    <t>Biology 3.5 Genetic modification and biotechnology</t>
  </si>
  <si>
    <t>a0K2X00000h4MzBUAU</t>
  </si>
  <si>
    <t>Gene Regulation</t>
  </si>
  <si>
    <t>GRV</t>
  </si>
  <si>
    <t>https://api2.labster.com/simulation/a0K2X00000h4MzBUAU/play</t>
  </si>
  <si>
    <t>Microscopy
Western blot
RT-PCR</t>
  </si>
  <si>
    <t>Explain how gene expression can be regulated
Describe the different levels of gene regulation (mRNA and protein)
Measure mRNA levels (RT-PCR), protein expression (Western blotting)</t>
  </si>
  <si>
    <t xml:space="preserve">Open your eyes to the vast potential of gene regulation, where you can reprogram cells into any cell that fits your needs. Will you able to help the doctor in restoring the sight of a visually impaired girl?
</t>
  </si>
  <si>
    <t xml:space="preserve">In the past, there was no hope for visually impaired people to regain their sight back. Welcome to the future of medicine! In this simulation, you will learn the gene regulation principle that won the Nobel Prize for Physiology 2012. With the gene regulation technique develop by Sir Gurdon and Shinya Yamanaka, your mission is to try to treat a visually impaired girl.
Learn the basics of stem cells
In order to save the visually impaired girl, you will prepare induced pluripotent stem cells (iPS) from a fibroblast cells sample taken from the girl. The iPS cells will then be differentiated to retinal-pigmented epithelial cells for transplantation. In this simulation, 3D-animations will allow you to take a closer look at the machinery involved in gene regulation. You will learn about the basics of stem cells and what it takes to create one.
Transform fibroblast cells into iPS cells
You will have to determine which transcription factors are essential in maintaining a stem cell’s features based on what you have learned in the previous mission. After determining the genes, you will use a retroviral infection technique to transform mature fibroblast into iPS cells. After incubation, you will examine which set of transcription factors is capable of inducing the fibroblast into stem cells (iPS).
Analyze gene expression
By now you will have an idea of which transcription factor is capable of transforming fibroblast cells into iPS cells. The next step is to confirm your findings by analyzing the gene expression in mRNA and protein level. You will perform reverse transcription PCR (RT-PCR) and Western blot to investigate the mRNA and protein level, respectively. Finally, you will have to decide which set of transcription factors can be used to transform fibroblast cells into iPS effectively. Will you be able to help the girl?
</t>
  </si>
  <si>
    <t>a0K2X00000tyDE0UAM</t>
  </si>
  <si>
    <t>The Gram Stain: Identify and differentiate bacteria</t>
  </si>
  <si>
    <t>GRM</t>
  </si>
  <si>
    <t>https://api2.labster.com/simulation/a0K2X00000tyDE0UAM/play</t>
  </si>
  <si>
    <t>Light microscopy
Preparation of bacterial smears
The Gram stain technique</t>
  </si>
  <si>
    <t xml:space="preserve">Join doctors in revealing a pathogen that is causing a patient to be critically ill. Perform the Gram stain on a sample collected from the patient and use microscopy to identify the presence of bacteria to help guide the proper antibiotic treatment.
</t>
  </si>
  <si>
    <t xml:space="preserve">Did you know that there are approximately 5 million-trillion-trillion bacteria in the world? Most of them are harmless, but some can induce disease in an affected host. In this simulation, you will help doctors identify bacteria in a cerebrospinal fluid sample from a patient suspected of suffering from bacterial meningitis.
Explore the bacterial cell wall
Compare and contrast the cell wall of Gram-positive and Gram-negative bacteria by building your very own bacterial 3D models on the hologram table. Enter the exploration pod to observe in an immersive animation how the four reagents of the Gram stain interact with structural components of the cell wall to color the bacteria.
Perform the Gram stain
When the patient's fluid sample arrives at the laboratory, equip yourself with protective gear to prepare a bacterial smear and heat fix it to a glass slide. You are now ready to perform the Gram stain in a safe virtual environment. Made a mistake? No worries, hit the big red button on the workbench to repeat the staining procedure until it becomes second nature.
Interpret your findings using a microscope
In the end, you will use a light microscope to interpret the results of your Gram stain. View the microscopic image on the computer screen, and apply immersion oil to increase magnification 1000x! Will you be able to identify the presence of any bacteria in the patient´s cerebrospinal fluid?
</t>
  </si>
  <si>
    <t>a0Kw000000JFMjaEAH</t>
  </si>
  <si>
    <t>Genetically Engineered Machine</t>
  </si>
  <si>
    <t>GEM</t>
  </si>
  <si>
    <t>https://api2.labster.com/simulation/a0Kw000000JFMjaEAH/play</t>
  </si>
  <si>
    <t>Ligation
Restriction digest
Heat shock transformation
3A-Assembly
Antibiotics selection</t>
  </si>
  <si>
    <t>Plan your iGEM project together with your team
Understand how BioBricks can be assembled using restriction enzymes
Understand how to transform a gene construct into bacteria cells
Experiment with different restriction enzymes and clone a new device</t>
  </si>
  <si>
    <t xml:space="preserve">Join an iGEM team to design a biosensor that can sense biofilm forming bacteria.
</t>
  </si>
  <si>
    <t xml:space="preserve">The International Genetically Engineered Machine (iGEM) competition is a worldwide synthetic biology competition that was initially aimed at undergraduate university students, but has since expanded to include divisions for high school students, entrepreneurs, and community laboratories, as well as ‘overgraduates’.
In the Genetically Engineered Machine lab, you will join an iGEM team to design a biosensor that can sense biofilm forming bacteria. You will combine two BioBrick parts and transform bacteria with the gene construct. Will you be able to create a novel synthetic organism that can be used as a biosensor?
</t>
  </si>
  <si>
    <t>a0Kw000000ePujzEAC</t>
  </si>
  <si>
    <t>Ideal Gas Law: Build your own temperature scale</t>
  </si>
  <si>
    <t>GAS</t>
  </si>
  <si>
    <t>https://api2.labster.com/simulation/a0Kw000000ePujzEAC/play</t>
  </si>
  <si>
    <t>English (United States)
Italian
German
French
Spanish</t>
  </si>
  <si>
    <t>HS-PS1-7</t>
  </si>
  <si>
    <t>Gas thermometry</t>
  </si>
  <si>
    <t>Explain the physical concepts of temperature and absolute zero
Define the relationship between pressure, volume and temperature in gases using gas thermometry
Apply the Ideal Gas Law</t>
  </si>
  <si>
    <t xml:space="preserve">Use the Gas Thermometry technique to validate the Ideal Gas Law. Observe the behavior of an ideal gas and create your own temperature scale, while handling extreme temperatures with the help of your assistant.
</t>
  </si>
  <si>
    <t xml:space="preserve">Just because Celsius, Fahrenheit and Kelvin defined their own temperature scales and named them after themselves, it doesn’t mean that you can’t create your own! In the Ideal Gas Law simulation, you will define the physical concept of temperature and absolute zero. You will observe how ideal gas molecules behave according to the Ideal Gas Law, and you’ll learn about the relationship between pressure, volume and temperature in gases using gas thermometry.
Define your temperature scale
Your first mission in the Ideal Gas Law simulation will be to define a unique temperature scale. In order to complete this task, you will assign the correct temperature to various reference points. You will discover at which temperature water freezes and nitrogen boils. At the end of this mission, you will be able to calculate a new value of the Boltzmann’s constant.
Formulate the Ideal Gas Law
Imagine how easy it would be to understand the behavior of an ideal gas if the gas molecules were so big that they could be seen with the naked eye. Well, in this simulation they can! The gas molecules are magnified, so you can see what is otherwise invisible. Your next mission is to define the relationship between the pressure, temperature and volume of an ideal gas sealed in a glass jar.
Experiment with gas thermometry
Handling extreme temperatures is not a hazard as long as you’re a part of this simulation! Observe the changes in the pressure of an ideal gas as you cool it down from the temperature of boiling water to the temperature of boiling nitrogen. You will have complete freedom to repeat the experiment with any amount of gas and to define the absolute zero temperature.
Are you ready to apply the Ideal Gas Law and everything you learned in gas thermometry in order to assist the transfer of an organ for a transplant surgery?
</t>
  </si>
  <si>
    <t>3.2 – Modelling a gas
3.1 – Thermal concepts</t>
  </si>
  <si>
    <t>3.4 Ideal Gas Law</t>
  </si>
  <si>
    <t>a0K2X00000jFwrKUAS</t>
  </si>
  <si>
    <t>Foraging: Build a foraging theory to save the crops</t>
  </si>
  <si>
    <t>FOS</t>
  </si>
  <si>
    <t>https://api2.labster.com/simulation/a0K2X00000jFwrKUAS/play</t>
  </si>
  <si>
    <t>Optimal Foraging Theory
Foraging currency</t>
  </si>
  <si>
    <t>Understand the concepts of optimal foraging theory, foraging currency and daily budget
Predict a foraging model using a model of energy gain given a tradeoff between energy and nutrients.
Correct the model with field studies identifying additional environmental factors
Compare the behavior of risk-prone individuals in a stress situation versus controls (risk-sensitivity)</t>
  </si>
  <si>
    <t xml:space="preserve">Join the human colony on the fictional exoplanet Astakos IV to study the local alien species. What do they eat?hy and where do they forage for food? Can you build a model using our foraging theories from Earth?
</t>
  </si>
  <si>
    <t xml:space="preserve">Can we predict where, when and how animals will be looking for food? In this simulation, you will learn about the behaviours that regulate the foraging habits of animals. Discover the notions of foraging currency, daily budget and the optimality model, all of which can be used to predict the foraging patterns.
Protecting crops from a local forager
Scientists on the exoplanet Astakos IV have a problem: One of the local species has been eating the crops in the colony’s agricultural research facility. In this simulation, your task is to study the behavior of that animal in its natural habitat, and to try to create a model of the foraging patterns in order to understand why the animal comes to the colony to feed.
Optimal Foraging Theory
Your first task is to define the trophic strategy of the alien forager, and then to builda theoretical model around the foraging pattern using nutritional data and the Optimal Foraging Theory. You will go on a field trip to follow a specimen in the wild, thus adding field data to your predictions and updating the model accordingly. Finally, you will have to incorporate the notion of risk-sensitivity to create a complete foraging model of this entirely new and fictional species.
Save the crops!
Using your newfound knowledge, will you be able to find a solution to stop the forager fromfeeding on the crops in the colony?
</t>
  </si>
  <si>
    <t>a0K2X0000115P4EUAU</t>
  </si>
  <si>
    <t>Functional Groups and Basic Chemical Tests</t>
  </si>
  <si>
    <t>FOC</t>
  </si>
  <si>
    <t>English (United States)
French
Italian
German
Spanish</t>
  </si>
  <si>
    <t>Bromine test for unsaturated hydrocarbons
Ceric Ammonium Nitrate test for alcohols and phenols
Sodium bicarbonate test</t>
  </si>
  <si>
    <t>Give examples of functional groups of organic compounds and their reactions
Determine the presence of specific functional groups by carrying out simple chemical tests
Investigate the functional groups present in salicylic acid by performing a series of chemical tests</t>
  </si>
  <si>
    <t xml:space="preserve">Join Dr. One on a mission to discover what is in the mysterious painkillers that your friend Simon has gotten hold of. You will identify which functional groups this chemical compound should contain and perform chemical tests to verify their existence.
</t>
  </si>
  <si>
    <t xml:space="preserve">This simulation was adapted from the original, longer “Organic Chemistry Introduction” simulation. See the full-length simulation for more information.
Functional … what? In this simulation, you will learn the very basics of functional groups within organic chemistry, and perform simple chemical tests to validate their presence.
Tooth trouble
You will start off by meeting with Simon, who’s having trouble with a terrible toothache. He’s gotten some painkillers, but from a source he’s not entirely sure he can trust. Perhaps you can help him figure out if it’s alright for him to take the painkillers?
Prepping for the real deal
In the lab, you join forces with Dr. One, who will support and test you on your mission. After suiting up for the lab, you dive straight into the first experiment: the bromine test. Here you need to show Dr. One that you’re comfortable when it comes to simple chemical tests—so the produced results in your main mission can be trusted!
Validation by chemical tests
You then move on to deal with the main mission: Salicylic acid. First, you need to figure out which functional groups are in this organic compound. Once that’s sorted, you move to the fume hoods again to test whether these groups are indeed present in your sample from Simon. Dr. One might have a little extra challenge waiting for you though.
An update for Simon
Armed with your findings, you will return to Simon to share what you’ve learnt about the contents of the painkillers he got. It will be tricky to get the chemical tests right, but luckily you can repeat the experience if you want to practice more. Will you be able to solve the functional group challenge?
RELATED SIMULATIONS
Organic Chemistry Introduction: Learn about organic compounds
Carbon Valence, Hybridization and Angles
Hydrocarbon Nomenclature and Representations
</t>
  </si>
  <si>
    <t>a0Kw000000JFTv7EAH</t>
  </si>
  <si>
    <t>Flow Injection Analysis</t>
  </si>
  <si>
    <t>FIA</t>
  </si>
  <si>
    <t>https://api2.labster.com/simulation/a0Kw000000JFTv7EAH/play</t>
  </si>
  <si>
    <t>Measure caffeine concentration in different samples using the Flow Injection Analysis (FIA) technique
Describe the importance of the different parts of the FIA machine (e.g. the spectrophotometer, the pump, or the mixing coil)
Describe the advantages of the FIA method
Calculate the velocity at which a sample will be eluted
Prepare sample dilutions and standard curves
Interpret the results from a FIA experiment
Determine the concentration of an unknown caffein sample by using the standard curve</t>
  </si>
  <si>
    <t xml:space="preserve">Let’s awaken your curiosity for the chemistry of caffeine. Learn how Flow Injection Analysis (FIA) helps scientists measure the concentration of caffeine in your drinks.
</t>
  </si>
  <si>
    <t xml:space="preserve">Lego blocks and caffeine make an interesting combo. In this simulation, you will learn that a couple of scientists actually used lego blocks to build the first version of the Flow Injection Analysis (FIA) machine. You’ll use the technique to measure caffeine levels in various beverages.
Explore the parts of the flow injection machine
Not every real-life lab has a FIA machine, and it’s definitely not everyday that you get to look inside one. So in this simulation, you’ll get to explore the different parts of the FIA machine in detail through a 3D animation that illustrates the main mechanisms of the machine. You’ll soon understand how the machine detects caffeine, and apply this knowledge to your experiments.
Optimize and perform the experiment
Before you carry out an experiment, you will have to optimize the FIA machine for use. You can alter different machine parameters, to help generate the most accurate results. Once you have optimized the machine and prepared samples, you are ready to perform your experiment! Lots of beverages are waiting to be tested.
Compute the caffeine concentration
When you have finished your experiment, you’ll want to present your results in the best way possible. After creating an absorbance graph, you’ll employ your stoichiometry knowledge to determine the caffeine concentration of each beverage.
Maybe coffee is not the best drink for getting up or staying awake after all… maybe it’s hot chocolate! Will you be able to find out which beverages will cure you from sleepiness?
</t>
  </si>
  <si>
    <t>a0K2X00000jGY5xUAG</t>
  </si>
  <si>
    <t>Food webs: Learn about interactions between trophic levels</t>
  </si>
  <si>
    <t>FDW</t>
  </si>
  <si>
    <t>https://api2.labster.com/simulation/a0K2X00000jGY5xUAG/play</t>
  </si>
  <si>
    <t>ESS3.C-H1</t>
  </si>
  <si>
    <t>Trophic cascades such as top down and bottom up cascades
Feed conversion efficiencies
Aquatic respirometry</t>
  </si>
  <si>
    <t>Understand food webs
Explain the differences between different trophic cascades
Calculate the amount of energy needed for maintenance</t>
  </si>
  <si>
    <t xml:space="preserve">Help reduce the impact from humans on an aquatic ecosystem on an exoplanet by using your knowledge of trophic cascades in a food web.
</t>
  </si>
  <si>
    <t xml:space="preserve">In this simulation, you will learn about food webs. You will be guided through the different trophic levels of a food web on the exoplanet Astakos IV, while learning about the interactions between different organisms.
Energy transfers in a food web
First, you will learn how energy is transferred in a food web, and how each trophic level interacts, during both top-down and bottom-up trophic cascades. You will also measure the respiration of an alien and calculate its energy needs.
Estimate energy transfer in a food web
You will be presented with an alien food web with grazers, omnivores and predators. By measuring respiration you will estimate the energy used by a central omnivore species. You will also be tasked with assessing the direction of the energy flow through the food web when a trophic cascade is caused by anthropogenic disturbances.
What happens when the main source of energy is removed from a food web?
Through a series of mini games you will help a group of settlers on Astakos IV asses their impact on the local ecosystem. Are you up for the challenge of figuring out how the settlers’ different constructions impact the local food web?
</t>
  </si>
  <si>
    <t>Biology C.2 Communities and ecosystems</t>
  </si>
  <si>
    <t>a0Kw000000R26SeEAJ</t>
  </si>
  <si>
    <t>FACS</t>
  </si>
  <si>
    <t>FAC</t>
  </si>
  <si>
    <t>https://api2.labster.com/simulation/a0Kw000000R26SeEAJ/play</t>
  </si>
  <si>
    <t>Flow cytometry</t>
  </si>
  <si>
    <t>Understand the basics of flow cytometry technique
Understand the importance of each system that the technique relies on (fluidics, optics, and electronics)
Use a cell sorter (start up, sorting, and shut down of the equipment)
Understand how the equipment performs the measurements
Interpret the results and understand the applications of the technique</t>
  </si>
  <si>
    <t xml:space="preserve">In the Fluorescence-automated Cell Sorting (FACS) Simulation, you will learn the basics of flow cytometry and find out how to use a flow cytometer with fluorescence detection.
</t>
  </si>
  <si>
    <t xml:space="preserve">Fluorescence-activated cell sorting (FACS) is a specialized type of flow cytometry. It provides a method for sorting a heterogeneous mixture of cells one at a time, based on the specific light scattering and fluorescent characteristics of each cell. It provides fast, objective, and quantitative recording of fluorescent signals from individual cells, as well as physical separation of cells of particular interest.
Learn about FACS
Using the light scattering, FACS can detect cell size and complexity, while the fluorescence characteristics allow researchers to analyze different biological functions or study specific cell components. As a flow cytometry technique, FACS is also based on three main systems: fluidics, optics, and electronics. Their combined work allows the process of cell sorting.
Use your FACS knowledge to sort GFP
In the FACS simulation, you will learn the basics of flow cytometry and find out how to use a flow cytometer with fluorescence detection. Your goal is to sort a pool of Escherichia coli expressing Green Fluorescent Protein (GFP) at different levels after it has been previously engineered. You will set up the equipment, learn how the cytometer sorts the cells, interpret your results, and clean and shut down the equipment.
Will you be able to perform all the steps correctly and sort the cells depending on their GFP expression level?
</t>
  </si>
  <si>
    <t>a0K2X00000x0yu1UAA</t>
  </si>
  <si>
    <t>Biomes: Identify and create the main biomes on Earth</t>
  </si>
  <si>
    <t>ETS</t>
  </si>
  <si>
    <t>https://api2.labster.com/simulation/a0K2X00000x0yu1UAA/play</t>
  </si>
  <si>
    <t>HS-LS2-2
HS-LS2-5</t>
  </si>
  <si>
    <t>Explore the definitions of ecosystems, biodiversity and habitats.
Define and relate biomes, ecosystems and habitat
Explain the basic concept of biodiversity
Differentiate between the different biomes
Relate climate and geology to the structure and biogeography of biomes and ecosystems</t>
  </si>
  <si>
    <t xml:space="preserve">Learn about the main biomes on Earth and where they are located with our new Biome Generator. You will be able to adjust different parameters to build your own biome and observe the result of your changes instantly!
</t>
  </si>
  <si>
    <t xml:space="preserve">Biomes are literally all around you - you even live in one! In this simulation, you will learn about the concepts of Biodiversity, Biomes and Ecosystems, and you will also be able to locate the main biomes on Earth.
Learn about the different biomes on Earth
With our Biome Generator, you can freely experiment and adjust  different parameters to create different biomes. Identify the main parameters that define the major biomes on Earth, such as climate, flora, fauna and geology, to understand where they are located.
Re-create Earth’s main biomes 
Try as many times as you need to generate the different biomes. In our Biome Generator, you will be able to see how your choices will influence the final result. Made a mistake? No worries, try again!
Find the right match for each biome
Once you have built your own biome, you will be able to see how they match to the ones on Earth. Don’t be afraid of making mistakes - our friendly virtual assistant Dr. One can help and point you in the right direction.
</t>
  </si>
  <si>
    <t xml:space="preserve">Adjust the fauna and vegetation parameters for the tundra biome (8:55 in screencast) (Experiment, Game-like, Learn by doing)
Adjust the fauna and vegetation parameters for the tundra biome (8:55 in screencast) (Experiment, Game-like, Learn by doing)
Use knowledge to assess the biodiversity of the grassland biome (12:10 in screencast) (Visualisation, Theory-based)
Use knowledge to assess the biodiversity of the grassland biome (12:10 in screencast) (Visualisation, Theory-based)
Compare similarities and differences of biomes using the map. (16:12 in screencast) (Theory-based, Thought provoking)
Compare similarities and differences of biomes using the map. (16:12 in screencast) (Theory-based, Thought provoking)
</t>
  </si>
  <si>
    <t>4.4 Climate change
Biology C.2 Communities and ecosystems
Biology C.3 Impacts of humans on ecosystems
4.1 Species, communities and ecosystems</t>
  </si>
  <si>
    <t>Biology Unit 8: Ecology</t>
  </si>
  <si>
    <t>a0K2X00000h3uDjUAI</t>
  </si>
  <si>
    <t>CRISPR-Cas applied to TGF-beta induced EMT</t>
  </si>
  <si>
    <t>EMT</t>
  </si>
  <si>
    <t>https://api2.labster.com/simulation/a0K2X00000h3uDjUAI/play</t>
  </si>
  <si>
    <t>TM-Utrech</t>
  </si>
  <si>
    <t>CRISPR-Cas9
Immunofluorescence</t>
  </si>
  <si>
    <t>Set up a protocol to get answers to a biological question related to the EMT process
Acknowledge mistakes in the protocols and understand how to critically overcome them
Properly prepare cells for the immunostaining procedure according to the localization of the target protein
Select a suitable secondary antibody for an immunofluorescence experiment
Analyze immunofluorescence results
Describe the basics of CRISPR-Cas technique
Design a guide RNA construct for knock-out strategies
Evaluate CRISPR-Cas9 results</t>
  </si>
  <si>
    <t xml:space="preserve">Learn how to detect the hallmarks of EMT using immunofluorescence and knock out the correct gene to revert the process using CRISPR
</t>
  </si>
  <si>
    <t xml:space="preserve">CRISPR may sound like a brand of cereals, but it certainly isn’t! In this simulation, you will learn to identify the molecular hallmarks of the Epithelial-to-Mesenchymal Transition (EMT) molecular process in breast cancer cells. You will induce EMT by adding TGF-beta to the cells, and, after identifying the hallmarks with immunofluorescence labeling, you will use the cutting-edge CRISPR-Cas9 technology to try to revert this process, which is one of the main causes of cancer malignancy.
Set up your own immunofluorescence protocol
In your first mission, you will be able to perform an immunostaining protocol by making decisions on the key steps of the process. Each decision can get you closer to the correct outcome, so think carefully and choose wisely!
Use CRISPR to knock out a specific gene
Once you have learned what the molecular hallmarks of EMT are, you will be able to dive into a eukaryotic cell to learn how the CRISPR-Cas9 technique works at a molecular level. Then, you will learn to design one of the CRISPR-Cas9 components by solving a fun puzzle. Last, you will select the target gene to knock out and your virtual lab assistant, Dr. One, will help you with the last part of the immunostaining process so you can directly evaluate your results.
Repeat your experiment as many times as you want
At the end of each mission, you will be able to repeat the experiment if the outcome was not the desired one, giving you the possibility of learning from your mistakes. Luckily, Dr. One will be there to help you with some of the tasks. In the end, you will be able to complete an experiment that takes weeks in just less than one hour!
Will you be able to set the right protocols in place, solving any issues that arise, to understand the molecular changes linked to the TGF-beta induced EMT and evaluate the possibility of using CRISPR-Cas9 as a possible therapeutic approach in breast cancer?
</t>
  </si>
  <si>
    <t>a0K2X00000tlEhJUAU</t>
  </si>
  <si>
    <t>Elimination Reaction: Use cyclohexanol to create polymers</t>
  </si>
  <si>
    <t>ELR</t>
  </si>
  <si>
    <t>https://api2.labster.com/simulation/a0K2X00000tlEhJUAU/play</t>
  </si>
  <si>
    <t>Explain the reaction mechanisms of the E1 and E2 reactions
Compare the reactivity of different alkyl halides towards E1 and E2
Predict the product of an Elimination Reaction using Zaitsev’s rule
Predict the double-bond stereochemistry of the product in an E2 reaction</t>
  </si>
  <si>
    <t xml:space="preserve">Join Kim in the Polymer Research Lab to solve the puzzle of unexpected side product formation in their optimized cyclohexanol elimination reaction. Use and expand your organic chemistry knowledge to do this and get the polymer production back on track.
</t>
  </si>
  <si>
    <t xml:space="preserve">Eliminate the leaving group and get double-bonded! In this simulation, you will learn the ins and outs of Elimination Reactions in Organic Chemistry. You will get hands-on experience with some alkyl halides and discover how they go through the E1 and E2 eliminations.
Polymer production going sideways
Meet Kim: a research scientist at a polymer research and production lab. They are having problems with optimizing their elimination reaction that converts cyclohexanol to cyclohexene, and they need your help to understand what’s going on and how to get it right. You will need to understand the core concepts of elimination reactions to be able to help her out!
Eliminating the unknowns
Back in the main lab, you will brush up on your organic chemistry know-how. After understanding Kim's reaction a little better, you will dive into the two main types of elimination reaction: the E1 and E2. You will be able to hands-on manipulate molecules to go through the mechanisms of the two reactions, before being challenged to figure out Zaitsev’s rule through an explorative and interactive exercise. You will also need to assess what reactants are more likely to go through the two reactions. If you get this, you might get the rockstar achievement!
Back on track
To get to the bottom of Kim’s production puzzle, you will have to carefully work out the mechanisms of the two reactions and what determines their reactivity and the products they form. Will you be able to help her solve it, so her research lab can continue producing polymers for the world?
</t>
  </si>
  <si>
    <t>a0K2X00000qwqooUAA</t>
  </si>
  <si>
    <t>Endocrinology: Learn how contraceptives work</t>
  </si>
  <si>
    <t>ECO</t>
  </si>
  <si>
    <t>https://api2.labster.com/simulation/a0K2X00000qwqooUAA/play</t>
  </si>
  <si>
    <t>With a Radioimmunoassay investigate the hormonal concentrations in blood serum
Use the McPhail scale to judge uterus development
With light microscopy assess the motility and viability of semen</t>
  </si>
  <si>
    <t>Understand hormonal feedback mechanisms
Use physiological methods to assess fertility in males and females
Understand how hormonal feedback mechanisms among LH, FSH progesterone and estrogen control fertility and ovulation in females
Understand how hormonal feedback mechanisms among LH, FSH, and testosterone control fertility in males</t>
  </si>
  <si>
    <t xml:space="preserve">Develop a method for keeping a population of rabbits under control by using hormonal treatments. Investigate how different concentrations of different hormones impact the fertility of male and female rabbits.
</t>
  </si>
  <si>
    <t xml:space="preserve">Hormones are crazy! Can we control them? In this simulation you will learn about different hormones’ influence on fertility. You will use rabbits as test subjects to learn about the impact of different hormones on the reproductive cycles of mammals, such as humans.
Inhibit rabbit fertility with hormones
A petting zoo is experiencing problems with wildly multiplying rabbits and they are in desperate need of your help! Your mission in this simulation is to develop an efficient method for getting the rabbit population under control.
Endocrine system controls fertility
To test the effects of different levels of gonadotropin releasing hormone (GnRH), luteinizing hormone (LH) and follicle stimulating hormone (FSH) in the blood of female rabbits you will work in a virtual lab. Normally, you would need weeks to complete experiments, and you would have to sacrifice a number of rabbits to dissect and inspect the uterus. For the males, the experiments with DMAU would take multiple weeks to test with living specimens. In this simulation, you don’t have to worry about any of those things! Time can be sped up to avoid waiting time and no animals are harmed in a virtual world. In addition to that, instead of compiling heavy tables from your data, the virtual machines will present your data in easy-to-digest graphs and charts.
Use hormones as a contraceptive
To find a good hormonal contraceptive you will have to test several rabbits. You will feed each treatment to a rabbit, and then, with a microscope and radioimmunoassays, you will investigate the hormones’ effect on the thickening of the uterus in females, and motility and number of semen in males.
Will you be able to use the skills you acquire to develop a hormonal contraceptive for the rabbits?
</t>
  </si>
  <si>
    <t>a0K2X00000n0hbcUAA</t>
  </si>
  <si>
    <t>Ecosystem Dynamics: Assess the effect of fertilizers on the phosphorus cycle</t>
  </si>
  <si>
    <t>ECD</t>
  </si>
  <si>
    <t>https://api2.labster.com/simulation/a0K2X00000n0hbcUAA/play</t>
  </si>
  <si>
    <t>Estimation of phosphorus cycle processes through the analysis of the phosphorus pools
Soluble phosphorus analysis</t>
  </si>
  <si>
    <t>Understand the importance of phosphorus in the natural processes.
Assess the impact of fertilization on the phosphorus cycle in a system
Assess the importance of the different phosphorus fractions on a system</t>
  </si>
  <si>
    <t xml:space="preserve">Analyze the effects of fertilizers on the phosphorus cycle and help the residents in Astakos IV to increase their crop yield without compromising the environment.
</t>
  </si>
  <si>
    <t xml:space="preserve">How dynamic can an ecosystem be? Let’s find out!
In this simulation you will learn how fertilizers can modify the phosphorus cycle in the ecosystems. Your task is to find a way to increase the yield of crops, without impacting the phosphorus cycle and the environment in general.
Sustainably increase the yield of crops
Learn how fertilizers can be used to increase the yield of crops. The secret is in figuring out what the right amount of fertilizer is. Too little fertilizer will have a small effect on the yield of crops, and too much will have a negative impact on the environment. In this simulation you will learn how to make this decision.
Analyze the phosphorus cycle and measure dissolved phosphorus
You will collect samples of soil to determine the status of the fields and analyze the entire phosphorus cycle. Additionally, you will learn how to measure soluble phosphorus all by yourself, determine how important the different phosphorus fractions are by the means of your measurements.
Pick the right model!
Throughout the simulation, you will be able to choose between different amounts of fertilizer and find out what their impact is on the phosphorus cycle. This will allow you to choose the right amount of fertilizer to maximize the crops without compromising the environment!
</t>
  </si>
  <si>
    <t>Biology C.6 Nitrogen and phosphorus cycles</t>
  </si>
  <si>
    <t>a0K2X00000jGcfmUAC</t>
  </si>
  <si>
    <t>Matter and Phase Changes: Distil ethanol</t>
  </si>
  <si>
    <t>DIS</t>
  </si>
  <si>
    <t>https://api2.labster.com/simulation/a0K2X00000jGcfmUAC/play</t>
  </si>
  <si>
    <t>HS-PS1-3, HS-PS1-4, HS-PS1-5</t>
  </si>
  <si>
    <t>Explain solid, liquid, and gas states in terms of particle interaction and bonding energy
Describe and explain the characteristics of a phase change
Read a phase diagram and explain each region
Interpret a heating curve of a given substance
Explain the difference between a heating curve and a phase diagram, and the difference between specific heat and latent heat
Understand the basic steps of performing a distillation
Distinguish between physical and chemical properties of matter and classify changes of matter as physical or chemical
Name the main phase changes: boiling, evaporation, freezing, melting, and sublimation</t>
  </si>
  <si>
    <t xml:space="preserve">Get ready to encounter all three states of matter. In this simulation, you will manipulate the states of matter and inspect the phase changes. Will you be able to see that almost everything you interact with matters?
Explore the intermolecular forces in matter
In the Matter and Phase Changes simulation, you will meet Jo who has a limited fuel supply and therefore wants to produce bioethanol. In order to help her, you must first master the definition of matter and the process of phase changes. You will dive into the water and examine the dynamics of intermolecular forces of water molecules during the phase changes. With the help of 3D animations, you will learn about the molecular configuration in three states of matter: Solid, liquid, and gas.
Generate heating curves
Once you’ve mastered the basics, you are ready to learn about additional aspects of phases changes: Specific heat, latent heat, and pressure. You will utilize a temperature probe and a heat plate to generate a heating curve and then compare the heating curve of water, ethanol, and metal. By doing so, you will be able to decode the meaning of each line of the heating curves.
Perform distillation
At the end of the simulation, you will put your newly acquired knowledge to the test!. You are going to use the distillation technique to achieve ethanol with higher purity.
Will you be able to produce high purity ethanol for Jo?
</t>
  </si>
  <si>
    <t xml:space="preserve">Cool simulation. Nice flow. The storyline is engaging enough, but not overpowering the sim. Interesting little animations about how molecules behave during phase changes. The simulation uses a simple benchtop distillation system, which is a great represenation of a real-life distillation apparatus. Explains key concepts such as heat capacity, latent heat, phase diagrams, heating curves and heat of fusion and vapourisation - relating to the experiment and shown using a real time graph (A really neat feature).  (internal notes
)
Visit to a campsite to meet Jo, who explains that her town has a problem. Learn about ethanol at the campsite. (1:39 in screencast) (Game-like)
Visit to a campsite to meet Jo, who explains that her town has a problem. Learn about ethanol at the campsite. (1:39 in screencast) (Game-like)
Animation of states of matter of water (10:28 in screencast) (Visualisation)
Animation of states of matter of water (10:28 in screencast) (Visualisation)
Experiment to find out physical properties of water and ethanol to separate them (14:42 in screencast) (Lab technique, Experiment, Learn by doing)
Experiment to find out physical properties of water and ethanol to separate them (14:42 in screencast) (Lab technique, Experiment, Learn by doing)
</t>
  </si>
  <si>
    <t>Chemistry 3.2 Properties of Solids
Chemistry 3.3 Solids, Liquids, and Gases
Chemistry 4.4 Physical and Chemical Changes
Chemistry 6.5 Energy of Phase Changes
Chemistry 2.2 Intermolecular Force and Potential Energy
Chemistry 3.1. Intermolecular Forces</t>
  </si>
  <si>
    <t>a0Kw000000OwqYYEAZ</t>
  </si>
  <si>
    <t>Diabetes</t>
  </si>
  <si>
    <t>DIA</t>
  </si>
  <si>
    <t>https://api2.labster.com/simulation/a0Kw000000OwqYYEAZ/play</t>
  </si>
  <si>
    <t>TM-Boston Medical</t>
  </si>
  <si>
    <t>Blood glucose measurement
Insulin injection</t>
  </si>
  <si>
    <t>Understand how Type II diabetes is diagnosed
Understand the risk factors for Type II diabetes
Understand the function of insulin in the body
Understand how untreated diabetes affects organ function
Regulate Type II diabetes
Know how and when to measure blood sugar levels using a glucose meter
Understand the effect of insulin and diabetes medication
Prepare a syringe with insulin and know how to inject insulin
Understand how a healthy diet and regular exercise help to regulate Type II diabetes</t>
  </si>
  <si>
    <t xml:space="preserve">Learn the basics of Type II diabetes.
</t>
  </si>
  <si>
    <t xml:space="preserve">Sugar, also called glucose, is an important energy source for the human body. In order to use that energy, the body needs the hormone insulin. In diabetes mellitus, commonly referred to as diabetes, either the body does not produce enough insulin, or it doesn’t function properly. This results in a high level of glucose in the blood, which cannot be used as energy.
Two types of diabetes
We distinguish between two types of diabetes: type 1 and type 2. While type 1 diabetes is characterised by an early onset in children, type 2 diabetes typically develops in adults. In more detail, it can be caused by low levels of insulin production by the beta cells of the pancreas, or by reduced sensitivity of tissue cells to insulin. Both causes prevent glucose from being absorbed by cells, causing high blood sugar, also called hyperglycemia.
Learn about the consequences of type II diabetes
High blood glucose levels make it difficult for the kidneys to recover all the glucose from nascent urine, resulting in glucose being lost in urine. High glucose levels also result in less water being reabsorbed by the kidneys, causing high amounts of urine to be produced, which may result in dehydration. Over time, high blood glucose levels can cause nerve damage to the eyes and peripheral body tissues, as well as damage to the kidneys and cardiovascular system.
Apply your knowledge of diabetes
In the Diabetes lab, you will learn the basics of type II diabetes. You will learn how to measure your own blood sugar levels and even how to give yourself an insulin shot. You will also learn how to put together a healthy meal plan.
Will you be able to use your type II diabetes knowledge to manage blood sugar levels?
</t>
  </si>
  <si>
    <t>Biology D.3 Functions of the liver
Biology D.1 Human nutrition</t>
  </si>
  <si>
    <t>a0K2X00000nWXsTUAW</t>
  </si>
  <si>
    <t>Cardiovascular Function During Exercise: Learn how your body reacts to exercise</t>
  </si>
  <si>
    <t>CVE</t>
  </si>
  <si>
    <t>https://api2.labster.com/simulation/a0K2X00000nWXsTUAW/play</t>
  </si>
  <si>
    <t>Analyze cardiovascular system variables
Doppler ultrasound
Blood pressure measured using a sphygmomanometer and stethoscope</t>
  </si>
  <si>
    <t>Understand how the respiratory and cardiovascular system responds during exercise
Understand how cardiac output and blood pressure can be measured
Understand how heart rate, stroke volume, cardiac output and total peripheral resistance change with exercise
Interpret data to assess possible cardiovascular problems during exercise</t>
  </si>
  <si>
    <t xml:space="preserve">Use medical tests to gather information about patients and determine how their cardiovascular systems respond to different exercise intensities.
</t>
  </si>
  <si>
    <t xml:space="preserve">Exercising can be hard. In this simulation you’ll discover why that is, and learn how your cardiovascular system behaves at rest and at different exercise intensities. This will give you an understanding of what is happening inside your body when exercising.
Understand the cardiovascular system function
Using different study subjects, you will first learn how the cardiovascular system changes when exercising. By observing different exercise intensities, you will be able to see how the functionality of the cardiovascular system progressively changes.
Measure several cardiovascular variables
In the simulation, you will measure the blood pressure of your study subject, like you would in real life. You will also determine systolic and diastolic blood pressure by using a sphygmomanometer. You can listen to the blood flowing through the arteries with the stethoscope as many times as you want, until you find the study subject’s blood pressure. You will also be able to measure heart rate, stroke volume and cardiac output thanks to the advanced doppler ultrasound machine.
Run an experiment with several study subjects
Last, you will run an experiment with several study subjects at once. You will measure the above mentioned variables in patients at different exercise intensities, giving you a clear picture of how the functionality of the cardiovascular system changes with exercise intensity, and perhaps letting you discover mechanisms that you didn’t even know existed…
</t>
  </si>
  <si>
    <t xml:space="preserve">Our cells get their energy from cellular respiration. In this simulation, the student will visualize the different steps and cycles of cellular respiration through interactive and animated 3D models, and they will make use of experimental techniques to study how cellular respiration and metabolisim relate to the blood concentration of different substances. (internal notes
)
3D visualisation of the release of a phosphate group from ATP to aid understanding of phosphorylation during glycolysis. (6.00 in screencast) (Visualisation)
3D visualisation of the release of a phosphate group from ATP to aid understanding of phosphorylation during glycolysis. (6.00 in screencast) (Visualisation)
Interactive way to learn each step of the Krebs cycle via a mini game with step-by-step explanations. (10.20 in screencast) (Visualisation, Game-like, Learn by doing)
Interactive way to learn each step of the Krebs cycle via a mini game with step-by-step explanations. (10.20 in screencast) (Visualisation, Game-like, Learn by doing)
Animation giving a clear overview of the flow of events in the electron transport chain (which in a 2D diagram can be much more confusing). (15.06 in screencast) (Visualisation, Animation)
Animation giving a clear overview of the flow of events in the electron transport chain (which in a 2D diagram can be much more confusing). (15.06 in screencast) (Visualisation, Animation)
</t>
  </si>
  <si>
    <t>a0Kw000000JFn8UEAT</t>
  </si>
  <si>
    <t>Chemistry Safety</t>
  </si>
  <si>
    <t>CSL</t>
  </si>
  <si>
    <t>https://api2.labster.com/simulation/a0Kw000000JFn8UEAT/play</t>
  </si>
  <si>
    <t>French (Canada)
German
Spanish
French
Italian
English (United States)</t>
  </si>
  <si>
    <t>Understand how to create biodiesel from algal oil
Identify the hazards posed by chemicals and how to handle them
React quickly and save lives in case of a fire emergency
Use the CAS numbers to plan your experiment
Understand how to dispose of halogenated and non-halogenated waste
Lookup H and P phrases in the safety data sheet
Safely use a chemical fume hood</t>
  </si>
  <si>
    <t xml:space="preserve">Go on a mission to produce sustainable biodiesel and learn how to safely work with dangerous chemicals without any risk of getting hurt.
</t>
  </si>
  <si>
    <t xml:space="preserve">Are you ready to work in a chemistry lab? In the Chemistry Safety simulation, you will learn how to safely work with organic solvents. Experiment with dangerous chemicals and make mistakes without putting yourself in danger.
Biodiesel for a greener world
We need to find sustainable fuel sources to reduce CO2 emissions and battle climate change. Your mission in the Chemistry Safety lab is, therefore, to find an effective process for producing biodiesel from algal oils. Can you figure out how to convert oil into diesel?
Fumes in the fume hood
In the Chemistry Safety lab, you’ll get to work with methanol, a volatile organic solvent. This means you need to work in a chemical fume hood. Learn how to set up your reaction in the fume hood and dispose of solvents in the organic waste. Look up the physical properties of your reactants in the safety data sheet to make sure your reaction will be successful.
Dangers in the lab
In the Chemistry Safety lab, you’ll learn to identify the hazards posed by the different chemicals that you are using, which is a very important step in the planning of every experiment.
Just like in the real world, things will get nasty if you make mistakes while working with dangerous chemicals.
Are you ready to react quickly in case of an emergency, and will you be able to apply your chemistry safety knowledge correctly?
</t>
  </si>
  <si>
    <t>a0K2X00000h4NFMUA2</t>
  </si>
  <si>
    <t>Cellular Respiration: Measuring energy consumption during exercise</t>
  </si>
  <si>
    <t>CRV</t>
  </si>
  <si>
    <t>https://api2.labster.com/simulation/a0K2X00000h4NFMUA2/play</t>
  </si>
  <si>
    <t>Danish
German
Spanish
French
Italian
English (United States)</t>
  </si>
  <si>
    <t>Respirometry
Measure and analyze blood glucose and lactic acid concentrations</t>
  </si>
  <si>
    <t>Explain the structural changes of glucose and ATP during glycolysis
Analyze blood glucose and lactic acid concentrations of athletes before and after exercise
Determine electron carrier products of the Krebs cycle
Understand the role of the electron transport chain in generating ATP
Experiment on oxygen consumption in mice at various exercise intensities</t>
  </si>
  <si>
    <t xml:space="preserve">Help basketball players understand how the food they eat gets converted to energy through glycolysis, the Krebs cycle and the electron transport chain. Use a mouse model to experiment on the effect of exercise intensity on oxygen and glucose consumption.
</t>
  </si>
  <si>
    <t xml:space="preserve">What does it mean to work up an appetite? In this simulation, you will learn about how we metabolize glucose through aerobic and anaerobic respiration. You will be taken through the three stages of cellular respiration: glycolysis, the Krebs cycle and the electron transport chain.
Evaluate cellular respiration through exercise
Beginning by outlining the structural changes that take place during phosphorylation and glycolysis, you will identify the important products of the Krebs cycle and follow their electrons through the electron transport chain. Then, you will apply what you have learned about cellular respiration to experiments on exercise intensity and oxygen consumption using a mouse model.
Respirometry and blood sample analysis
You will measure cellular respiration by analyzing the blood glucose and lactic acid concentrations of basketball players throughout their game. This data will be compared to experimental exercise data collected using a mouse model and respirometry. The experimental portion of this simulation is supported with strong theoretical explanations of the central steps of glycolysis, phosphorylation and the Krebs cycle using 3D molecules and interactive feedback. The simulation includes an immersive experience of jumping inside mitochondria that demonstrates how protein complexes in the inner membrane of the mitochondria contribute to the electrochemical gradient used by ATP synthase to generate ATP.
Help athletes perform during exercise
Experiment using a mouse model to understand the role of glucose, lactic acid and oxygen during exercise. Apply your knowledge from mouse experiments and of glycolysis, the Krebs cycle and the electron transport chain to help basketball players perform their best during their game.
</t>
  </si>
  <si>
    <t xml:space="preserve">Storyline
Storyline
Thing 1
3D visualization of the release of a phosphate group from ATP to aid understanding of phosphorylation during glycolysis (6min)
</t>
  </si>
  <si>
    <t>6.6 Hormones, homeostasis and reproduction
Biology D.5 Hormones and metabolism</t>
  </si>
  <si>
    <t>a0K2X00000qxA6YUAU</t>
  </si>
  <si>
    <t>Cardio-respiratory Physiology: How can seals dive so deep for so long?</t>
  </si>
  <si>
    <t>CRS</t>
  </si>
  <si>
    <t>https://api2.labster.com/simulation/a0K2X00000qxA6YUAU/play</t>
  </si>
  <si>
    <t>Use a metabolic dome and oxygen analyzer to collect oxygen consumption data
Interpret an ECG
Catheter insertion and blood collection at different time points
Data analysis through calculations and results interpretation (calculate total oxygen stores, aerobic dive limit, oxygen consumption, and ATP generation from aerobic and partially anaerobic dives)</t>
  </si>
  <si>
    <t>Explain physiological adaptations of the cardio-respiratory system of seals to deep diving
Point out differences between human and seal physiology during long, deep dives without oxygen
Evaluate respiratory and cardiovascular function
Measure oxygen consumption and calculate the total amount of oxygen needed for dives of various durations, and compare this to estimated oxygen stores in the lungs, blood, and tissues of seals
Use graphing approaches to relate type of exercise to metabolic and heart rates
Compare energy costs of different forms of locomotion</t>
  </si>
  <si>
    <t xml:space="preserve">Monitor three dives of a Weddell seal in Antarctica and discover how long it can dive with the oxygen available in its stores.
</t>
  </si>
  <si>
    <t xml:space="preserve">How Weddell seals can dive up to 600 meters and for over 30 minutes is a bit of a mystery. In this simulation, you will learn about oxygen stores, aerobic dive limit, aerobic and partially anaerobic ATP generation, and special cardio-respiratory adaptations that allow seals to perform deep, long dives that would be impossible for humans without scuba diving equipment.
Monitor seal dives in Antarctica
Welcome to the Labster research station in Antarctica! Here, you will join our team and help monitor Weddell seal dives to study what cardio-respiratory adaptations seals possess to be able to dive so deep and for such a long amount of time. Humans and seals have different amounts of oxygen available to them, and they also store it at different proportions in lungs, blood and muscle. Do seals and humans have the same factorial increase in oxygen consumption? Monitor three dives and collect data on consumed oxygen and blood lactate to find out.
Get a puzzle piece for each calculation you get right
You will equip a Weddell seal with a camera, instruments pack and catheter for blood collection, and watch it dive and come back up to the surface of the hole in the ice in the research hut. Through fun mini-games, you will calculate available oxygen, aerobic dive limit and ATPs generated during aerobic and partially anaerobic dives. For each correct result, you will get a piece of the puzzle!
Swim with a seal
At the end, when you have all your puzzle pieces, your reward will be an interactive dive with the seal. You will be able to see a summary of its main cardio-respiratory adaptations to diving.
Will you be able to guess them before you click the different parts?
</t>
  </si>
  <si>
    <t>Biology D.6 Transport of respiratory gases
6.4 Gas exchange</t>
  </si>
  <si>
    <t>a0K2X00000u17gaUAA</t>
  </si>
  <si>
    <t>Cellular Respiration (Principles): Measure energy consumption during exercise</t>
  </si>
  <si>
    <t>CRH</t>
  </si>
  <si>
    <t>https://api2.labster.com/simulation/a0K2X00000u17gaUAA/play</t>
  </si>
  <si>
    <t>HS-LS1-2, HS-LS1-7, HS-LS2-3</t>
  </si>
  <si>
    <t>Analyze blood glucose and lactic acid concentrations of athletes before and after exercise
Outline the relationship between the cell, mitochondria and cellular respiration
Compare aerobic and anaerobic cellular respiration
Understand the role of glycolysis, the Krebs cycle and the electron transport chain in generating ATP
Experiment on oxygen consumption in mice at various exercise intensities</t>
  </si>
  <si>
    <t xml:space="preserve">Help local basketball players understand how the food they eat gets converted to energy through cellular respiration. Use a mouse model to find out what effect exercise intensity has on oxygen and glucose consumption.
</t>
  </si>
  <si>
    <t xml:space="preserve">What does it mean to work up an appetite? In this simulation, you will learn how humans metabolize glucose through aerobic and anaerobic respiration. You will learn about the three stages of cellular respiration: glycolysis, the Krebs cycle and the electron transport chain.
Evaluate cellular respiration through exercise
You will begin by outlining the different stages of cellular respiration and study how they relate to the cell and its organelles.Then you will identify the important products of glycolysis, the Krebs cycle and the electron transport chain. As you follow the process, you will see how the cell’s main energy carrier, ATP, is produced from glucose. Finally, you will apply what you have learned about cellular respiration in a number of experiments where you will find out what effect exercise intensity has on oxygen and glucose consumption using a mouse model.
Respirometry and blood sample analysis
Next, you will measure cellular respiration by analyzing the blood glucose and lactic acid concentrations of basketball players during a game. This data will be compared to experimental exercise data collected using a mouse model and respirometry.
The experimental portion of this simulation is supplemented by an overview of the central steps of glycolysis, phosphorylation and the Krebs cycle and mitochondria using 3D visualizations and interactive feedback.
Help athletes perform during exercise
Experiment using a mouse model to understand the role of glucose, lactic acid and oxygen during exercise. Apply your knowledge from mouse experiments and of glycolysis, the Krebs cycle and the electron transport chain to help basketball players perform their best during their game.
</t>
  </si>
  <si>
    <t xml:space="preserve">Our cells generate energy via cellular respiration. In this simulation, the student will visualize the three stages of cellular respiration and by experimental techniques, determine their impact on different substances in blood. The student will perform experiments under different environmental conditions to analyse the impact of exercise on cellular respiration. (internal notes
)
The user can interact with the story line by picking up the phone and hearing about the exercising basetball players for an interactive way of collecting and inputting data. (9:19 in screencast) (Game-like, Experiment)
The user can interact with the story line by picking up the phone and hearing about the exercising basetball players for an interactive way of collecting and inputting data. (9:19 in screencast) (Game-like, Experiment)
Mitochondria are introduced via a 3D model of a cell where the user is asked to identify a mitochondrion. (11:36 in screencast) (Visualisation, learn by doing)
Mitochondria are introduced via a 3D model of a cell where the user is asked to identify a mitochondrion. (11:36 in screencast) (Visualisation, learn by doing)
Add an oxygen sensing microchip into a mouse, edit the enviromental conditions and monitor the oxygen consumption in real-time. Addresses ethical concerns &amp; expense of live animal experiment (16:04 in screencast) (Lab Technique, Experiment, Game-like)
Add an oxygen sensing microchip into a mouse, edit the enviromental conditions and monitor the oxygen consumption in real-time. Addresses ethical concerns &amp; expense of live animal experiment (16:04 in screencast) (Lab Technique, Experiment, Game-like)
</t>
  </si>
  <si>
    <t>8.2 Cell respiration
8.1 Metabolism</t>
  </si>
  <si>
    <t>Unit 3: Cellular Energetics</t>
  </si>
  <si>
    <t>a0K2X00000jGLfbUAG</t>
  </si>
  <si>
    <t>Competition: Learn to identify and quantify competition between species</t>
  </si>
  <si>
    <t>CPT</t>
  </si>
  <si>
    <t>https://api2.labster.com/simulation/a0K2X00000jGLfbUAG/play</t>
  </si>
  <si>
    <t>HS-LS2-1
HS-LS2-2
HS-LS4-2</t>
  </si>
  <si>
    <t>de Wit replacement series</t>
  </si>
  <si>
    <t>Identify competition between species and quantify the strength of competition between two species
Establish evidence of competition in an agricultural environment</t>
  </si>
  <si>
    <t xml:space="preserve">Help the residents in Astakos IV to increase the yield of their crops by reducing the competition between different species.
</t>
  </si>
  <si>
    <t xml:space="preserve">Competition. we are so used to that word nowadays, but what does it mean in ecology? In this simulation, you will learn how to identify and quantify competition between species on the newly discovered exoplanet Astakos IV.
Improve the yield of crops
You are on Astakos IV, the newly discovered exoplanet. The farmers on this planet have started to grow a newly discovered type of crop called Whean. But for some reason, the farmers are producing much less Whean than expected. Your task is to help out the farmers on Astakos IV find out why this is, and to improve their yield to ensure a sustainable source of food for the population.
Identify and quantify competition
Your next task will be to identify whether there is competition between species or not, and if there is, how it can be quantified. You will work in the Whean fields on the farms and in the new, amazing greenhouse on the planet. In real life, you would have needed months to make the plants grow, but in these virtual facilities, you will be able to quantify the competition between species in a matter of minutes!
Test your hypothesis
Last, you will test your experiment design skills in a number of different missions, and you will learn how to use de Wit replacement series to further analyze the competition between different species.
Will you be able to help out the farmers on Astakos IV to increase the yield of their crops?
</t>
  </si>
  <si>
    <t>Biology C: Ecology and Conservation
Potentially too high level, but could support:
Biology Unit 4: Ecology</t>
  </si>
  <si>
    <t>Unit 8: Ecology
Big Idea 4: Systems interactions
Potentially too high level, but could support:</t>
  </si>
  <si>
    <t>a0K2X00000d2IAYUA2</t>
  </si>
  <si>
    <t>Organic Chemistry Introduction: Learn about organic compounds</t>
  </si>
  <si>
    <t>COC</t>
  </si>
  <si>
    <t>https://api2.labster.com/simulation/a0K2X00000d2IAYUA2/play</t>
  </si>
  <si>
    <t>Bromine test for unsaturated hydrocarbons
Ceric Ammonium Nitrate test for alcohols and phenols</t>
  </si>
  <si>
    <t>Give examples of uses of organic compounds
Identify the carbon valence electrons and the hybridization of their orbitals
Predict the angles of covalent bonds of carbon atoms in hydrocarbons
Apply the nomenclature of simple hydrocarbons
Interpret some of the important representations of hydrocarbons
Give examples of functional groups of organic compounds and their reactions</t>
  </si>
  <si>
    <t xml:space="preserve">Learn about the structure, nomenclature and a few reactions of organic compounds, and use this knowledge to help out your virtual friend Simon with some strange medicine!
</t>
  </si>
  <si>
    <t xml:space="preserve">What do all living things, and even some non-living things, have in common? They are all built from organic compounds! In the Organic Chemistry Introduction simulation, you will learn what an organic compound is. With your lab assistant Dr. One, you explore how organic compounds are structured, how we name them, and how we represent them in both 2D and 3D.
Test the functional groups
A central concept in Organic Chemistry is functional groups. You will use your acquired knowledge to help your friend, Simon, by determining if a medicine he has received can be trusted. Guided by Dr. One, you will carry out basic chemical tests to verify the functional groups this medicine contains, and learn about some of the ways organic compounds can react.
Make it react
The lab focuses on a high level of interactivity. When working with types of carbon bonds and their angles, you get to build your own 3D carbon molecules on our holotable. In the fume hood, you can make mistakes with the hazardous solutions without consequences, and become comfortable with the equipment we use. Quiz questions on-the-go ensure that you learn the essential points. You can also always look at the Theory pages to extend your knowledge further.
Solving the solutions
At the end of the Organic Chemistry Introduction simulation, you will have to combine the test results and your knowledge to solve the organic chemistry puzzle. Will you be able to identify the right functional groups in Simon’s medicine and make sure he will be okay when taking it?
</t>
  </si>
  <si>
    <t>a0Kw000000JFc6ZEAT</t>
  </si>
  <si>
    <t>ChIP-exo</t>
  </si>
  <si>
    <t>CHI</t>
  </si>
  <si>
    <t>https://api2.labster.com/simulation/a0Kw000000JFc6ZEAT/play</t>
  </si>
  <si>
    <t>DNA editing
PCR
Immunodetection
Sonication
Cell lysis
Immunoprecipitation</t>
  </si>
  <si>
    <t>Understand the use of exonuclease treatment in ChIP-exo technique.
Understand the key steps for performing the ChIP-exo technique as well as the importance of each reagent:
Adding formaldehyde to the culture to fix the bonds between proteins and DNA.
Lysing the cells using lysozyme and sonication.
Addition of specific antibodies.
Use of magnetic beads.
On-bead enzymatic modifications.
Off-bead enzymatic modifications.
Understand the molecular mechanism of ChIP-exo.</t>
  </si>
  <si>
    <t xml:space="preserve">Perform the chromatin immunoprecipitation with exonuclease treatment (ChIP-exo) protocol, and prepare the target DNA to learn how E. coli survive in acid stress conditions.
</t>
  </si>
  <si>
    <t xml:space="preserve">In the ChIP-exo simulation, you will perform the chromatin immunoprecipitation with exonuclease treatment (ChIP-exo) protocol in order to get a DNA sequence to elucidate the acid stress mechanism of Escherichia coli. You will learn how to fix the protein-DNA interactions and lyse the cells using a sonicator, add magnetic beads to the sample, and perform different on-bead and off-bead enzymatic modifications. From this, you will learn how the exonucleases work.
Will you be able to prepare the target DNA to understand how E. coli survive in acid stress conditions?
</t>
  </si>
  <si>
    <t>a0K2X00000h3axmUAA</t>
  </si>
  <si>
    <t>Bacterial Quantification by Culture</t>
  </si>
  <si>
    <t>CFU</t>
  </si>
  <si>
    <t>https://api2.labster.com/simulation/a0K2X00000h3axmUAA/play</t>
  </si>
  <si>
    <t>TM-Glasgow</t>
  </si>
  <si>
    <t>Serial dilution
Colony forming unit calculation
Learning
Aseptic Technique</t>
  </si>
  <si>
    <t>Set up a serial dilution of a bacterial culture and describe why they are used.
Calculate the cfu/ml from colonies counted on an agar plate, given the dilution factor and volume correction factor.
Set up an experiment and interpret your results.
Provide examples of why bacterial growth rates have to be measurable/ characterized</t>
  </si>
  <si>
    <t xml:space="preserve">Use the serial dilution technique to quantify the effect of a novel antibiotic compound on bacterial growth.
</t>
  </si>
  <si>
    <t xml:space="preserve">Did you know that it’s possible to count bacteria with your naked eye? In this simulation, you will learn how to quantify bacteria using the process of serial dilution.
Find a novel antibiotic compound
Your colleague has just returned from an expedition to the Amazon rainforest, and has brought back a promising sample; a fungus that seems to inhibit bacterial growth. Your mission is to quantify the effect of this antibiotic compound on bacterial growth. But, you will only be able to succeed if you manage to combine smart experimental design, some simple mathematics, and proper microbial culture techniques.
Inquiry-based approach to quantify bacteria
Figure out how to quantify the bacterial cells by inquiry-based learning. You will learn much more by trial and error, and if you are up for the challenge you will be rewarded with some extra questions. Don’t worry, your virtual assistant, Dr. One, will be ready to answer your questions and guide you through the steps needed to perform the serial dilution. Make sure you use sterile techniques to avoid contaminating your bacterial cultures!
Don’t waste time and agar plates
In a real lab, this experiment would take a week or more to complete, but in this simulation it only takes 30 minutes! Plate out countless agar plates in order to quantify the colonies from your serial dilutions, but don’t worry, not a single plate will be wasted. You will learn how to calculate the colony forming units per milliliter (cfu/mL) of your bacterial culture using a cfu calculator.
Quantify the bacterial growth
Last, you will incubate the bacterial culture with the antibiotic compound to quantify the effect of the compound on bacterial growth.
Will you be able to determine if the fungal compound can be used as a new antibiotic?
</t>
  </si>
  <si>
    <t>a0K2X00000qXuZaUAK</t>
  </si>
  <si>
    <t>Cell Culture Basics: Plate, split and freeze human cells</t>
  </si>
  <si>
    <t>CCG</t>
  </si>
  <si>
    <t>https://api2.labster.com/simulation/a0K2X00000qXuZaUAK/play</t>
  </si>
  <si>
    <t>Cell counting
Cell passaging
Cell culture
Cell cryopreservation</t>
  </si>
  <si>
    <t>Apply the aseptic technique and other good laboratory practices in a cell culture lab
Describe the minimum requirements to have an adequate cell environment that supports cell growth
Describe and perform the key steps when working with mammalian cells in vitro: thawing and plating; cell passaging; cell cryopreservation
Correctly use a biosafety cabinet and an automated cell counter</t>
  </si>
  <si>
    <t xml:space="preserve">Find out what it’s like to work in a cell culture laboratory. Learn how to use the aseptic technique to avoid contamination of your cells, and discover what it takes to keep them alive.
</t>
  </si>
  <si>
    <t xml:space="preserve">Did you know there are approximately 37 trillion cells in your body? In the Cell Culture Basics simulation, you will learn how to culture cells in a controlled environment. You will perform the different steps to keep them healthy by using a standard cell culture protocol for eukaryotic cells. For this purpose, you will also learn the aseptic technique.
Provide an extra vial of cells
In the Cell Culture Basics simulation, your lab assistant, Dr. One, is working on finding promising treatments for skin cancer. She is performing an experiment where she is using fibroblasts, but to complete the experiment, she needs more cells. Your goal is therefore to help her with the cell culture to grow more cells and store a vial for future tests.
Perform a cell culture passage
During the Cell Culture Basics lab, you will learn what the ideal physical and chemical conditions to grow eukaryotic cells are. You will also prepare the reagents needed to support the growth of cells. You will work in a biosafety cabinet and discover how to use the aseptic technique to avoid any undesired contamination in your cell culture.
Watch your cells grow—fast
Unlike in a real lab, you don’t need to wait for hours and hours to see how the fibroblasts you seed will grow. Instead, in this virtual simulation, you can fast-forward the process and make it grow in just a couple of seconds! You can use a phase contrast microscope to visualize your cell culture and identify different cell morphologies. When your cells have reached the desired growth, you will use trypsin to unravel the secrets of a cell culture passage.
Analyze cell viability and freeze cells
As your final task in the Cell Culture Basics simulation, you will analyze the viability of your cell culture using the Trypan blue exclusion stain and an automatic cell counter. After that, you will prepare a new vial of cells to be cryopreserved using DMSO as a cryopreservation agent.
Will you be able to provide a vial of healthy cells for the cancer research experiments?
</t>
  </si>
  <si>
    <t>a0K2X00000d2VH2UAM</t>
  </si>
  <si>
    <t>Cancer Pharmacology: Provide recommendations in a multi-million dollar project</t>
  </si>
  <si>
    <t>CAP</t>
  </si>
  <si>
    <t>https://api2.labster.com/simulation/a0K2X00000d2VH2UAM/play</t>
  </si>
  <si>
    <t>Pharmacology</t>
  </si>
  <si>
    <t>Cell counting
EC50 determination
Drug treatment of cancer cells
MTT assay</t>
  </si>
  <si>
    <t>Understand the principles and limitations of chemosensitivity testing in the context of in vitro based anticancer drug screening
Conduct, analyze and interpret in vitro chemosensitivity tests using the MTT assay
Evaluate the advantages and disadvantages of chemosensitivity tests for in vitro based screening programs
Prepare cell cultures for chemosensitivity testing
Determine viable cell numbers using an automated cell counter
Conduct the MTT assay to assess cell survival following drug exposure
Generate dose response curves and determine half-maximal effective concentration (EC50) values
Interpret the results obtained in the chemosensitivity assay
Understand the mechanisms of action of cyclophosphamide and epirubicin</t>
  </si>
  <si>
    <t xml:space="preserve">Review the usefulness of a multi-million dollar operation to identify potential drugs for cancer chemotherapy, and provide your recommendations to the Project Leader.
</t>
  </si>
  <si>
    <t xml:space="preserve">In this simulation, you will learn which tools are needed to screen thousands of chemical compounds in order to identify promising candidates for the treatment of different types of cancer. In particular, you will gain insight into the principles and limitations of widely used in vitro assays in the context of anti-cancer drug screenings. As a pharmacology expert, you will test the robustness of those commonly used techniques and help a screening facility to assess the risk for false negative results.
Prepare cells and drugs for chemosensitivity testing
Your main task in the Cancer Pharmacology simulation is to reproduce the screening facility’s chemosensitivity in vitro protocol to investigate the cause of false negative results. The protocol in question is a widely used cell survival assay using MTT reagent and performed with conventional cancer cell lines. The Project Leader suggests to perform the test with two well-known chemotherapy drugs: epirubicin and cyclophosphamide. In this part of the simulation, you will learn how to perform common steps of chemosensitivity testing and learn about basic pharmacology tools. Most importantly, you will count living cells of a cell culture solution and calculate how much of the culture you need for your experiment. You will also prepare stock solutions of both drugs with a given concentration to create a dilution series for the treatment of the cancer cells.
Perform the MTT assay
Once the cells have been prepared and incubated with the drugs, it is time to use MTT as a cell survival indicator. You will be able to follow on a molecular level how MTT specifically reacts with mitochondrial enzymes leading to a color colorimetric change that can be measured with a spectrophotometer. In this mission, you will work with a multi-channel pipette and 96 well plates to perform the assay as used in many pharmacology labs worldwide.
Determine EC50 and interpret your results
The result of the serial drug dilution in the MTT assay will provide the basis for creating a dose-response curve and for determining the half-maximal effective concentration (EC50) of both clinically used drugs. Which recommendations will you provide the Project Leader with about the usefulness of the commonly applied in vitro assays?
</t>
  </si>
  <si>
    <t>a0K2X00000jGm8hUAC</t>
  </si>
  <si>
    <t>Basic Chemistry Thermodynamics: Solve the challenge of storing renewable energy</t>
  </si>
  <si>
    <t>CAL</t>
  </si>
  <si>
    <t>https://api2.labster.com/simulation/a0K2X00000jGm8hUAC/play</t>
  </si>
  <si>
    <t>HS-PS3-1
HS-PS3-2
HS-PS3-3
HS-PS3-4
HS-PS2-1
HS-PS2-2</t>
  </si>
  <si>
    <t>Define the core thermodynamics concepts of entropy, enthalpy, and free Gibbs energy, and their units
Explain the first and second laws of thermodynamics
Understand and apply the concept of reaction spontaneity
Explain the differences between the enthalpy of combustion, and enthalpy of formation
Understand the relationship between internal energy and enthalpy
Present Hess’s law in connection with performing enthalpy change calculations
Present the concepts of exothermic and endothermic reactions</t>
  </si>
  <si>
    <t xml:space="preserve">Learn the core concepts of thermodynamics and apply the technique of bomb calorimetry to help solve the challenge of storing renewable energy.
</t>
  </si>
  <si>
    <t xml:space="preserve">Energy is one of the great subject matters of our time, but what is energy actually? In this simulation you will learn the fundamental thermodynamic concepts of enthalpy, entropy and Gibbs free energy. You will also determine the internal energy of a chemical compound by using bomb calorimetry, and you’ll even travel inside the calorimeter to see it in action!
The challenge of storing energy
What is the best way to store energy? There is no simple answer, but in this simulation, you will be encouraged to give it some thought while learning about the very nature of energy and how it connects to chemical reactions. You will assess whether the gasoline component octane is a suitable chemical for energy storage by using a bomb calorimeter.
The fundamental concepts of thermodynamics
The first and second laws of thermodynamics and the core concepts of enthalpy, entropy and Gibbs free energy are introduced in this simulation. You can play around with the energy levels of reactants and products on a virtual energy surface to learn about endothermic and exothermic reactions. The concept of reaction spontaneity is linked to the concept of Gibbs free energy and its temperature dependence is explored in an interactive game. You will have access to a state-of-the-art bomb calorimeter and can travel inside to see it in action, in order to really be able to understand how it works. From here the concept of chemical bond energy is linked to the thermodynamic calculations of enthalpy on the calorimeter output.
Combine theory and practice
Throughout the simulation you will combine the fundamental teachings of thermodynamics with the experimental results from the calorimeter.
Will you be able to suggest a solution for the energy storage challenge?
</t>
  </si>
  <si>
    <t>5.1 Measuring energy changes
5.2 Hess’s Law
5.3 Bond enthalpies</t>
  </si>
  <si>
    <t>6.3 Heat Transfer and Thermal Equilibrium
6.2 Energy Diagrams
9.3 Gibbs Free Energy and Thermodynamic Favorability
6.9 Hess's Law
6.4 Heat Capacity and Calorimetry
6.7 Bond Enthalpies
6.6 Introduction to Enthalpy of Reaction
6.8 Enthalpy of Formation
9.5 Free Energy and Equilibrium
6.1 Endothermic and Exothermic Processes</t>
  </si>
  <si>
    <t>a0Kw000000UXAUcEAP</t>
  </si>
  <si>
    <t>Bacterial Isolation</t>
  </si>
  <si>
    <t>BIS</t>
  </si>
  <si>
    <t>https://api2.labster.com/simulation/a0Kw000000UXAUcEAP/play</t>
  </si>
  <si>
    <t>Plate streaking
Colony screening
Sterile technique</t>
  </si>
  <si>
    <t>Understand the importance of bacterial growth for the investigation of pathological microorganisms
Work under aseptic techniques
Understand the concept of a single colony
Perform plate-streaking techniques
Use selective media for isolation purposes</t>
  </si>
  <si>
    <t xml:space="preserve">Learn about the proper techniques of isolating single colonies from a culture sample, how to use aseptic techniques and how to perform plate streaking.
</t>
  </si>
  <si>
    <t xml:space="preserve">In the Bacterial Isolation simulation, you will investigate the cause of a contamination of poultry meat by a dangerous bacteria strain that is resistant to common antibiotics. After taking samples from the chicken farm, you will work in the virtual laboratory to isolate single colonies of the deadly bacteria among a variety of different species. To do so, you will learn how to work under sterile conditions, and you will be able to practice and perfect your plate streaking technique.
Identifying ampicillin resistant bacteria
The premise of the Bacterial Isolation lab is a report of ampicillin resistant bacteria in poultry meat. You will visit the place of origination, a chicken farm, in hopes of identifying the bacteria strain. The first task is to take a sample, which will contain a variety of bacterial strains, and from that, you must identify which strains are resistant to ampicillin by isolating single colonies
Aseptic technique
In the Bacterial Isolation lab, you will learn how to use aseptic techniques—for example, remembering to turn on the Bunsen burner and sterile their loop in between streaks.
Plate streaking technique
In order to identify the specific bacteria strain, you will have to perform bacterial isolation using the plate streaking technique. There is an unlimited supply of agar plates, giving you the opportunity to practice this technique as many times as you like. Results are given immediately, as opposed to waiting a full 24 hours for incubation, as when performed in reality. You will also streak a special Salmonella Shigella agar. The Salmonella Shigella agar contains a certain medium that only promotes growth of Gram-negative strains. Each of the different strains will exhibit a certain phenotype when grown on the Salmonella Shigella agar. By using this information you can identify the specific strain that is resistant to ampicillin. The sample will then be sent for further analysis to fully confirm the identity.
Will you be able to complete the task with your knowledge on bacterial isolation and successfully isolate the dangerous bacterial strain?
</t>
  </si>
  <si>
    <t>B.1 Microbiology: organisms in industry
Biology 6.3 Defence against infectious disease</t>
  </si>
  <si>
    <t>a0K2X00000n0dMGUAY</t>
  </si>
  <si>
    <t>Bacterial Growth Curves: Experiment with bacterial growth</t>
  </si>
  <si>
    <t>BGL</t>
  </si>
  <si>
    <t>https://api2.labster.com/simulation/a0K2X00000n0dMGUAY/play</t>
  </si>
  <si>
    <t>Aseptic Technique</t>
  </si>
  <si>
    <t>Use given data to plot a growth curve on a semi-logarithmic scale
Recognize the different phases of bacterial growth (lag, exponential, stationary, decline)
Learn how the growth rate can be calculated from a growth curve</t>
  </si>
  <si>
    <t xml:space="preserve">Learn about the mind-boggling speed of exponential growth and test how different growth conditions affect bacterial growth.
</t>
  </si>
  <si>
    <t xml:space="preserve">From a single cell to billions of bacteria in just a few hours…
In this simulation, you will experiment with bacterial growth and test the impact of different factors on bacterial growth. Will you be able to plot the bacterial growth and determine the different growth phases?
Find new antibiotics
This simulation is the sequel to the Bacterial Quantification by Culture simulation. In this simulation, your friend just came back from an expedition in the Amazon rainforest. One of her samples contains a fungi that seems to kill bacteria cells. Your goal is to determine if the fungal compound is effective in reducing the bacterial growth. If your experiment is successful, your findings might be used to create a novel drug that has the potential to save lives!
Plot bacterial growth curves
Your first task is to grow E. coli with the fungal compound and plot the bacterial growth. Your job is to determine the different phases of bacterial growth. This simulation allows you to experiment freely and set up your own experiment to determine the effect of temperature on bacterial growth.
Learn efficiently without creating waste
In a real lab, this experiment would take more than a week to complete and you would waste countless agar plates. But in a virtual lab, the tedious process of plating and counting the colonies can be skipped, and you can to analyze growth curves in only 30 minutes!
Will you be able to use these methods to find a compound that could be used as an antibiotic?
</t>
  </si>
  <si>
    <t>a0K2X00000n0hbhUAA</t>
  </si>
  <si>
    <t>Behavioral Thermoregulation: Help keep a gecksi alive!</t>
  </si>
  <si>
    <t>BET</t>
  </si>
  <si>
    <t>https://api2.labster.com/simulation/a0K2X00000n0hbhUAA/play</t>
  </si>
  <si>
    <t>Energy and temperature budget analysis</t>
  </si>
  <si>
    <t>Explain changes in microclimate over small spatial scales and predict how this would influence the energy and water budgets of an organism
Identify ways that an organism can regulate its body temperature in a given environment and discuss the costs and benefits of each strategy
Predict and analyze the thermoregulatory behavior of an animal in a natural environment</t>
  </si>
  <si>
    <t xml:space="preserve">Life is hard when you need to constantly work to maintain your body temperature and keep your energy levels in check. Think like a gecksi, make wise choices and try to keep the gecksi alive in three challenging environments!
</t>
  </si>
  <si>
    <t xml:space="preserve">Gecksis need to constantly make decisions to maintain body temperature as well as water and energy levels within physiological ranges. In this simulation, you will learn about the different behaviors that can be adopted to achieve thermoregulation and then put your knowledge to the test in death-defying scenarios. Best of luck!
Collect data to build a biodome
On a newly discovered exoplanet similar to Earth, Astakos IV, there are many exciting organisms to be studied. A biodome will be built on Earth to showcase all this biodiversity, but first we need to learn about the specific habitat requirements and physiological ranges for each organism, so that you can create the optimal conditions. One such organism, the gecksi, is able to live in three different environments by performing a variety of behaviors in order to regulate its body temperature.
Watch out for that predator!
Once you have learned the basics about gecksis and thermoregulation, you will be challenged to keep a gecksi alive within appropriate ranges of temperature and energy. You will begin your work in the desert, where there isn’t a lot of shade, food or water. Then, in the shrubland, a richer environment, the gecksi has more to choose from: rocks to bask on, nests to cool down in, and tastier food. Changing color to retain more or less heat is also a cool trick that it can do! The final environment, the forest, looks very safe and has lots of food, but in order to warm up, the gecksi must venture out into the sunny clearing, where predators lurk. Will you be able to keep the gecksi healthy and escape the predators?
Models versus real life
After having experienced what it’s like to be a gecksi, you will be familiar with research using modelling to predict thermoregulatory behavior and know how that compares to behavior of real organisms in the field.
</t>
  </si>
  <si>
    <t xml:space="preserve">Take control of an ectothermal organism and move the organism through the terrain. It's a very gamified mechanic that makes students apply their knowledge. You do this in a few different environments (6:00 in screencast) (Game-like, Learn by doing) 
Take control of an ectothermal organism and move the organism through the terrain. It's a very gamified mechanic that makes students apply their knowledge. You do this in a few different environments (6:00 in screencast) (Game-like, Learn by doing) 
</t>
  </si>
  <si>
    <t>Big Idea 4: Systems interactions
Potentially too high level, but could support:</t>
  </si>
  <si>
    <t>a0K2X00000jGVCEUA4</t>
  </si>
  <si>
    <t>Biodiversity: Assess and compare biodiversity on an exoplanet</t>
  </si>
  <si>
    <t>BDS</t>
  </si>
  <si>
    <t>https://api2.labster.com/simulation/a0K2X00000jGVCEUA4/play</t>
  </si>
  <si>
    <t>High level content, could support HS-LS2-2, HS-LS2-7</t>
  </si>
  <si>
    <t>Elevational biodiversity gradient
Pitfall trap
Biodiversity index
Camera trap
Quadrat</t>
  </si>
  <si>
    <t>Sample for biodiversity
Use Quadrat, camera trap and Pitfall traps
Assess and compare biodiversity using the biodiversity index.
Identify species with a dichotomous key
Prioritize sampling</t>
  </si>
  <si>
    <t xml:space="preserve">Travel to the exoplanet Astakos IV and use ecological methods to assess and compare biodiversity over time and between different sites.
</t>
  </si>
  <si>
    <t xml:space="preserve">Wherever you look, nature is full of animals, plants and other organisms. In this simulation, you will learn basic methods to assess and compare biodiversity.
Explore the biodiversity on an exoplanet
No matter where you live, we can guarantee you that the organisms you will find in on the exoplanet Astakos IV will be alien and new to you! In this simulation, you will sample biodiversity in three different locations, from the desert lowlands to a forest in the mountains. Once back in the lab, you will use a dichotomous key to identify species, and compare the biodiversity between the three different sites.
Sample and identify organisms
In a virtual world, you can explore an entire planet without ever physically moving. In this virtual lab simulation, you get to explore three different biotopes to sample for biodiversity. In just 30 minutes you will learn how to collect and identify species. You can collect images with a camera trap and critters in a pitfall trap in a matter of minutes – something that would normally take hours or weeks to do!
Compare and asses biodiversity
At the end of the simulation, you will compare the biodiversity of the three different sites by using the biodiversity index. You will compare the elevational biodiversity gradient on the exoplanet with that found on earth. Will you be able to identify the alien species?
</t>
  </si>
  <si>
    <t>4.1 Species, communities and ecosystems
C.4 Conservation of Biodiversity</t>
  </si>
  <si>
    <t>High level content,could support Big Idea 4: Systems interactions</t>
  </si>
  <si>
    <t>a0K2X00000qKXTaUAO</t>
  </si>
  <si>
    <t>Bacterial Cell Structures: An introduction to the bacterial cell</t>
  </si>
  <si>
    <t>BAS</t>
  </si>
  <si>
    <t>https://api2.labster.com/simulation/a0K2X00000qKXTaUAO/play</t>
  </si>
  <si>
    <t>Describe the general bacterial cell structure and function, including differentiating between the most common shapes of bacteria and cell arrangements.
Describe the general bacterial cytoplasmic content and compare it to eukaryotic cytoplasmic content.
Describe special features of bacteria such as plasmids, flagella or inclusion bodies and how they are necessary for bacteria to survive.</t>
  </si>
  <si>
    <t xml:space="preserve">Visit a research station in Antarctica and help the researcher Nicolas explore bacteria in melting water. Uncover the features that are necessary for bacterial survival and compare these to other bacteria living elsewhere.
</t>
  </si>
  <si>
    <t xml:space="preserve">Global warming is causing the ice to melt in Antarctica, leading to the discovery of bacteria that have survived this extreme environment. In this simulation, you will learn about bacterial cell structures and how these are important for bacterial survival.
Identify bacteria in a sample from Antarctica
First you will collect a sample of melted ice from Antarctica that contains various bacteria. Your task is to investigate what is in the sample, and which bacterial cell structures are important for bacterial survival.
Study and assemble bacterial cell structures
In order to analyze your bacterial sample and to understand the bacterial cell’s internal and external structures, you will explore the motility features and shapes of bacteria in your sample. You will also compare the outer and inner bacterial cell structures to that of the Eukaryotic cell and assemble the cytoplasmic content of the bacterial and the Eukaryotic cell.
Apply your knowledge
Finally, you will compare your bacterial cell structures to other bacteria and learn which cellular structures are important for the bacteria to survive in extreme environments. Can you help the Arctic researchers decide which survival features they should study?
</t>
  </si>
  <si>
    <t>1.2 Ultrastructure of cells</t>
  </si>
  <si>
    <t>a0K2X00000vWw2bUAC</t>
  </si>
  <si>
    <t>Atomic Structure (Principles): Bohr and quantum models</t>
  </si>
  <si>
    <t>AT2</t>
  </si>
  <si>
    <t>https://api2.labster.com/simulation/a0K2X00000vWw2bUAC/play</t>
  </si>
  <si>
    <t>HS-PS1-1</t>
  </si>
  <si>
    <t>Compare and contrast the Bohr Model and the quantum model of the atom
Describe how the atomic emission spectra are produced using the Bohr model to explain this natural phenomenon
List the four quantum numbers and describe their significance</t>
  </si>
  <si>
    <t xml:space="preserve">Explore the atomic model, absorption and emission spectra, and how they reveal information about stars in galaxies far far away. 
</t>
  </si>
  <si>
    <t xml:space="preserve">Did you know that there are approximately 7 billion billion billion atoms in a grown human body? That number is higher than the estimated number of stars in the observable universe! In this simulation, you will investigate the atomic models and discover what unique properties they possess that allow us to study the universe.
Explore the history of the atom
To understand our surroundings, we must first understand its smallest building block, the atom. Embark on a journey that stretches from ancient Greece until today and learn how our understanding of the modern atomic model came to be.
Investigate Bohr and quantum 3D models
Explore the Bohr and Quantum atomic models on the holographic table to learn about their similarities and differences. You will learn why the bizarre nature of electrons led scientists to come up with the concepts of the four atomic quantum numbers.
Use your knowledge to help an astronaut
Get hands-on experience in an engaging minigame, where you interact with electrons to help an atom absorb and emit energy. Armed with the knowledge from all the previous learning activities, you will use the collected absorption spectra of a newly discovered star to analyze what elements it is composed of.
Will you be able to determine the atomic composition of a star?
</t>
  </si>
  <si>
    <t>2.1 The nuclear atom
2.2 Electron configuration</t>
  </si>
  <si>
    <t>AP Chemistry 1.5 Atomic Structure and Electron Configuration</t>
  </si>
  <si>
    <t>a0K2X00000vWvyxUAC</t>
  </si>
  <si>
    <t>Atomic Structure (Principles): Atoms and isotopes</t>
  </si>
  <si>
    <t>AT1</t>
  </si>
  <si>
    <t>https://api2.labster.com/simulation/a0K2X00000vWvyxUAC/play</t>
  </si>
  <si>
    <t>Explain the concept of an atom
Explain the properties of the basic subatomic particles: protons, neutrons, and electrons
Use of the nuclear symbol notation to deduce the number of protons, neutrons and electrons in atoms and ions.
Define atomic number and atomic mass
Define isotopes and explain how they relate to naturally occurring element mass
Describe how the atomic number and atomic mass apply to isotopes</t>
  </si>
  <si>
    <t xml:space="preserve">This is the principles (high school) version of the simulation. For a more advanced version please see “Atomic Structure: Assess the possibility of life on other planets”.
In a real research facility, you may end up provoking a nuclear fusion if the number of neutrons in the nucleus of an atom changed. In the Atomic Structure simulation, you will get the opportunity to decide what the nucleus of an atom looks like, and you will build anions, cations and various isotopes of an element from scratch. You will do this without the fear of causing a nuclear explosion!
Atoms and the subatomic particles
Everything you see around you is made up of atoms, and all atoms consist of subatomic particles. In the Atomic Structure simulation, you will learn the names and properties of the basic subatomic particles and understand how changing the number of electrons may charge an atom either positively or negatively.
Identify different elements from the periodic table
As a part of your mission, you will be teleported to an exoplanet to explore on your own, collect samples and come up with observations regarding the presence of life on the planet. Back in the laboratory, you will investigate the properties of the elements you brought back from the exoplanet. The periodic table will be close by to advise and guide you.
What is an isotope?
In order to understand the main properties of an isotope in the Atomic Structure simulation, you will use the holo-table. With the holo-table, you will be able to see a magnified atom of Lithium and get the chance to build different isotopes of the same element.
Are you ready to uncover whether life exists on other planets than Earth?
</t>
  </si>
  <si>
    <t xml:space="preserve">Students learn about atomic structure through interactive virtual activities. Students are able to construct multiple atoms and ions by picking up subatomic particles on the Holotable. Students then apply this knowledge by trying to identify a rock collected from an alien planet. They are helped by an interactive periodic table. (internal notes
)
Activity to virtually create an atom using subatomic particles (4:10 in screencast) (Visualisation, Game-like)
Activity to virtually create an atom using subatomic particles (4:10 in screencast) (Visualisation, Game-like) 
Teleporting to another planet on a rover mission to collect a rock sample. The sample is brought back to the lab for an experiment on elemental analysis. Interactive exploration of the periodic table (8:50 in screencast) (Game-like, Experiment)
Teleporting to another planet on a rover mission to collect a rock sample. The sample is brought back to the lab for an experiment on elemental analysis. Interactive exploration of the periodic table (8:50 in screencast) (Game-like, Experiment)
Lab experiment analysing alien rock sample, which suggests there could be life on the planet! We teleport back to the exoplanet and see an alien. (17:07 in screencast) (Experiment, Lab Technique)
Lab experiment analysing alien rock sample, which suggests there could be life on the planet! We teleport back to the exoplanet and see an alien. (17:07 in screencast) (Experiment, Lab Technique)
</t>
  </si>
  <si>
    <t>a0K2X00000jG6bfUAC</t>
  </si>
  <si>
    <t>Action Potential Lab: Experiment with a squid neuron</t>
  </si>
  <si>
    <t>APL</t>
  </si>
  <si>
    <t>https://api2.labster.com/simulation/a0K2X00000jG6bfUAC/play</t>
  </si>
  <si>
    <t>Voltage clamp
Current Clamp
Nernst Equation
Making a microelectrode
Action potential measurement</t>
  </si>
  <si>
    <t>Calculate  membrane equilibriums and membrane potential using the Nernst equation
Learn the ionic and electrical characteristics of each phase of an action potential.
Understand the role voltage-gated channels play in determining the shape of an action potential
Measure the resting membrane potential and then observe an action potential.
Record membrane current under voltage clamp
Record membrane voltage under current clamp at different concentrations of extracellular sodium and potassium
Observe the shape of action potentials when the neuron is exposed to different  ion channel blockers</t>
  </si>
  <si>
    <t xml:space="preserve">Dissect a squid and use its giant neuron to witness the propagation of information in the shape of an action potential created by an electric current. Use this information to identify a neurotoxin affecting a hospitalized patient.
</t>
  </si>
  <si>
    <t xml:space="preserve">Did you know that nerve cells propagate an electric signal along their own membrane to transfer information? They are called action potentials, and in this simulation you will use a squid’s giant neuron to learn about the molecular mechanisms behind this phenomenon. You will learn to recognize the typical shape of an action potential, but also to describe the driving forces behind each of its different phases.
Identify a neurotoxin from its effect on a nerve
In this simulation your mission is to help out a hospital who just received a patient with severe food poisoning. A sample from the patient has revealed the presence of a neurotoxin, and they need you to identify it as soon as possible. To find out how, you will first dissect a giant squid to extract the neuron to use as a model, and then study the neuron membrane with electric currents. Once you understand how action potential works on the membrane of a neuron, you will compare the effect of existing neurotoxins with your sample for identification.
Observe and test a neuron with electric currents
To study the axon of a nerve, you will reproduce the historically famous experiment of Dr Hodgkin and Dr Huxley, which was rewarded with a Nobel Prize, by setting the neuron in a test chamber to trigger action potentials with electric currents. You will learn about ion flows and calculate the resulting membrane equilibrium and membrane potential. Using the current clamp and voltage clamp techniques, you will identify the mechanisms behind each stage of an action potential. Once you have a good grasp of the concept of membrane potentials, you will be transported inside an axon to define the precise chain of actions leading to an action potential. Finally, you will test three different neurotoxins and analyze their effects on action potentials to deduce their most probable mode of action.
Identify the neurotoxin by its mode of action
To uncover which neurotoxin affects the hospitalized patient, you will have to compare its effect on the neuron’s action potential with three other drugs, and come up with a hypothesis about how it deregulates the neuron’s ability to transmit a signal.
Will you be able to help out the sick patient?
</t>
  </si>
  <si>
    <t xml:space="preserve">Cool simulation. The definite highlight is the animation that allows the student to explore voltage gated ion channels inside the axons, and engages them to click on the right ion channel to generate an action potential. They also need to dissect a squid and use its giant neuron to witness the propagation of information in the shape of an action potential created by an electric current and use this information to identify a neurotoxin affecting a hospitalized patient. There are a lot of screen activities where they to click on different settings and understand how the graph on the wall (an action potential) changes. This might be a little difficult for some students and I can image they find it hard to progress if they haven't understood the concept of action potential completely.			
Dissect a giant squid and learn about it's giant axon and resting membrane equilibriums
Dissect a giant squid and learn about it's giant axon and resting membrane equilibriums
Animation inside a neuron of an axon. Generate an axon potential by click on the right ion channels
Animation inside a neuron of an axon. Generate an axon potential by click on the right ion channels
Testing out different compounds that affect the nervous system. Find out the mechanism of the neurotoxin of the pufferfish 
Testing out different compounds that affect the nervous system. Find out the mechanism of the neurotoxin of the pufferfish 
</t>
  </si>
  <si>
    <t>a0K2X00000x0z47UAA</t>
  </si>
  <si>
    <t>Cell Membrane and Transport: Learn how transporters keep cells healthy</t>
  </si>
  <si>
    <t>ABC</t>
  </si>
  <si>
    <t>https://api2.labster.com/simulation/a0K2X00000x0z47UAA/play</t>
  </si>
  <si>
    <t>Describe the plasma membrane structure using the fluid mosaic model
Recognize the relative permeability of lipid bilayers to different classes of molecules
Compare active and passive transport of molecules
Identify the 3 modes of active transport and the different classes of ion channel and carrier molecules
Relate the expression of specific transport proteins to the cell's role</t>
  </si>
  <si>
    <t xml:space="preserve">Discover the structure and function of cell membranes by launching cargo molecules at a virtual cell. Apply your learning back in the lab to improve the health of synthetic cells that the lead researcher wants to use to produce insulin.
</t>
  </si>
  <si>
    <t xml:space="preserve">Join Dr. B.I.O. Hacker in her synthetic biology lab, where she wants to change the world! In this simulation, you will learn about the structure and function of the cell membrane and discover why membrane transporters are vital for healthy cells and the function of organ systems.
The synthetic biology lab
Your mission begins in the synthetic biology lab. Here you will meet Dr. Hacker, who will introduce you to the concept of selective permeability and the fluid mosaic models of the plasma membrane. Together, you will explore why cells need specialized transporter proteins to transport cargo molecules across their membranes.
Transport molecules into a virtual cell
Next, you will teleport to a virtual cell, where you will explore how different types of molecules can cross the cell membrane. While some molecules are able to diffuse across the cell membrane, most molecules require a transporter protein to enter or leave the cell. Explore the different channels, carriers, and pumps that exist in the membrane and how they ensure that only the right molecules enter under the right conditions.
Apply your knowledge
Return to the lab to test whether inserting a transporter protein in the membrane would help certain molecules to enter the cell. To do so, you will set up a fluorescence microscopy experiment to measure transport in living cells. Finally, discover how some transporter proteins do not only keep the cell healthy but also help organ systems to function. From filtration in the kidneys to the contraction of muscles during exercise, membrane transport contributes to many processes. Can you find out how?
</t>
  </si>
  <si>
    <t>1.4 Membrane transport</t>
  </si>
  <si>
    <t>a0K7R000016woRhUAI</t>
  </si>
  <si>
    <t>Earth's Atmosphere</t>
  </si>
  <si>
    <t>SKY</t>
  </si>
  <si>
    <t>https://api2.labster.com/simulation/a0K7R000016woRhUAI/play</t>
  </si>
  <si>
    <t>ESS2.D-H2
ESS2.D-H3
HS-ESS2-4</t>
  </si>
  <si>
    <t xml:space="preserve">Atmospheric composition
Impact of changes in the atmosphere 
Carbon dioxide precipitation
Oxygen accumulation
Critical evaluation of theories and evidence
Area graphs </t>
  </si>
  <si>
    <t>Broadly evaluate theories about the early composition of Earth's atmosphere and how it formed
Recognize and explain general atmospheric composition stability and change over geologic time
Detail the current composition of the earth's atmosphere and why this is important to modern life</t>
  </si>
  <si>
    <t xml:space="preserve">Join Dr. One in a spaceship and delve into the Earth’s history. Learn about the major events which caused dramatic changes to the composition of the atmosphere, and explore the theories and evidence which surrounds them.
</t>
  </si>
  <si>
    <t xml:space="preserve">The carbon dioxide-rich, oxygen-deprived atmosphere of the early Earth was very different from our modern-day atmosphere. In this simulation, you will learn about the Earth’s atmospheric composition, how it has changed over the last 4.6 billion years, and its importance for sustaining life.
Explore the theory and find the trends!
The Earth was once a hostile environment with an atmosphere deprived of O2, so where did the oxygen come from? With our hi-tech spaceship, you will be able to collate theories and data to simulate the Earth’s past, taking you back billions of years before life evolved. You’ll explore major events which changed the Earth’s atmosphere, such as periods of high volcanic activity, the forming of the oceans, the evolution of photosynthesizing cyanobacteria, the Great Oxidation Event, and the accumulation of O2 which led to the Cambrian explosion! You’ll investigate periods of atmospheric changes and stability, and dig into the different sources of evidence, from fossils and stromatolites to isotopes and iron formations! 
In an interactive activity, you will identify each major event on an area graph using what you know about the atmospheric composition during that period. You will be supported by tailored feedback, quiz questions, and detailed theory pages throughout.
Detail the modern-day atmosphere
A malfunction causes a glitch in the system, causing the data for the modern-day atmosphere to corrupt. It’s up to you to input the correct atmospheric composition into the computer and fix the simulation.
Restore the simulation
Use the knowledge you have learned whilst exploring the Earth’s past atmospheres to correctly input the composition of our modern-day atmosphere. Can you restore the simulation so we can return to modern Earth?
</t>
  </si>
  <si>
    <t>a0K7R000016wn3tUAA</t>
  </si>
  <si>
    <t>Human Impacts on the Water Cycle</t>
  </si>
  <si>
    <t>CYX</t>
  </si>
  <si>
    <t>https://api2.labster.com/simulation/a0K7R000016wn3tUAA/play</t>
  </si>
  <si>
    <t>Earth Science
Earth and Space Science</t>
  </si>
  <si>
    <t>Importance of the water cycle
Length of the water cycle
Earth’s water finite amount 
How human activities can impact different hydrological processes</t>
  </si>
  <si>
    <t xml:space="preserve">A property developer wants to turn a forest into an urban area. Dive into the water cycle and model how human influences can impact different hydrological processes.
</t>
  </si>
  <si>
    <t xml:space="preserve">Did you know the water you’re drinking may have once been part of a glacier in the Antarctic? In this simulation, you will learn how water moves around the Earth in a continuous cycle. You will also look at how human activities, such as deforestation and urban development, can impact different hydrological processes.
Pinpoint key hydrological stores and processes
Explore an overview of the water cycle and identify different hydrological stores. You may be surprised to learn how much of the Earth’s water is stored in the oceans! Then, explore how different hydrological processes move water between these stores in an interactive activity. Learn the definitions of precipitation, evaporation, condensation, transpiration, infiltration, interception, surface runoff, and groundwater flow. Apply this knowledge to figure out where in the water cycle each process belongs. 
Can you avoid causing a flood?
Using your knowledge of the water cycle, you will use a 3D model on our hi-tech holofloor to assess how human influences impact the water cycle. You will look closely at deforestation and urban development and how they affect interception, infiltration and surface runoff. You will have the ability to change different parameters and test your model to see if you manage to avoid flooding your town! You can repeat this activity as many times as you wish until you’re satisfied you have achieved the best possible outcome.
Help the property developer
At the end of the simulation, you will inform property developer Max about your findings so he can make an informed decision on his development plan.
</t>
  </si>
  <si>
    <t>a0K7R000016wlp2UAA</t>
  </si>
  <si>
    <t>Tollen’s Test: Which food samples contain reducing sugars?</t>
  </si>
  <si>
    <t>PFT</t>
  </si>
  <si>
    <t>https://api2.labster.com/simulation/a0K7R000016wlp2UAA/play</t>
  </si>
  <si>
    <t>Tollen's Test
Reducing sugars
Positive and negative controls</t>
  </si>
  <si>
    <t>Process a food sample through Tollen’s test for reducing sugars
Briefly describe the reaction mechanism that permits the detection of reducing sugars
Interpret the results of Tollen’s test</t>
  </si>
  <si>
    <t xml:space="preserve">Learn how to perform Tollen’s test for reducing sugars on a variety of food samples. Predict which samples contain reducing sugars and find out how your predictions compare to your results! 
</t>
  </si>
  <si>
    <t xml:space="preserve">Practice makes perfect! In this simulation you will learn how to perform Tollen’s test for reducing sugars on a variety of food samples. You will use your existing knowledge of food macromolecules to predict which food samples contain reducing sugars. Dr. One will guide you step-by-step to process the samples through Tollen’s test. How will your predictions compare to your results?
Make a prediction
Start by getting familiar with the apparatus on your workbench and setting up the heated water bath. Now that you’re set up, use your existing knowledge to predict which food samples will contain reducing sugars. Don’t be afraid to make mistakes. Later you will compare your predictions to your results.
Perform Tollen’s test
Learn how to process food samples through Tollen’s test as if you were in a lab! With step-by-step guidance from Dr. One, you will process the food samples through Tollen’s test and generate some shiny results. Combine the theory of Tollen’s test with your observations to interpret your results and discover which food samples contain reducing sugars. 
Results vs. Prediction
The final step is to compare your results to your predictions. Did your results match your predictions? Are there any results that are surprising?
</t>
  </si>
  <si>
    <t>a0K7R000016wnHRUAY</t>
  </si>
  <si>
    <t>DNA: Structure and function</t>
  </si>
  <si>
    <t>NAP</t>
  </si>
  <si>
    <t>https://api2.labster.com/simulation/a0K7R000016wnHRUAY/play</t>
  </si>
  <si>
    <t>LS3.A-H1
HS-LS1-1
LS1.C-H2</t>
  </si>
  <si>
    <t>Nucleotide composition
Complementary base pairing
Gene expression</t>
  </si>
  <si>
    <t>Describe the organization and components of a genome
Recognize and interpret visual representations of DNA and nucleotide structure, including base paring rules.
Broadly relate DNA coding and protein synthesis</t>
  </si>
  <si>
    <t xml:space="preserve">Research the fundamentals of DNA in humans — where it is, how it’s structured, and what it does — to explain them to a confused reader of your science magazine.
</t>
  </si>
  <si>
    <t xml:space="preserve">Your hair color, the curve of your smile, and even your likelihood of getting sick are at least in part determined by your DNA. But what is DNA made of, and how does it work? In this simulation, you will learn how DNA is structured and how DNA’s code translates to functional molecules called proteins.
Intern for a Science Magazine
You will work as an intern for a science magazine, Science Explained. One of the magazine’s readers has written a letter to you. They’re confused about DNA and have some questions about its structure and function. It’s your job to find out the answers and clear things up. 
Learn from an Expert
You’ll be sent to a DNA lab under the supervision of an all-knowing AI companion, Dr. One, to gather information for the magazine. First, you will dive inside a cell to see how double-helical DNA is packaged in chromosomes - details too small to see even with a microscope. Next, you’ll build a nucleotide from smaller chemical components: a deoxyribose sugar, nitrogenous base, and phosphate group. Given a single strand of DNA, you’ll race against the clock to make the complementary strand, applying your knowledge of complementary base pairing. Lastly, you’ll learn about protein synthesis, and your final challenge will be to read and translate a gene’s sequence to reveal a hidden word made from amino acid letters. 
Explain DNA to a Confused Reader
After each activity, you’ll pause and answer one of the reader’s questions about DNA’s location, structure, and function, to make sure that you have understood the key concepts. Will you be able to answer the reader’s questions and clear up their confusion?
</t>
  </si>
  <si>
    <t>Biology 2.6</t>
  </si>
  <si>
    <t>Biology Unit 6.1</t>
  </si>
  <si>
    <t>a0K7R000016wo49UAA</t>
  </si>
  <si>
    <t>Microanatomy of a Neuron: Build your own neurons!</t>
  </si>
  <si>
    <t>NR2</t>
  </si>
  <si>
    <t>https://api2.labster.com/simulation/a0K7R000016wo49UAA/</t>
  </si>
  <si>
    <t>Introduction to the Nervous System: Subdivisions of the nervous system</t>
  </si>
  <si>
    <t>Compare the microanatomy and roles of the three functional types of neuron
Summarize roles of chemical and electrical synapses in neurotransmission</t>
  </si>
  <si>
    <t xml:space="preserve">Step into Labster's anatomy and physiology lab to learn about the fundamental units of your nervous system; the neurons! Learn about the structure, classification, and special functions of neurons, as well as their mode of communication through synapses.
</t>
  </si>
  <si>
    <t xml:space="preserve">This short, targeted simulation is adapted from the full-length Gross Anatomy of the Nervous System simulation.
Fire up your synapses to learn about neurons! In this simulation, you will learn about the building blocks of the nervous system and how these amazing cells communicate with each other through chemical or electrical synapses. 
Explore the microanatomy of neurons
To start, you will learn the basic structure of a neuron, including the axon, axon terminal, cell body, dendrites, and glial cells that provide support to neurons. Understand how the signal is passed through the neuron and what happens when it reaches its destination.
Learn about electrical and chemical synapses
Watch an animation that illustrates the functioning of electrical and chemical synapses. You will follow the path of the electric impulse and how it is propagated. You’ll see how the action potential influences the generation of the signal and which cells are more likely to have electric or chemical synapses. You will also learn about the importance of neurotransmitters and their mode of action.
Construct different types of neurons
In the end you will be able to identify different types of neurons based on the bodily function they support and understand their complexity and importance. You will have the possibility to assemble motor, sensory, and interneurons to discover differences in their structure! Will you be able to reflect on how your own body works to answer the final questions?
</t>
  </si>
  <si>
    <t>a0K7R000016woTJUAY</t>
  </si>
  <si>
    <t>Quasi-Elastic Neutron Scattering</t>
  </si>
  <si>
    <t>NS2</t>
  </si>
  <si>
    <t>https://api2.labster.com/simulation/a0K7R000016woTJUAY/</t>
  </si>
  <si>
    <t>Materials Science with Neutrons: Observe what happens inside a battery!
Neutron Scattering: Investigating Bragg's Law</t>
  </si>
  <si>
    <t>Physics
Modern Physics</t>
  </si>
  <si>
    <t>Neutron radiography (imaging)
Quasielastic neutron scattering (QENS)</t>
  </si>
  <si>
    <t>Distinguish the basic components of a rechargeable Li-ion battery
Recognize in which cases neutrons as a probe might be preferred over x-rays in materials science
Understand how and why neutrons are produced, moderated in wavelength, transported and detected in a large-scale materials research facility
Understand neutron transmission imaging and its advantages in materials science
Distinguish various forms of neutron interaction with a sample and the related neutron cross-sections
Explain how slow molecular movement in a sample can be measured by quasi-elastic neutron scattering</t>
  </si>
  <si>
    <t xml:space="preserve">Perform quasi-elastic neutron scattering experiments at a research facility while helping a group of scientists in the Arctic. Observe the structure of atomic layers inside a battery and see how some atoms move when it discharges.
</t>
  </si>
  <si>
    <t xml:space="preserve">This short, targeted simulations was adapted from the full-length Materials Science with Neutrons simulation.
Are you curious to find out what happens inside a battery without any fear of breaking it? In this simulation, you will learn the basics of neutrons and how they can be used as probes in materials science. You will get to perform experiments in a modern large-scale research facility that requires special permission to enter.  
Observe the principles of neutron diffraction
Neutrons are subatomic particles found in the nucleus of most atoms. Through a high-energy process neutrons can be expelled from atoms to produce a free neutron beam. You cannot see the neutron beam with the naked eye but it can penetrate through almost any material. In our experiment it interacts weakly with the sample as it passes through it before finally being recorded in a detector.
Perform a QENS experiment
When neutrons hit the sample, they sometimes change energy due to inelastic or quasi-elastic processes in the sample. Understand the principles of quasielastic neutron scattering (QENS) through an interactive animation and perform an experiment on your battery sample. Will you be able to use these results to explain why the battery doesn't work properly in the cold, and will you be able to assist the scientists on their mission in the Arctic?
</t>
  </si>
  <si>
    <t>a0K7R000016woTEUAY</t>
  </si>
  <si>
    <t>Neutron Scattering: Investigating Bragg's Law</t>
  </si>
  <si>
    <t>NS1</t>
  </si>
  <si>
    <t>https://api2.labster.com/simulation/a0K7R000016woTEUAY/</t>
  </si>
  <si>
    <t>Materials Science with Neutrons: Observe what happens inside a battery!
Quasi-Elastic Neutron Scattering</t>
  </si>
  <si>
    <t>Modern Physics
General Physics</t>
  </si>
  <si>
    <t>Neutron diffraction
Neutron radiography (imaging)</t>
  </si>
  <si>
    <t>Distinguish the basic components of a rechargeable Li-ion battery
Recognize in which cases neutrons as a probe might be preferred over x-rays in materials science
Understand neutron transmission imaging and its advantages in materials science
Distinguish various forms of neutron interaction with a sample and the related neutron cross-sections
Relate atomic lattice distance in a powder sample to neutron scattering angle via Bragg's Law</t>
  </si>
  <si>
    <t xml:space="preserve">Scientists in Greenland need your help! You'll need to discover the effect of low temperatures on scientific equipment at a research facility. Check atomic layer structures inside a battery and use neutron scattering to solve the mystery!
</t>
  </si>
  <si>
    <t xml:space="preserve">This short, targeted simulations was adapted from the full-length Materials Science with Neutrons simulation. 
Did you know your phone runs out of power more quickly when it’s cold outside? Can you investigate what happens inside a battery without breaking it? With materials science you can! In this simulation, you will learn the basics of neutrons and how they can be used as probes in materials science. You will also get to perform neutron diffraction experiments in a modern large-scale research facility.  
Help scientists using neutron probing
The equipment used for environmental studies in Greenland is not working properly. Investigate the reason behind that malfunction and discover what exactly happens inside the batteries at low temperatures using neutron diffraction. 
Observe the principles of neutron diffraction
Neutrons are subatomic particles found in the nucleus of most atoms. Through a high-energy process neutrons can be expelled from atoms to produce a free neutron beam that can penetrate through almost any material. In this simulation, you will validate Bragg's Law and observe how changes in the wavelength of neutrons - and the distance between atomic layers - affect the scattering pattern of neutrons from your sample.
Perform a neutrons diffraction experiment
Having the knowledge about neutron diffraction, you will be more than ready to enter the diffraction instrument room. Prepare the sample in the cryostat and observe how the neutron diffraction pattern changes when the battery discharges at various temperatures. Analyze the results and help the scientists continue their work in Greenland.
</t>
  </si>
  <si>
    <t>a0K7R000016wmsHUAQ</t>
  </si>
  <si>
    <t>Azo Dye Test: Identify primary aromatic amines</t>
  </si>
  <si>
    <t>ADA</t>
  </si>
  <si>
    <t>https://api2.labster.com/simulation/a0K7R000016wmsHUAQ/play</t>
  </si>
  <si>
    <t>HS-PS2-6</t>
  </si>
  <si>
    <t>Azo dye test for primary aromatic amines
Synthesis of an azo dye</t>
  </si>
  <si>
    <t>Identify the chemical reagents and equipment used in the azo dye test
Recall each step of the azo dye test procedure in the correct order
Interpret the results of the azo dye test</t>
  </si>
  <si>
    <t xml:space="preserve">Our lab recently relocated and some chemical labels were damaged during the move. Help us to reorganize our box of amines by performing the azo dye test. Use your results to determine if the unknown amine is a primary aromatic amine or not. 
</t>
  </si>
  <si>
    <t xml:space="preserve">Help us to reorganize our mislabelled box of amines! In this simulation, you will learn how to perform the Azo dye test to identify primary aromatic amines. We’ll start with our reagents, pick out everything you’ll need from a line up of familiar lab chemicals. Next let's get stuck into some practical science! Perform the test by mixing, pipetting and cooling our chemicals then marvel at the colorful results. Finally, let's check if you got all of that; reconstruct the steps of the experiment in our interactive card game to prove you’re an Azo Dye pro!
You’re our Primary Amine Detective
Discover the reagents you’ll need to perform the Azo Dye test for primary aromatic amines. Next you’ll master the steps of the test by performing them yourself. Finally you will learn what a positive test looks like and conclude the nature of the mystery substance.
Become a Lab Skills Pro
Bored of following instructions? In this simulation we encourage you to figure some crucial steps out on your own; you learn best when you discover the answer yourself! Don’t worry, help isn’t too far away with Dr. One and the help button is ready to provide assistance with one click of your mouse.
Hunting for a Color Change
We’re on the lookout for our mislabelled bottle of primary amines. We suspect we’ve found the right bottle but you need to confirm our suspicion. If our hunch is right your test should be complete after you see a vibrant color change.
</t>
  </si>
  <si>
    <t>a0K7R000016wmsMUAQ</t>
  </si>
  <si>
    <t>The Bromine Test For Unsaturated Bonds: An essential in the chemist’s toolbelt!</t>
  </si>
  <si>
    <t>BUB</t>
  </si>
  <si>
    <t>https://api2.labster.com/simulation/a0K7R000016wmsMUAQ/play</t>
  </si>
  <si>
    <t>Tests for functional groups
Lab Safety</t>
  </si>
  <si>
    <t>Identify when to use the bromine test and what chemicals are involved.
Learn how to perform the experiment and what positive and negative results look like.
Learn the safety precautions involved in this test.</t>
  </si>
  <si>
    <t xml:space="preserve">Assist Chemical engineers in crisis as you help them use the correct chemicals in their reactions. Discover the reactions of bromine and unsaturated bonds and put this to use by conducting the bromine test.
</t>
  </si>
  <si>
    <t xml:space="preserve">The chemical engineers are in crisis and they need your help! In this simulation you will learn how to perform the bromine test and put your skills to the test identifying mystery chemicals.
Identifying unsaturated bonds with bromine. In this lab we will investigate the reaction of bromine with unsaturated bonds. Dive down the microscope and explore the reaction on a molecular level. Put your skills to the test in experimental mode and help chemists identify their mislabeled solutions.
A safe experiment sandbox. In this simulation you’ll be working with some harmful substances. We’ll be practicing lab safety but don't worry about messing up. With the reset button you can tidy away your lab station with a click of your mouse. Hopefully by making mistakes in this environment you wont make them in a real lab! Perform the bromine test.
After being taken through the experiment once, the pipette is in your hands. In the final test you will perform the bromine test in the free-play experiment mode. In the end the decision rests in your hands, will you be able to identify the chemicals?
</t>
  </si>
  <si>
    <t>a0K7R000016wnlWUAQ</t>
  </si>
  <si>
    <t>Electrolysis</t>
  </si>
  <si>
    <t>ZAP</t>
  </si>
  <si>
    <t>https://api2.labster.com/simulation/a0K7R000016wnlWUAQ/play</t>
  </si>
  <si>
    <t>Assemble electrolytic cell apparatus and describe the function of each component
Identify the reactions occurring at the anode and cathode of electrolytic cells
Describe the industrial utility of electrolytic techniques</t>
  </si>
  <si>
    <t xml:space="preserve">Experiment with electrolytic cells in a lab on Mars! Assemble different electrolytic cells so you can make hydrogen fuel for your Mars rover, and give mini Dr. One a new gold coating.
</t>
  </si>
  <si>
    <t xml:space="preserve">Welcome to Mars! In this simulation, you will learn how to assemble an electrolytic cell and modify it for different applications. Start by building a simple electrolytic cell, and then learn about the reactions that take place during electrolysis. Apply your knowledge, to modify the electrolytic cell to make fuel for a Mars rover, and to give mini Dr. One a new gold coating. 
Assemble an electrolytic cell
You have arrived on Mars and are excited to explore! But before you can set off, you find out your Mars rover needs fuel, and mini Dr. One needs a new metal coating. Luckily, this lab contains everything you need to assemble an electrolytic cell, including a handy schematic! The simple electrolytic cell you build can be modified for a variety of applications: including producing chemicals, and coating objects in metal
Discover how electrolysis works
In order for you to modify the electrolytic cell you built, you need to find out how electrolysis works. Dive into an interactive animation, where you will learn the function of the electrolytic cell components, and discover the chemical reactions that occur at each electrode. Return to the Mars lab, where you will test and apply your electrolysis knowledge.
Make hydrogen fuel for your Mars rover
Experiment with the components available to build two different electrolytic cells: one that makes hydrogen fuel, and another that can coat mini Dr. One in gold. Test your knowledge of each component by interacting with a schematic of an electrolytic cell. Can you get the rover, and mini Dr. One ready to explore Mars?
</t>
  </si>
  <si>
    <t>a0K7R000016wny1UAA</t>
  </si>
  <si>
    <t>Collisions: Elastic and inelastic forces</t>
  </si>
  <si>
    <t>HIT</t>
  </si>
  <si>
    <t>https://api2.labster.com/simulation/a0K7R000016wny1UAA/play</t>
  </si>
  <si>
    <t>HS-PS1
PS1A
PS1B</t>
  </si>
  <si>
    <t>Collisions
Momentum
Linear momentum
Momentum conservation
Energy
Kinetic energy
Elastic/Inelastic collision
Completely inelastic collision
Energy conservation</t>
  </si>
  <si>
    <t>Apply the momentum equation to calculate total momentum before collision events and velocities of objects after collisions
 Experimentally demonstrate the conservation of momentum
Differentiate between examples of inelastic and elastic collisions</t>
  </si>
  <si>
    <t xml:space="preserve">Join Dr. One and Isaac Newton at the pool table to learn about momentum conservation and elastic and inelastic collisions. 
</t>
  </si>
  <si>
    <t xml:space="preserve">Brace for impact! In this simulation, you will learn how to use momentum conservation to predict the outcome of a collision, and demonstrate how momentum is conserved in elastic and inelastic collisions. 
Help Newton improve his pool
Isaac Newton is a great physicist, but he still has plenty to learn as a pool player. Students will help Newton apply his knowledge of momentum conservation, kinetic energy, and elastic and inelastic collisions to improve his pool skills. After finding out about the elements of energy and momentum conservation in collisions, students will solve puzzles that allow them to demonstrate momentum conservation and prove their knowledge of the topic.
Trigger collisions between billiard balls
Students will produce collisions between balls with different properties in a wide range of scenarios. These include balls that produce elastic collisions, balls that produce completely inelastic collisions, and balls that have different masses, materials, and initial velocities.
The parameters of the collision, including mass, velocity, and momentum of each ball are displayed in real time, allowing the student to observe the conservation of total momentum in each collision. 
The student is presented with a sequence of scenarios that increasingly build complexity and skill, starting from observation and culminating in informed decision-making in which the student will apply their newly acquired knowledge on momentum conservation.
Solve puzzles about momentum conservation
In the end, you will apply your knowledge of momentum conservation and elastic and inelastic collisions to produce collisions and solve puzzles. Will you run the table in this match? 
</t>
  </si>
  <si>
    <t>Physics C: Mechanics Unit  4.3
Physics 2 Unit 2.8
Physics 2 Unit 2.9</t>
  </si>
  <si>
    <t>a0K7R000016wnyBUAQ</t>
  </si>
  <si>
    <t>Newton's Second Law of Motion: Speed and Acceleration</t>
  </si>
  <si>
    <t>NL2</t>
  </si>
  <si>
    <t>Newton's First Law of Motion: Balanced and unbalanced forces</t>
  </si>
  <si>
    <t>PS2.A-E1</t>
  </si>
  <si>
    <t>Newton’s second law of motion
Acceleration
Velocity
Mass
Friction
Vectors
Vector sum
Dynamics
Motion
Force
Net force</t>
  </si>
  <si>
    <t>Use and rearrange equations to relate force, mass, and acceleration
Calculate how changing the magnitude of balanced and unbalanced forces impacts the speed and acceleration of a body
Interpret speed from a distance/time graph</t>
  </si>
  <si>
    <t xml:space="preserve">Travel through time and space to help Newton remember his second law. Use this physically realistic simulation to experiment with forces and masses, and observe their effects on acceleration and velocity. 
</t>
  </si>
  <si>
    <t xml:space="preserve">Newton's second law of motion describes the true power of forces. In this simulation, you will learn about Newton's Second Law: the relationship between the forces that act on a body, that body's mass, and its acceleration. 
Apply forces and observe the resulting motion
In this sim, you will help Newton regain his memory of his second law of motion by applying forces on a body with adjustable mass to control its acceleration and produce different kinds of motion. Includes experimentation tasks and directed challenges that require the student to take the effects of added forces into account or produce a specific motion. 
Relate force, mass, and acceleration
This simulation builds the student's understanding of the relationship between forces mass and acceleration with progressively incrementing complexity. By the end, the student is capable of fully understanding the impact of a force on a body's motion, and they can use and rearrange equations to relate force, mass, and acceleration.
To this end, we present the student with a variety of interactive physical scenarios (including scenarios with and without friction and with and without additional forces to balance) and plenty of opportunities to play with the physical parameters (including constant and instantaneous forces, a wide range of force magnitudes, exchangeable masses and friction surfaces.) well integrated into a motivating narrative. 
Rediscover Newton’s second law of motion
In the end, you will have rediscovered Newton's second law of motion alongside him in all of its nuance. Will you be able to unlock the power of forces?
</t>
  </si>
  <si>
    <t>2.1 – Motion</t>
  </si>
  <si>
    <t>Physics 1 Unit 2.4</t>
  </si>
  <si>
    <t>a0K7R000016wnqHUAQ</t>
  </si>
  <si>
    <t>Intermolecular Forces: Rediscover the forces to save the world!</t>
  </si>
  <si>
    <t>VDW</t>
  </si>
  <si>
    <t>https://api2.labster.com/simulation/a0K7R000016wnqHUAQ/</t>
  </si>
  <si>
    <t>English
English (United States)</t>
  </si>
  <si>
    <t>Describe how dispersion forces, dipolar forces, and hydrogen bonding between molecules arises
Identify molecular motifs and features that may contribute to intermolecular force induction
Predict the types of intermolecular forces present between different molecules</t>
  </si>
  <si>
    <t xml:space="preserve">Oh no -- the world’s intermolecular forces have all been disabled! Now, you must collaborate with Dr. One to put everything back in order. Can you return the world to its original state by rediscovering all the intermolecular forces?
</t>
  </si>
  <si>
    <t xml:space="preserve">Intermolecular forces play an essential role in holding our world - and us - together. In this simulation, you will learn how intermolecular forces bind molecules together and how they affect the states of matter. With this knowledge, you will rebuild a world where the intermolecular forces have been disabled. 
Along the way, you will learn how electronegativity differences create permanent molecular dipoles, and how temporary dipoles form when electron clouds move around molecules. In the end, you will have a thorough understanding of the three types of intermolecular forces: van der Waals dispersion forces, permanent dipole-dipole forces, and hydrogen bonding.
Rediscover van der Waals dispersion forces
Start your quest for saving the world by rediscovering the van der Waals forces. To do this, you’ll get to play around with the halogens and see how van der Waals forces account for their wide range of physical states.
Explore permanent dipoles in molecules
See how atoms fight over shared electrons and explore how this fighting produces permanent dipoles in molecules. The permanent dipoles affect the boiling points of the compounds - can you figure out how? You will also learn how a special permanent dipole-dipole force containing hydrogen is essential to life.
Save the world with your knowledge
Use everything you have learned to save the world! Apply the van der Waals dispersion force, permanent dipole-dipole force, and hydrogen bonding to the correct molecules. Will you succeed and get the world back into shape?
</t>
  </si>
  <si>
    <t>Early Stage Bachelors Level
EHEA First Cycle
EHEA Short Cycle
FHEQ 4
FHEQ 5
SCQF 7
SCQF 8
US College Year 1
US College Year 2</t>
  </si>
  <si>
    <t>a0K7R000016wnTmUAI</t>
  </si>
  <si>
    <t>NL1</t>
  </si>
  <si>
    <t>https://api2.labster.com/simulation/a0K7R000016wnTmUAI/play</t>
  </si>
  <si>
    <t>Force
Balanced forces 
Unbalanced forces
Net force
Friction force
Rest and Uniform Motion 
Normal force
Gravitational force
Inertia</t>
  </si>
  <si>
    <t>Identify the forces acting on a body at rest and in uniform motion
Explain the overall effect of balanced forces acting upon a body including observation of speed, inertia, and gravity
Relate the impact of increasing or decreasing a previously balanced force to real-world examples</t>
  </si>
  <si>
    <t xml:space="preserve">Travel back in time to 1687 and help Newton remember his first law of motion and what it means for a body to stay at rest or in uniform motion. Learn when two forces are balanced or unbalanced and experiment with his first law of motion in space.
</t>
  </si>
  <si>
    <t xml:space="preserve">Traveling back in time and going into space has never been easier! I'm sure Newton will be surprised to see you in his room. He is quite upset since while he was working under a tree, an apple fell on his head and made him forget his first law of motion. Luckily you will join him in 1687 and with Dr. One you’ll help him remember everything about his law.
Rest and Uniform Motion: 
Have you ever wondered which forces are acting on a body at rest or in uniform motion? You will find your answers by doing a first experiment with Newton. You will have a hockey puck which is at rest on the table and a rolling ball. Do not be afraid to play with forces, Dr. One and Newton will always be next to you.
The Law of Inertia: 
The mass of an object plays an important role in Newton’s first law of motion. You’ll learn why by playing with three cubes with different masses and a duck! Choose which forces to apply on the cube carefully, the duck likes to quack when you don’t.
The Effect of Friction: 
Friction is a force that is around us all the time and we will experiment how it influences the motion of a body and its inertia. You will have two surfaces with different frictions to play with and a duck. Will you be able to choose the right forces to win the game and save the duck? 
Balanced and Unbalanced Forces: 
Newton will ask you to do an experiment with him, and try to stop a body in motion by applying a counter force. As for everything, balance is the key to success. Once again, you’ll experiment with two surfaces with different frictions, but this time you’ll choose two different forces that will act on the body. Will you manage to stop the body in motion?
Balanced Forces on a Satellite in Orbit
Newton wonders if his law still applies in space. There’s no better way to find this out than going into space. You’ll play with a satellite by setting up its altitude and speed to balance out the forces acting on it. Will you make the satellite orbiting the Earth or will you make it crash?At the end of this experience Newton will ask you to explain to him what are the balanced forces acting on a satellite when orbiting the Earth in uniform motion.
</t>
  </si>
  <si>
    <t>a0K7R000016wnoaUAA</t>
  </si>
  <si>
    <t>What are waves?</t>
  </si>
  <si>
    <t>WAW</t>
  </si>
  <si>
    <t>https://api2.labster.com/simulation/a0K7R000016wnoaUAA/play</t>
  </si>
  <si>
    <t>General Physics
Physics
Waves</t>
  </si>
  <si>
    <t>PS4.C-H1
HS-PS4-1</t>
  </si>
  <si>
    <t xml:space="preserve">Identifying wave parameters 
Wave matching 
Creating standing waves </t>
  </si>
  <si>
    <t>Categorize real-world examples of waves as longitudinal or transverse, and standing or progressive
Conceptually relate waves and energy
Define wave parameters including amplitude, wavelength, period, frequency and wavespeed</t>
  </si>
  <si>
    <t xml:space="preserve">Join Dr. One for an introduction to waves. After the lab breaks, it is your job to fix it by learning about waves, their types, and parameters. Adjust the amplitude, frequency, and wavelength of the waves in the lab to finish your mission. 
</t>
  </si>
  <si>
    <t xml:space="preserve">Dr. One has built a brand new toy for you to play with, the Wave Blaster! In this simulation, you will learn about waves, their properties, types, and how they appear in the real world. Just be careful not to blow up the lab while you’re at it.
Introduction
You will start by learning about waves and how they transport energy. Dr. One has left some popcorn out on the counter for you, so you take the brand new ‘Wave Blaster’, cook the popcorn, and demonstrate the connection between waves and energy. Everything is going well until…BOOM! 
Dr. One turns the power of the Wave Blaster up with catastrophic results. The lights and sound in the lab break and need to be fixed. You must help Dr. One get the lab functioning properly again before the next student arrives. Hopefully, you can do it before anyone notices.
Lights
You move to the first display showing light waves behaving not quite as they should be. Learn about amplitude and wavelength while manually adjusting the color and brightness of lights in the lab. After this minigame, you and Dr. One will move to the next section to fix the sound.
Sounds
Dr. One shows you how sound waves travel in the lab with a detailed animation of oscillating air particles. You must create low frequency, high frequency, and standing waves to help fix the sound. Play a minigame where you must carefully select the right frequency at the right time to create your sound wave. Will you get everything back in order?
Wave speed
To finish up, Dr. One will demonstrate what waves look like as they move with a short animation of a transverse wave. You will learn about wave speed and how some waves travel faster than others. This will all make perfect sense by now since you are becoming a certified wave expert. After a mini quiz to recap your knowledge so far, Dr. One will thank you for your help and you’ll sneak out before the next student comes in. No one will ever know anything went wrong!  
</t>
  </si>
  <si>
    <t>a0K7R000016wnllUAA</t>
  </si>
  <si>
    <t>Mass Spectrometry: The race of the fastest fragment</t>
  </si>
  <si>
    <t>MSA</t>
  </si>
  <si>
    <t>https://api2.labster.com/simulation/a0K7R000016wnllUAA/</t>
  </si>
  <si>
    <t>Analytical Chemistry
General Chemistry
Biochemistry</t>
  </si>
  <si>
    <t>Mass spectrometry
Matrix assisted laser desorption ionization (MALDI)
Fragmentation
Time of Flight (TOF)</t>
  </si>
  <si>
    <t>Prepare a sample for mass spectrometry analysis
Interpret and understand a spectrum via fragmentation pattern
Understand the theory and structure of a mass spectrometer</t>
  </si>
  <si>
    <t xml:space="preserve">Dive into a virtual laboratory to discover the secrets of mass spectrometry. From the structure of the instrument to the interpretation of different spectra, no fragmentation pattern will remain a mystery to you!
</t>
  </si>
  <si>
    <t xml:space="preserve">About this simulation
Begin familiarizing yourself with the different components of a mass spectrometer by interacting with engaging mini-games. Captivating images and scientifically accurate analogies will turn mass spectrometry into an understandable and appealing topic!
The structure of a mass spectrometer
In this simulation, you will learn all there is to know about the basic functionalities of a mass spectrometer. You will also master spectra interpretation with examples that mimic real-life exams. Explore the instrument with our artistic posters and gain a strong understanding of the three fundamental parts. An engaging mini-game will test your understanding of mass over charge ratio.
Sample preparation and fragmentation
After performing a life-like, guided sample preparation, you will get an introduction to the principles of fragmentation. This topic can often be hard to understand, so you’ll be guided by your AI lab assistant Dr. One through different posters and quizzes to ensure good comprehension.
Mass spectra interpretation
The final part of the simulation is entirely dedicated to the interpretation of mass spectra. First, Dr. One will guide you step-by-step, selecting the correct fragments and assigning them to the peaks. But later you’ll be by yourself with a new molecule and test all you have learned. You’ll always be supported by extensive theory pages in case you ever feel a bit lost!
Did we manage to turn mass spectrometry into an engaging topic? You won’t believe it until you try!
</t>
  </si>
  <si>
    <t>a0K7R000016wnlqUAA</t>
  </si>
  <si>
    <t>Melting Point Analysis: Pure or impure?</t>
  </si>
  <si>
    <t>MPA</t>
  </si>
  <si>
    <t>https://api2.labster.com/simulation/a0K7R000016wnlqUAA</t>
  </si>
  <si>
    <t>Analytical Chemistry
General Chemistry</t>
  </si>
  <si>
    <t>Melting point
Melting point determination</t>
  </si>
  <si>
    <t>Prepare a sample for melting point analysis
Detail the principles of using the melting point as an indicator of substance purity
Understand melting point equipment mechanics and basic principles of usage</t>
  </si>
  <si>
    <t xml:space="preserve">Learn the techniques and application of melting point analysis and substance purity graphs. Explore the application of the technique in organic syntheses when determining the purity of a solid organic compound.
</t>
  </si>
  <si>
    <t xml:space="preserve">About this simulation
Melting organic solids: it’s the same principle as when ice melts! In this simulation, you will be introduced to the melting point analysis technique and apply it to organic syntheses you would carry out in the lab. Uncover one of the simplest and most informative techniques for indicating substance purity and learn how to determine whether you synthesized a pure substance using the recorded data and graphs.
Sample preparation
Get first-hand virtual lab experience preparing a sample for melting point analysis. Start by learning the correct protocol for sample loading, including how to choose the right tube for the machine and amount of sample required. Tips and tricks like these will help ensure maximum accuracy and precision for the sample measurement. 
Test your creativity!
One of the great things about being in a virtual lab is that you can break apart the machine. Uncover the key components behind a functioning melting point machine to understand the conditions required to melt your sample. You’ll even get the chance to build your own functional melting point machine from common laboratory equipment! 
Analyze substance purity graphs
Get a deeper look at what is happening with your sample inside the machine using our high tech hologram! Observe the different stages of melting: Moistening Point, Sintering Point, Meniscus Point and Clear Point. Learn about the states of matter when the solid sample reaches each of these stages and relate them to the plotted points on a substance purity graph, also known as the heat curve for a solid compound. 
</t>
  </si>
  <si>
    <t>Chemistry 5</t>
  </si>
  <si>
    <t>Chemistry Unit 9</t>
  </si>
  <si>
    <t>Early Stage Bachelors Level
EHEA First Cycle
Support for laboratory skills at all levels
US College Year 1
US College Year 2
US College Year 3</t>
  </si>
  <si>
    <t>a0K7R000016wloYUAQ</t>
  </si>
  <si>
    <t>Benedict’s Test: Which food samples contain reducing sugars?</t>
  </si>
  <si>
    <t>PFB</t>
  </si>
  <si>
    <t>https://api2.labster.com/simulation/a0K7R000016wloYUAQ/play</t>
  </si>
  <si>
    <t>Benedict's Test
Reducing sugars
Positive and negative controls</t>
  </si>
  <si>
    <t>Process a food sample through Benedict’s test for reducing sugars
Briefly describe the reaction mechanism that permits the detection of reducing sugars
Interpret the results of Benedict's test</t>
  </si>
  <si>
    <t xml:space="preserve">Learn how to perform Benedict’s test for reducing sugars on a variety of food samples. Predict which samples contain reducing sugars and find out how your predictions compare to your results! 
</t>
  </si>
  <si>
    <t xml:space="preserve">Practice makes perfect! In this simulation you will learn how to perform Benedict’s test for reducing sugars on a variety of food samples. You will use your existing knowledge of food macromolecules to predict which samples contain reducing sugars. Dr. One will then guide you in processing the food samples through Benedict’s test. How will your predictions compare to your results?
Make a prediction
Start by getting familiar with the apparatus on your workbench and setting up the heated water bath. Now that you’re set up, use your existing knowledge to predict which food samples will contain reducing sugars. Don’t be afraid to make mistakes. Later you will compare your predictions to your results.
Perform Benedict’s test
Learn how to process food samples through Benedict’s test as if you were in a lab! With step by step guidance from Dr. One, you will process the food samples through Benedict’s test and generate some colorful results. Combine the theory of Benedict’s test with your observations to interpret your results and discover which food samples contain reducing sugars. 
Results vs. Prediction
The final step is to compare your results to your predictions. Did your results match the predictions? Are there any results that are surprising?
</t>
  </si>
  <si>
    <t>a0K7R000011INhrUAG</t>
  </si>
  <si>
    <t>Fehling’s Test: Which food samples contain reducing sugars?</t>
  </si>
  <si>
    <t>PFS</t>
  </si>
  <si>
    <t>https://api2.labster.com/simulation/a0K7R000011INhrUAG/play</t>
  </si>
  <si>
    <t>Fehling's Test
Reducing sugars
Positive and negative controls</t>
  </si>
  <si>
    <t>Process a food sample through Fehling’s test for reducing sugars
Briefly describe the reaction mechanism that permits the detection of reducing sugars
Interpret the results of Fehling's test</t>
  </si>
  <si>
    <t xml:space="preserve">Learn how to perform Fehling’s test for reducing sugars on a variety of food samples. Predict which samples contain reducing sugars and find out how your predictions compare to your results! 
</t>
  </si>
  <si>
    <t xml:space="preserve">Practice makes perfect! In this simulation you will learn how to perform Fehling’s test for reducing sugars on a variety of food samples. You will use your existing knowledge of food macromolecules to predict which food samples contain reducing sugars. You will then process the samples through Fehling’s test, with the help of Dr. One’s step by step guidance, and document your results. How will your predictions compare to your results?
Make a prediction
Get equipped for Fehling’s test by exploring and assembling the apparatus on the workbench. Now that you’re set up, use your existing knowledge to predict which food samples will contain reducing sugars. Don’t be afraid to make mistakes. Later you will compare your predictions and results.
Perform Fehling’s test
Learn how to process food samples through Fehling’s test as if you were in a lab!  Dr. One will guide you step by step to process your controls and food samples through Fehling’s test. Check out the colorful results of Fehling’s test and use your controls to determine which result is positive. Is it the brick-red precipitate or the blue solution? Combine the theory of Fehling’s test with your observations to interpret your results and discover which food samples contain reducing sugars. 
Results vs. Prediction
Finally, compare your results to the predictions you made earlier. Did you know which food samples contained reducing sugars? Are there any results that are surprising?
</t>
  </si>
  <si>
    <t>a0K7R000016wkdLUAQ</t>
  </si>
  <si>
    <t>Ceric Ammonium Nitrate Test: Which compound contains alcohol?</t>
  </si>
  <si>
    <t>CAN</t>
  </si>
  <si>
    <t>https://api2.labster.com/simulation/a0K7R000016wkdLUAQ/play</t>
  </si>
  <si>
    <t>Ceric Ammonium Nitrate Test</t>
  </si>
  <si>
    <t>Process a sample through ceric ammonium nitrate test for alcohol groups
Interpret the results of the Ceric Ammonium Nitrate Test</t>
  </si>
  <si>
    <t xml:space="preserve">Join Dr. Ali to discover how to use the ceric ammonium nitrate test to detect alcohols. Deduce which of our two samples contains alcohol groups by performing the test yourself! 
</t>
  </si>
  <si>
    <t xml:space="preserve">Practice makes perfect! In this simulation you will learn how to perform the ceric ammonium nitrate test for alcohols on two different samples. You will begin by attempting to process the samples through the test by yourself, although you can always ask for help from your trusty lab assistants: Dr. Ali and Dr. One. Will you perform the test correctly?
Determine the Alcoholic Sample
Familiarize yourself with your lab and identify the relevant reagent you will use from the chemicals provided. Perform the ceric ammonium nitrate test on our two mystery samples. By observing a change in color, determine which sample contains alcohol. Stuck? Dr. One and Dr. Ali will help you with any theory or practical questions throughout.
Perform the ceric ammonium nitrate test
Learn how to process food samples through the ceric ammonium nitrate test as if you were in a lab! Don’t worry about making mistakes; in this lab we can reset the workbench with the press of a button! You can always ask for step-by-step guidance from Dr. Ali and Dr. One if you get stuck. After performing the steps correctly you will get a colorful result!
Interpret the results
Combine the theory of the ceric ammonium nitrate test with your observations to interpret your results Which compound tested positive for alcohols?
</t>
  </si>
  <si>
    <t>a0K7R000016wnmKUAQ</t>
  </si>
  <si>
    <t>SDS-PAGE: Separating proteins by molecular weight</t>
  </si>
  <si>
    <t>SDS</t>
  </si>
  <si>
    <t>https://api2.labster.com/simulation/a0K7R000016wnmKUAQ/</t>
  </si>
  <si>
    <t>Cellular and Molecular Biology
General Biology</t>
  </si>
  <si>
    <t>Gel electrophoresis
SDS-PAGE</t>
  </si>
  <si>
    <t>Assemble the SDS-PAGE apparatus including loading samples and size markers
Select an appropriate gel and associated electrical settings for resolving the proteins of interest
Critique the quality of a complete SDS-PAGE run using a removable protein stain</t>
  </si>
  <si>
    <t xml:space="preserve">Investigate each step of SDS-PAGE from gel selection and sample preparation to chamber assembly and what really happens when the current turns on, to separate proteins solely by molecular weight, bringing us one step closer to identifying the protein.
</t>
  </si>
  <si>
    <t xml:space="preserve">SDS-PAGE creates conditions for separating proteins by an identifying characteristic, molecular weight. In this simulation, you will learn how SDS, the acrylamide gel, buffer solutions, and the electric current work together to separate proteins.
Running an SDS-PAGE
In this lab, students will determine if a particular sized protein is present in their samples. To do this, they must learn about the mechanisms of how SDS-PAGE works including deciding on which gel size to use, how the sample buffer prepares the sample, how to assemble the electrophoresis chamber, and ultimately the interactions between pH, the buffer solutions, and the electric current.
Mechanisms behind SDS-PAGE
In order to determine if the sample contains a protein of a specific molecular weight, students first need to select the right acrylamide gel concentration. This simulation allows them to trial different concentrations to see the effect on protein separation. From here, they prepare the sample through visualizing the effects of each component of the sample buffer on the sample itself. They will then run an SDS-PAGE by assembling the electrophoresis chamber and learning how the current and ions of the buffer solutions interact. With the results of the SDS-PAGE being ready immediately, students will determine which samples contain the target protein. 
Gel Review
With SDS-PAGE thoroughly explored, students will evaluate their stained gel to identify if the samples have evidence of the target protein. They will also evaluate other gels as usable or unusable and identify reasons that may have caused the outcome. 
By understanding SDS-PAGE, will you find the target protein and be able to identify a successful gel?  
</t>
  </si>
  <si>
    <t>Biology 2.4</t>
  </si>
  <si>
    <t>Biology Unit 1.3: Introduction to Biological Macromolecules</t>
  </si>
  <si>
    <t>Early Stage Bachelors Level
Intermediate Stage Bachelors Level
Late Stage Bachelors Level
EHEA First Cycle
US College Year 1
US College Year 2
US College Year 3
US College Year 4</t>
  </si>
  <si>
    <t>a0K7R000016wovXUAQ</t>
  </si>
  <si>
    <t>Litmus test for carboxylic acids</t>
  </si>
  <si>
    <t>LCA</t>
  </si>
  <si>
    <t>Litmus test</t>
  </si>
  <si>
    <t>Identify the chemical reagents and equipment used in the litmus test
Recall the steps of the litmus test.
Interpret the results of the litmus test to identify the carboxylic acids.</t>
  </si>
  <si>
    <t xml:space="preserve">Perform the litmus test on six organic compounds found in nature. Interpret the results to identify which organic compounds are carboxylic acids. 
</t>
  </si>
  <si>
    <t xml:space="preserve">Did you know that carboxylic acids are found commonly in nature? In this simulation, you will learn how to perform the litmus test and how to interpret the test's results. To do this, you will test six organic compounds that are from natural sources, and determine which of the natural sources contain carboxylic acids. 
Discover pH indicators
To determine which organic compounds are carboxylic acids, you will test each compound's acidity using colourful pH indicators. With the help of a lab poster, you will discover the variety of naturally occurring pH indicators, such as Litmus, and find out how they work. Apply what you discovered, to learn what the results of the litmus test look like when dipping litmus paper in acidic, basic, and neutral solutions. 
Perform the litmus test
Now you are ready to perform the litmus test on the organic compounds. Begin by deducing which coloured litmus paper you should use to test for acids: red or blue? Then, learn the steps of the litmus test with helpful guidance from Dr. One. Once you are familiar with the steps, repeat the test for the remaining organic compounds. Do not worry if you make a mistake, as you can always restart the experiment by pressing the reset button.
Identify the carboxylic acids
After testing the compounds, there is one step remaining, and that is to interpret the results! Look at the results in front of you to determine which of the natural sources contains a carboxylic acid. Does spinach really contain carboxylic acids?
</t>
  </si>
  <si>
    <t>a0K7R000016wozZUAQ</t>
  </si>
  <si>
    <t>NR1</t>
  </si>
  <si>
    <t>https://api2.labster.com/simulation/a0K7R000016wozZUAQ/</t>
  </si>
  <si>
    <t>Microanatomy of a Neuron: Build your own neurons!
Gross Function of the Nervous System: Let your brain learn about itself</t>
  </si>
  <si>
    <t>Compare the structure and function of the central and peripheral nervous systems</t>
  </si>
  <si>
    <t xml:space="preserve">Step into Labster's Anatomy and Physiology lab to learn about the nervous system and its subdivisions. Explore the various bodily functions that the nervous system controls. 
</t>
  </si>
  <si>
    <t xml:space="preserve">This short, targeted simulation is adapted from the full-length “Gross Function of the Nervous System” simulation.
Without your nervous system, you wouldn’t be able to speak, walk, swallow, breathe ... or play Labster simulations! The nervous system is the human body’s control center, allowing us to process and react to external stimuli by regulating other systems. In this simulation, you will explore the nervous system and its subdivisions on a 3D model.
Learn about the central and peripheral nervous systems
Identify key parts of the central and peripheral nervous systems on a 3D body scan. You will discover how they communicate with each other and influence day-to-day bodily functions. Dig deeper into the subdivisions of the peripheral nervous system to learn about sensory (afferent) and motor (efferent) divisions.
Relate the subdivisions to your own experiences
Study the difference between autonomic and somatic nervous systems and which organs and muscles are controlled by each. Is your hand reaching for another piece of chocolate really a voluntary action?
What happens to the nervous system when you are scared?
Finally, learn about the two subdivisions of the autonomic nervous system that are triggered when we find ourselves in stressful or relaxing situations. Choose between two scenarios: “fight or flight” or “rest and digest” and see how organs are affected under these circumstances. Can you observe your own body to define the what happens when sympathetic and parasympathetic responses are triggered?
</t>
  </si>
  <si>
    <t>Early Stage Bachelors Level
EHEA First Cycle
FHEQ 6
SCQF 10
SCQF 9
US College Year 1
US College Year 2
US College Year 3</t>
  </si>
  <si>
    <t>a0K7R000016wp7nUAA</t>
  </si>
  <si>
    <t>Gross Function of the Nervous System: Let your brain learn about itself</t>
  </si>
  <si>
    <t>NRV</t>
  </si>
  <si>
    <t>https://api2.labster.com/simulation/a0K7R000016wp7nUAA/</t>
  </si>
  <si>
    <t>Anatomy &amp; Physiology
Physiology</t>
  </si>
  <si>
    <t>Dissection
Microscope
3D Model</t>
  </si>
  <si>
    <t>Compare the structure and function of the central and peripheral nervous systems
Compare the microanatomy and roles of the three functional types of neuron
Summarize roles of chemical and electrical synapses in neurotransmission</t>
  </si>
  <si>
    <t xml:space="preserve">Enter Labster's Anatomy and Physiology lab to explore the structures and functions of the central and peripheral nervous systems. Learn about the nervous system’s fundamental cells and neurons and how they communicate with each other through synapses. 
</t>
  </si>
  <si>
    <t xml:space="preserve">This is the full-length version of the simulation. You can also play the simulation in two smaller parts: "Introduction to the Nervous System" and "Microanatomy of a Neuron."
In this simulation, you will explore your nervous system and its subdivisions on a 3D model. You’ll even see how a signal travels in your body when you decide to take a step - or how your body reacts in the presence of a dangerous predator! You will also take a deep dive into the microanatomy of a neuron to learn about its components and how they communicate with each other through synapses. 
Learn about your nervous system with 3D models 
Begin by identifying the parts of your central and peripheral nervous system on a 3D model. You can click through its structures to get information about your brain, spinal cord, and nerves. Dig deeper into the subdivisions of the peripheral nervous system to learn about the sensory, motor, and autonomic divisions through fun challenges. Can you observe your own body to define what happens when sympathetic and parasympathetic responses are triggered?
Microanatomy of a neuron
Neurons come in many shapes and sizes. Use a 3D model to discover the roles of the axon, dendrites, axon terminal, and the cell body of a neuron. Learn how to categorize neurons structurally and functionally.  Next, you will learn how these excitable cells communicate with each other. Watch an animated scene of signal transmission then compare electrical and chemical synapses and learn about the role of neurotransmitters. 
Build different types of neurons
In the end, you will have a unique opportunity to assemble different types of neurons such as interneurons, motor neurons, and sensory neurons to discover differences in their structure. Will you be able to guess how these work together in your own body to answer the final questions?
</t>
  </si>
  <si>
    <t>a0K7R000016wpylUAA</t>
  </si>
  <si>
    <t>Purification and separation techniques</t>
  </si>
  <si>
    <t>PSM</t>
  </si>
  <si>
    <t>Determine the best technique for recovering individual substances from a mixture
Relate separation techniques back to the molecular properties they are used to discriminate between</t>
  </si>
  <si>
    <t xml:space="preserve">Take a complex mixture and identify a unique property for each compound that makes it up. Using their individual properties, develop and execute an experimental procedure to separate out each compound.
</t>
  </si>
  <si>
    <t xml:space="preserve">About this simulation
Do you have what it takes to be Labster’s top analytical chemist? In this simulation, you’ll use the property of a compound to match them to the relevant separation technique. Then, you’ll develop an experimental procedure, to purify the mixture like a pro! 
Match compounds to their property
Find out the contents of the mixture at the wall screen. Learn the definition of key terms such as solubility, miscibility, and hydrophobicity. Then, use your critical thinking skills to match both organic and inorganic compounds to the correct property. 
Test your liquid purification skills
Start by filtering your suspension to remove your solid. Recollect the mixture and go to the liquid-liquid purification bench for a real challenge. Try, fail, and try again in this open choice activity to purify your mixture using distillation, solvent extraction, and chromatography in the correct order.  
Bonus property! Did you think we were done? Challenge your redox chemistry knowledge by deciding how to precipitate copper from copper sulfate solution. Place the zinc plate into your solution and watch your copper ions solidify and accumulate around the metal plate.
Purify your solid
Learn about common laboratory and state-of-the-art techniques used to purify copper: recrystallization, zone- and electrolytic refining. Be quizzed on the importance of choosing the right solvent for recrystallization. End the simulation by choosing the right combination of each technique to purify your copper solid.
</t>
  </si>
  <si>
    <t>US College Year 1
US College Year 2
US College Year 3</t>
  </si>
  <si>
    <t>a0K7R000016wq7JUAQ</t>
  </si>
  <si>
    <t>Regarding Principles of molecular resonance</t>
  </si>
  <si>
    <t>RSN</t>
  </si>
  <si>
    <t>Define what a conjugated system is and recognize atoms that are part of a conjugated system
Explain, with examples, why charge delocalization stabilizes molecules
Give examples of molecular motifs that can establish electron delocalization</t>
  </si>
  <si>
    <t xml:space="preserve">Learn the theory behind one of the key phenomena in organic chemistry known as molecular resonance. Observe how the electrons in a molecule can delocalize in the structure and relate molecular resonance to systems with conjugated double bonds.
</t>
  </si>
  <si>
    <t xml:space="preserve">Electrons like to travel! In this simulation, you will learn about molecular resonance in organic compounds. Learn about why electron delocalization is possible through example molecular motifs and relate the phenomena to conjugated systems.
Identifying a conjugated system
What makes a conjugated system? Identify conjugation in organic molecules by acknowledging the characteristics of a conjugated double bond compared to an isolated double bond. Acknowledge the idea that conjugation and hence, molecular resonance are allowed by an extended p-orbital hybridization in planar structures. Not only will you be able to understand how to identify a conjugated structure, you will also be able to appreciate that not all atoms in an organic molecule participate in a conjugated system. You will be able to determine which atoms partake in the conjugated system.
 Resonance Structures
Take advantage of our cutting edge hologram technology to form resonance structures by moving around the electrons within the structure. Observe 3D models of the molecules and p-orbital hybridization to understand how electron delocalization and hence the formation of resonance structures is possible. Observe how the mechanisms are drawn for these structures and understand how they can show the reactivity properties of certain functional groups.
Bond rotation
Finish off the topic by observing the 3D molecule of hexatriene with the carbon atom p-orbitals visible on the structure. Observe how rotation around single bonds can give rise to various conformations of a structure and how it can disrupt a conjugated system. Electrons like to travel! In this simulation, you will learn about molecular resonance in organic compounds. Learn about why electron delocalization is possible through example molecular motifs and relate the phenomena to conjugated systems.
</t>
  </si>
  <si>
    <t>US College Year 1
US College Year 2</t>
  </si>
  <si>
    <t>Select Course:</t>
  </si>
  <si>
    <t>Column Index:</t>
  </si>
  <si>
    <t>Column Name:</t>
  </si>
  <si>
    <t/>
  </si>
  <si>
    <t xml:space="preserve">Cellular Respiration: The Electron Transport Chain </t>
  </si>
  <si>
    <t xml:space="preserve">Evolution: Generations of an allele </t>
  </si>
  <si>
    <t xml:space="preserve">Western Blot Transfer: Prepare for protein detection </t>
  </si>
  <si>
    <t xml:space="preserve">Cellular Respiration: The Krebs Cycle </t>
  </si>
  <si>
    <t xml:space="preserve"> https://api2.labster.com/simulation/a0K7R000016wlaHUAQ/play</t>
  </si>
  <si>
    <t xml:space="preserve">Perform the Gram stain on a sample collected from the patient and use microscopy to identify the presence of bacteria to help guide the proper antibiotic treatment.
Screen reader support enabled.
</t>
  </si>
  <si>
    <t xml:space="preserve">Antibodies: Why are some blood types incompatible? </t>
  </si>
  <si>
    <t xml:space="preserve"> https://api2.labster.com/simulation/a0K7R000016wkdLUAQ/</t>
  </si>
  <si>
    <t xml:space="preserve">All matter is made of atoms, they are the building blocks of our Universe. Through this simulation, the student will learn the basics of the structure of the atom by building their own atoms, ions, and isotopes. 
Through their acquired understanding of atomic structure, the student will be able to relate the structure of the atom of an element to its position on the periodic table. Finally, the student will be introduced through illustrations and 3D models to the different historical models of the atom, culminating in a fully quantized atom which includes explanations of the quantum numbers. 
 (internal notes
)	
Using Labster's atom builder (3:13 in screencast)
Using Labster's atom builder (3:13 in screencast). Keywords: Learn by doing, Game-like
Quantum atomic models (14:25 in screencast) (Visualization) 
Quantum atomic models (14:25 in screencast) (Visualization)
Identifying elements (8:17 in screencast) (Lab-technique, Learn by doing)
Identifying elements (8:17 in screencast) (Lab-technique, Learn by doing
</t>
  </si>
  <si>
    <t xml:space="preserve">Spatial Ecology: Learn how the environment can influence the distribution of species
</t>
  </si>
  <si>
    <t xml:space="preserve">Explore the atomic model, absorption and emission spectra, and how they reveal information about stars in galaxies far far away. 
</t>
  </si>
  <si>
    <t xml:space="preserve">Discover the structure and function of cell membranes by launching cargo molecules at a virtual cell. Apply your learning back in the lab to improve the health of synthetic cells that the lead researcher wants to use to produce insulin.
</t>
  </si>
  <si>
    <t xml:space="preserve">Practice makes perfect! In this simulation you will learn how to perform Tollen’s test for reducing sugars on a variety of food samples. You will use your existing knowledge of food macromolecules to predict which food samples contain reducing sugars. Dr. One will guide you step-by-step to process the samples through Tollen’s test. How will your predictions compare to your results?
Make a prediction
Start by getting familiar with the apparatus on your workbench and setting up the heated water bath. Now that you’re set up, use your existing knowledge to predict which food samples will contain reducing sugars. Don’t be afraid to make mistakes. Later you will compare your predictions to your results.
Perform Tollen’s test
Learn how to process food samples through Tollen’s test as if you were in a lab! With step-by-step guidance from Dr. One, you will process the food samples through Tollen’s test and generate some shiny results. Combine the theory of Tollen’s test with your observations to interpret your results and discover which food samples contain reducing sugars. 
Results vs. Prediction
The final step is to compare your results to your predictions. Did your results match your predictions? Are there any results that are surprising?
</t>
  </si>
  <si>
    <t xml:space="preserve">Step into Labster's anatomy and physiology lab to learn about the fundamental units of your nervous system; the neurons! Learn about the structure, classification, and special functions of neurons, as well as their mode of communication through synapses.
</t>
  </si>
  <si>
    <t xml:space="preserve">This short, targeted simulation is adapted from the full-length Gross Anatomy of the Nervous System simulation.
Fire up your synapses to learn about neurons! In this simulation, you will learn about the building blocks of the nervous system and how these amazing cells communicate with each other through chemical or electrical synapses. 
Explore the microanatomy of neurons
To start, you will learn the basic structure of a neuron, including the axon, axon terminal, cell body, dendrites, and glial cells that provide support to neurons. Understand how the signal is passed through the neuron and what happens when it reaches its destination.
Learn about electrical and chemical synapses
Watch an animation that illustrates the functioning of electrical and chemical synapses. You will follow the path of the electric impulse and how it is propagated. You’ll see how the action potential influences the generation of the signal and which cells are more likely to have electric or chemical synapses. You will also learn about the importance of neurotransmitters and their mode of action.
Construct different types of neurons
In the end you will be able to identify different types of neurons based on the bodily function they support and understand their complexity and importance. You will have the possibility to assemble motor, sensory, and interneurons to discover differences in their structure! Will you be able to reflect on how your own body works to answer the final questions?
</t>
  </si>
  <si>
    <t xml:space="preserve">This short, targeted simulations was adapted from the full-length Materials Science with Neutrons simulation.
Are you curious to find out what happens inside a battery without any fear of breaking it? In this simulation, you will learn the basics of neutrons and how they can be used as probes in materials science. You will get to perform experiments in a modern large-scale research facility that requires special permission to enter.  
Observe the principles of neutron diffraction
Neutrons are subatomic particles found in the nucleus of most atoms. Through a high-energy process neutrons can be expelled from atoms to produce a free neutron beam. You cannot see the neutron beam with the naked eye but it can penetrate through almost any material. In our experiment it interacts weakly with the sample as it passes through it before finally being recorded in a detector.
Perform a QENS experiment
When neutrons hit the sample, they sometimes change energy due to inelastic or quasi-elastic processes in the sample. Understand the principles of quasielastic neutron scattering (QENS) through an interactive animation and perform an experiment on your battery sample. Will you be able to use these results to explain why the battery doesn't work properly in the cold, and will you be able to assist the scientists on their mission in the Arctic?
</t>
  </si>
  <si>
    <t xml:space="preserve">This short, targeted simulations was adapted from the full-length Materials Science with Neutrons simulation. 
Did you know your phone runs out of power more quickly when it’s cold outside? Can you investigate what happens inside a battery without breaking it? With materials science you can! In this simulation, you will learn the basics of neutrons and how they can be used as probes in materials science. You will also get to perform neutron diffraction experiments in a modern large-scale research facility.  
Help scientists using neutron probing
The equipment used for environmental studies in Greenland is not working properly. Investigate the reason behind that malfunction and discover what exactly happens inside the batteries at low temperatures using neutron diffraction. 
Observe the principles of neutron diffraction
Neutrons are subatomic particles found in the nucleus of most atoms. Through a high-energy process neutrons can be expelled from atoms to produce a free neutron beam that can penetrate through almost any material. In this simulation, you will validate Bragg's Law and observe how changes in the wavelength of neutrons - and the distance between atomic layers - affect the scattering pattern of neutrons from your sample.
Perform a neutrons diffraction experiment
Having the knowledge about neutron diffraction, you will be more than ready to enter the diffraction instrument room. Prepare the sample in the cryostat and observe how the neutron diffraction pattern changes when the battery discharges at various temperatures. Analyze the results and help the scientists continue their work in Greenland.
</t>
  </si>
  <si>
    <t xml:space="preserve">Intermolecular Forces: Rediscover the forces to save the world! </t>
  </si>
  <si>
    <t xml:space="preserve">Intermolecular forces play an essential role in holding our world - and us - together. In this simulation, you will learn how intermolecular forces bind molecules together and how they affect the states of matter. With this knowledge, you will rebuild a world where the intermolecular forces have been disabled. 
Along the way, you will learn how electronegativity differences create permanent molecular dipoles, and how temporary dipoles form when electron clouds move around molecules. In the end, you will have a thorough understanding of the three types of intermolecular forces: van der Waals dispersion forces, permanent dipole-dipole forces, and hydrogen bonding.
Rediscover van der Waals dispersion forces
Start your quest for saving the world by rediscovering the van der Waals forces. To do this, you’ll get to play around with the halogens and see how van der Waals forces account for their wide range of physical states.
Explore permanent dipoles in molecules
See how atoms fight over shared electrons and explore how this fighting produces permanent dipoles in molecules. The permanent dipoles affect the boiling points of the compounds - can you figure out how? You will also learn how a special permanent dipole-dipole force containing hydrogen is essential to life.
Save the world with your knowledge
Use everything you have learned to save the world! Apply the van der Waals dispersion force, permanent dipole-dipole force, and hydrogen bonding to the correct molecules. Will you succeed and get the world back into shape?
</t>
  </si>
  <si>
    <t xml:space="preserve"> https://api2.labster.com/simulation/a0K7R000016wnTmUAI/play</t>
  </si>
  <si>
    <t xml:space="preserve">Practice makes perfect! In this simulation you will learn how to perform Benedict’s test for reducing sugars on a variety of food samples. You will use your existing knowledge of food macromolecules to predict which samples contain reducing sugars. Dr. One will then guide you in processing the food samples through Benedict’s test. How will your predictions compare to your results?
Make a prediction
Start by getting familiar with the apparatus on your workbench and setting up the heated water bath. Now that you’re set up, use your existing knowledge to predict which food samples will contain reducing sugars. Don’t be afraid to make mistakes. Later you will compare your predictions to your results.
Perform Benedict’s test
Learn how to process food samples through Benedict’s test as if you were in a lab! With step by step guidance from Dr. One, you will process the food samples through Benedict’s test and generate some colorful results. Combine the theory of Benedict’s test with your observations to interpret your results and discover which food samples contain reducing sugars. 
Results vs. Prediction
The final step is to compare your results to your predictions. Did your results match the predictions? Are there any results that are surprising?
</t>
  </si>
  <si>
    <t xml:space="preserve">Practice makes perfect! In this simulation you will learn how to perform Fehling’s test for reducing sugars on a variety of food samples. You will use your existing knowledge of food macromolecules to predict which food samples contain reducing sugars. You will then process the samples through Fehling’s test, with the help of Dr. One’s step by step guidance, and document your results. How will your predictions compare to your results?
Make a prediction
Get equipped for Fehling’s test by exploring and assembling the apparatus on the workbench. Now that you’re set up, use your existing knowledge to predict which food samples will contain reducing sugars. Don’t be afraid to make mistakes. Later you will compare your predictions and results.
Perform Fehling’s test
Learn how to process food samples through Fehling’s test as if you were in a lab!  Dr. One will guide you step by step to process your controls and food samples through Fehling’s test. Check out the colorful results of Fehling’s test and use your controls to determine which result is positive. Is it the brick-red precipitate or the blue solution? Combine the theory of Fehling’s test with your observations to interpret your results and discover which food samples contain reducing sugars. 
Results vs. Prediction
Finally, compare your results to the predictions you made earlier. Did you know which food samples contained reducing sugars? Are there any results that are surprising?
</t>
  </si>
  <si>
    <t xml:space="preserve"> https://api2.labster.com/simulation/a0K7R000016wkdLUAQ/play</t>
  </si>
  <si>
    <t xml:space="preserve">Practice makes perfect! In this simulation you will learn how to perform the ceric ammonium nitrate test for alcohols on two different samples. You will begin by attempting to process the samples through the test by yourself, although you can always ask for help from your trusty lab assistants: Dr. Ali and Dr. One. Will you perform the test correctly?
Determine the Alcoholic Sample
Familiarize yourself with your lab and identify the relevant reagent you will use from the chemicals provided. Perform the ceric ammonium nitrate test on our two mystery samples. By observing a change in color, determine which sample contains alcohol. Stuck? Dr. One and Dr. Ali will help you with any theory or practical questions throughout.
Perform the ceric ammonium nitrate test
Learn how to process food samples through the ceric ammonium nitrate test as if you were in a lab! Don’t worry about making mistakes; in this lab we can reset the workbench with the press of a button! You can always ask for step-by-step guidance from Dr. Ali and Dr. One if you get stuck. After performing the steps correctly you will get a colorful result!
Interpret the results
Combine the theory of the ceric ammonium nitrate test with your observations to interpret your results Which compound tested positive for alcohols?
</t>
  </si>
  <si>
    <t xml:space="preserve">This short, targeted simulation is adapted from the full-length “Gross Function of the Nervous System” simulation.
Without your nervous system, you wouldn’t be able to speak, walk, swallow, breathe ... or play Labster simulations! The nervous system is the human body’s control center, allowing us to process and react to external stimuli by regulating other systems. In this simulation, you will explore the nervous system and its subdivisions on a 3D model.
Learn about the central and peripheral nervous systems
Identify key parts of the central and peripheral nervous systems on a 3D body scan. You will discover how they communicate with each other and influence day-to-day bodily functions. Dig deeper into the subdivisions of the peripheral nervous system to learn about sensory (afferent) and motor (efferent) divisions.
Relate the subdivisions to your own experiences
Study the difference between autonomic and somatic nervous systems and which organs and muscles are controlled by each. Is your hand reaching for another piece of chocolate really a voluntary action?
What happens to the nervous system when you are scared?
Finally, learn about the two subdivisions of the autonomic nervous system that are triggered when we find ourselves in stressful or relaxing situations. Choose between two scenarios: “fight or flight” or “rest and digest” and see how organs are affected under these circumstances. Can you observe your own body to define the what happens when sympathetic and parasympathetic responses are triggered?
</t>
  </si>
  <si>
    <t xml:space="preserve">This is the full-length version of the simulation. You can also play the simulation in two smaller parts: "Introduction to the Nervous System" and "Microanatomy of a Neuron."
In this simulation, you will explore your nervous system and its subdivisions on a 3D model. You’ll even see how a signal travels in your body when you decide to take a step - or how your body reacts in the presence of a dangerous predator! You will also take a deep dive into the microanatomy of a neuron to learn about its components and how they communicate with each other through synapses. 
Learn about your nervous system with 3D models 
Begin by identifying the parts of your central and peripheral nervous system on a 3D model. You can click through its structures to get information about your brain, spinal cord, and nerves. Dig deeper into the subdivisions of the peripheral nervous system to learn about the sensory, motor, and autonomic divisions through fun challenges. Can you observe your own body to define what happens when sympathetic and parasympathetic responses are triggered?
Microanatomy of a neuron
Neurons come in many shapes and sizes. Use a 3D model to discover the roles of the axon, dendrites, axon terminal, and the cell body of a neuron. Learn how to categorize neurons structurally and functionally.  Next, you will learn how these excitable cells communicate with each other. Watch an animated scene of signal transmission then compare electrical and chemical synapses and learn about the role of neurotransmitters. 
Build different types of neurons
In the end, you will have a unique opportunity to assemble different types of neurons such as interneurons, motor neurons, and sensory neurons to discover differences in their structure. Will you be able to guess how these work together in your own body to answer the final questions?
</t>
  </si>
  <si>
    <r>
      <rPr>
        <rFont val="Work Sans"/>
        <color rgb="FF003C6E"/>
      </rPr>
      <t xml:space="preserve">Labster is a world-leading provider of virtual lab simulations for higher education and high schools. The simulations are designed to let students learn by doing in a virtual laboratory, solving real-case problems. Quiz questions test the students’ knowledge, supporting an inquiry-based and deep-learning approach. The students will train real lab skills in a safe virtual environment where they can safely make mistakes, and learn at their own pace. The most basic simulations are ideal as a self-study activity since the students will review essential concepts. The more advanced simulations are designed to support the course syllabus, reinforcing concepts and giving the students an innovative tool to deepen their learning. To learn more about how you can incorporate Labster virtual labs in your teaching, visit us at </t>
    </r>
    <r>
      <rPr>
        <rFont val="Work Sans"/>
        <color rgb="FF1155CC"/>
        <u/>
      </rPr>
      <t>www.labster.com</t>
    </r>
  </si>
  <si>
    <t xml:space="preserve">Learning objectives and techniques covered in Labster’s simulations
</t>
  </si>
  <si>
    <t>Available Languages</t>
  </si>
  <si>
    <t>Related Standards</t>
  </si>
  <si>
    <t>Simulation Code</t>
  </si>
  <si>
    <t>Disciplines</t>
  </si>
  <si>
    <t>Accessibility Mode available?</t>
  </si>
  <si>
    <t>Education Level</t>
  </si>
  <si>
    <t>Average Duration</t>
  </si>
  <si>
    <t>Spanish</t>
  </si>
  <si>
    <t>German</t>
  </si>
  <si>
    <t>French</t>
  </si>
  <si>
    <t>Italian</t>
  </si>
  <si>
    <t>Next Generation Science Standards (NGSS)</t>
  </si>
  <si>
    <t>OpenStax</t>
  </si>
  <si>
    <t>University Level</t>
  </si>
  <si>
    <t>General Science, Health Sciences, Chemistry</t>
  </si>
  <si>
    <t>No</t>
  </si>
  <si>
    <t>High School, Higher Education, Professional</t>
  </si>
  <si>
    <t>8.3 Weak Acid and Base Equilibria; 8.4 Acid-Base Reactions and Buffers; 8.7 pH and pKa</t>
  </si>
  <si>
    <t>14.3 Chemistry 2e; 14.3 Chemistry: Atoms First 2e; 14.6 Chemistry 2e; 14.6 Chemistry: Atoms First 2e; 2.8 Organic Chemistry; 2.9 Organic Chemistry</t>
  </si>
  <si>
    <t>Health Sciences, Chemistry, Biology</t>
  </si>
  <si>
    <t>Higher Education, High School</t>
  </si>
  <si>
    <t>Biology 2.5 Membrane permeability; Biology 2.6 Membrane transport</t>
  </si>
  <si>
    <t>3.4 Biology 2e; 3.6 Concepts of Biology; 5.3 AP Biology; 5.3 Biology 2e</t>
  </si>
  <si>
    <t>Health Sciences, Biology, Chemistry</t>
  </si>
  <si>
    <t>Higher Education, Professional, High School</t>
  </si>
  <si>
    <t>5.1 AP Biology; 5.1 Biology 2e</t>
  </si>
  <si>
    <t>Biology, Engineering, Health Sciences, Chemistry</t>
  </si>
  <si>
    <t>3.1 Anatomy &amp; Physiology; 3.4 Concepts of Biology; 3.5 Concepts of Biology; 3.6 Concepts of Biology; 5.1 AP Biology; 5.1 Biology 2e; 5.3 AP Biology; 5.3 Biology 2e</t>
  </si>
  <si>
    <t>Health Sciences, Engineering, Biology</t>
  </si>
  <si>
    <t>17.2 Concepts of Biology; 17.3 Concepts of Biology; 18.6 Anatomy &amp; Physiology; 33.1 AP Biology; 33.3 AP Biology; 40.2 Biology 2e; 42.1 Biology 2e; 42.3 Biology 2e</t>
  </si>
  <si>
    <t>General Science, Chemistry, Health Sciences</t>
  </si>
  <si>
    <t>8.3 Weak Acid and Base Equilibria; 8.4 Acid-Base Reactions and Buffers</t>
  </si>
  <si>
    <t>14.1 Chemistry 2e; 14.1 Chemistry: Atoms First 2e; 14.2 Chemistry 2e; 14.2 Chemistry: Atoms First 2e; 2.7 Organic Chemistry; 2.8 Organic Chemistry</t>
  </si>
  <si>
    <t>4.8 Introduction to Acid-Base Reactions; 8.1 Introduction to Acids and Bases; 8.2 pH and pOH of Strong Acids and Bases</t>
  </si>
  <si>
    <t>8.1 Theories of acids and bases; 8.2 Properties of acids and bases; 8.3 The pH scale</t>
  </si>
  <si>
    <t>Health Sciences, Biology</t>
  </si>
  <si>
    <t>Higher Education</t>
  </si>
  <si>
    <t>AIR</t>
  </si>
  <si>
    <t>Introduction to Pulmonary Ventilation: Process of respiration and physiology of the respiratory system</t>
  </si>
  <si>
    <t>Higher Education, Professional</t>
  </si>
  <si>
    <t>Describe the structure and mechanics of pulmonary ventilation
Define and calculate pulmonary air volumes and capacities</t>
  </si>
  <si>
    <t>Structure of Respiratory System
Spirometry
Lung Volumes
Lung Capacity Calculation
Diagrams analysis</t>
  </si>
  <si>
    <t>16.3 Concepts of Biology; 22.1 Anatomy &amp; Physiology; 22.2 Anatomy &amp; Physiology; 22.3 Anatomy &amp; Physiology; 30.1 AP Biology; 30.3 AP Biology; 39.1 Biology 2e; 39.3 Biology 2e</t>
  </si>
  <si>
    <t>EHEA First Cycle; EHEA Short Cycle; Early Stage Bachelors Level; FHEQ 6; Intermediate Stage Bachelors Level; SCQF 10; SCQF 9; US College Year 1; US College Year 2; US College Year 3</t>
  </si>
  <si>
    <t>HS-LS3-1; HS-LS3-2</t>
  </si>
  <si>
    <t>17.1 AP Biology; 17.1 Biology 2e; 17.2 Biology 2e; 27.1 Biology 2e; 27.2 Biology 2e</t>
  </si>
  <si>
    <t>12.4 Anatomy &amp; Physiology; 9.2 AP Biology</t>
  </si>
  <si>
    <t>ARO</t>
  </si>
  <si>
    <t>Aromatic Compound Nomenclature: Naming benzene’s derivatives</t>
  </si>
  <si>
    <t>Recognize and differentiate aromatic compounds from non-aromatic compounds
Provide the correct nomenclature, both nonsystematic (common) and systematic (IUPAC), for derivatives of benzene.
Classify compounds as aromatic or non-aromatic by applying Huckel’s rule.</t>
  </si>
  <si>
    <t>15.1 Organic Chemistry; 15.2 Organic Chemistry; 15.3 Organic Chemistry</t>
  </si>
  <si>
    <t>US College Year 2; US College Year 3</t>
  </si>
  <si>
    <t>EHEA First Cycle; EHEA Short Cycle; Early Stage Bachelors Level; FHEQ 6; SCQF 10; SCQF 9; US College Year 1; US College Year 2; US College Year 3</t>
  </si>
  <si>
    <t>Chemistry, Biology, Health Sciences, Physics</t>
  </si>
  <si>
    <t>High School, Higher Education</t>
  </si>
  <si>
    <t>Explain the concept of an atom
Explain the properties of the basic subatomic particles: protons, neutrons, and electrons
Use of the nuclear symbol notation to deduce the number of protons, neutrons and electrons in atoms and ions.
Define atomic number and mass number
Define isotopes and ions
Describe how the atomic number and mass number apply to isotopes</t>
  </si>
  <si>
    <t>2.1 The nuclear atom; 2.2 Electron configuration</t>
  </si>
  <si>
    <t>1.1 Organic Chemistry; 2.1 Chemistry 2e; 2.1 Chemistry: Atoms First 2e; 2.1 Concepts of Biology; 2.2 Chemistry 2e; 2.2 Chemistry: Atoms First 2e; 2.3 Chemistry 2e; 2.3 Chemistry: Atoms First 2e; 2.6 Chemistry 2e; 22.2 Physics HS; 3.4 Chemistry: Atoms First 2e; 3.7 Chemistry: Atoms First 2e; 31.3 AP Physics</t>
  </si>
  <si>
    <t>Biology, Chemistry, Health Sciences, Physics</t>
  </si>
  <si>
    <t>Describe the historical evolution of atomic models 
Describe how the atomic emission spectra are produced using Bohr's model 
List the four quantum numbers
Use atomic spectra to identify the composition of a gas</t>
  </si>
  <si>
    <t>1.3 Organic Chemistry; 22.1 Physics HS; 29.5 AP Physics; 3.2 Chemistry: Atoms First 2e; 3.3 Chemistry: Atoms First 2e; 3.4 Chemistry: Atoms First 2e; 30.1 AP Physics; 30.2 AP Physics; 30.3 AP Physics; 30.7 AP Physics; 30.8 AP Physics; 6.2 Chemistry 2e; 6.3 Chemistry 2e</t>
  </si>
  <si>
    <t>Engineering, Chemistry, Biology, Health Sciences</t>
  </si>
  <si>
    <t>2.1 AP Biology; 2.1 Anatomy &amp; Physiology; 2.1 Biology 2e; 2.1 Concepts of Biology</t>
  </si>
  <si>
    <t>EHEA First Cycle; EHEA Short Cycle; Early Stage Bachelors Level; US College Year 1; US College Year 2</t>
  </si>
  <si>
    <t>AWE</t>
  </si>
  <si>
    <t>Continental Drift Theory: Past and future locations of the world's continents</t>
  </si>
  <si>
    <t>GeneralScience</t>
  </si>
  <si>
    <t>Earth Science, Physics, Chemistry, Biology</t>
  </si>
  <si>
    <t>Identify evidence that supports the hypothesis of continental drift
Apply the evidence identified to develop the continental drift theory 
Calculate how fast plates have moved in the past and present to predict their future movement and locations</t>
  </si>
  <si>
    <t>HS-ESS1-5</t>
  </si>
  <si>
    <t>Biology, Health Sciences</t>
  </si>
  <si>
    <t>1.3 Microbiology; 13.1 Concepts of Biology; 22.1 AP Biology; 22.1 Biology 2e; 22.2 AP Biology; 22.2 Biology 2e; 4.2 AP Biology; 4.2 Biology 2e</t>
  </si>
  <si>
    <t>4.1 Species, communities and ecosystems; C.4 Conservation of Biodiversity</t>
  </si>
  <si>
    <t>21.1 Concepts of Biology; 21.2 Concepts of Biology; 21.3 Concepts of Biology; 38.1 AP Biology; 38.3 AP Biology; 38.4 AP Biology; 47.1 Biology 2e; 47.3 Biology 2e; 47.4 Biology 2e</t>
  </si>
  <si>
    <t>BE1</t>
  </si>
  <si>
    <t>Balancing Equations: Mastering the process</t>
  </si>
  <si>
    <t>Chemistry, Health Sciences</t>
  </si>
  <si>
    <t>Practice balancing a variety of chemical reactions, ranging from simple to complex</t>
  </si>
  <si>
    <t>Polyatomic ion identification
Understanding polyatomic ion charges and compositions.
Equation balancing
Adjusting coefficients to achieve equilibrium
Problem-solving techniques</t>
  </si>
  <si>
    <t>PS1A; PS1B</t>
  </si>
  <si>
    <t>BE2</t>
  </si>
  <si>
    <t>Synthesis Reactions: Unraveling mysteries in environmental chemistry</t>
  </si>
  <si>
    <t>Describe a synthesis reaction with an example</t>
  </si>
  <si>
    <t>Balancing chemical equations
Iodine sublimation
Environmental impact assessment
Ratio calculation</t>
  </si>
  <si>
    <t>BE3</t>
  </si>
  <si>
    <t>Decomposition Reactions: Discover the secrets of Roman concrete</t>
  </si>
  <si>
    <t>Describe a decomposition reaction with an example</t>
  </si>
  <si>
    <t>Personal protective equipment
Thermal decomposition
Use of Bunsen burner
Balancing chemical equations
Limewater test for carbon dioxide</t>
  </si>
  <si>
    <t>BE4</t>
  </si>
  <si>
    <t>Single Replacement Reactions: Investigate seawater corrosion of aluminum</t>
  </si>
  <si>
    <t>Describe a single replacement reaction with an example</t>
  </si>
  <si>
    <t>Balancing chemical equations
Conducting single replacement reactions
Observation and analysis of reaction outcomes</t>
  </si>
  <si>
    <t>BE5</t>
  </si>
  <si>
    <t>Double Replacement Reactions: Help with a medical emergency!</t>
  </si>
  <si>
    <t>Describe a double replacement reaction with an example</t>
  </si>
  <si>
    <t>Solution preparation
Balancing chemical equations
Washing and drying of precipitates
Observation and analysis of reaction outcomes
Filtration
Lab Safety</t>
  </si>
  <si>
    <t>Big Idea 4: Systems interactions; Potentially too high level, but could support:</t>
  </si>
  <si>
    <t>Health Sciences</t>
  </si>
  <si>
    <t>9.1 Microbiology; 9.4 Microbiology</t>
  </si>
  <si>
    <t>B.1 Microbiology: organisms in industry; Biology 6.3 Defence against infectious disease</t>
  </si>
  <si>
    <t>9.1 Microbiology</t>
  </si>
  <si>
    <t>Health Sciences, General Science, Biology, Chemistry</t>
  </si>
  <si>
    <t>1.1 Concepts of Biology; 2.3 Microbiology; 3.2 Concepts of Biology</t>
  </si>
  <si>
    <t>BLO</t>
  </si>
  <si>
    <t>Blood Components: Dive into the microscopic world of blood cells!</t>
  </si>
  <si>
    <t>Identify the key components of blood and their primary roles
Recognize the key characteristics of each cell type
Understand the primary functions of the blood cells</t>
  </si>
  <si>
    <t>16.3 Concepts of Biology; 17.3 Microbiology; 18.1 Anatomy &amp; Physiology; 18.2 Anatomy &amp; Physiology; 18.3 Anatomy &amp; Physiology; 18.4 Anatomy &amp; Physiology; 31.2 AP Biology; 40.2 Biology 2e</t>
  </si>
  <si>
    <t>EHEA First Cycle; EHEA Second Cycle; Early Stage Bachelors Level; SCQF 10; SCQF 9; US College Year 1; US College Year 2</t>
  </si>
  <si>
    <t>BOT</t>
  </si>
  <si>
    <t>Plate Tectonics: Boundaries and crustal features</t>
  </si>
  <si>
    <t>Chemistry, Health Sciences, Biology, Earth Science, Physics</t>
  </si>
  <si>
    <t>Describe the three different types of plate boundaries and their features
Apply plate tectonics theory to explain the age of crustal rocks
Identify real examples of plate boundaries across the globe</t>
  </si>
  <si>
    <t>ESS2.B-H1</t>
  </si>
  <si>
    <t>Physics</t>
  </si>
  <si>
    <t>Physics 1 Unit 2.3; Physics 1 Unit 3.2; Physics 2 Unit 1.3</t>
  </si>
  <si>
    <t>11.7 AP Physics</t>
  </si>
  <si>
    <t>EHEA Short Cycle; FHEQ 4; US College Year 1</t>
  </si>
  <si>
    <t>BPP</t>
  </si>
  <si>
    <t>Body Planes and Sections: Locate a chimpanzee’s injuries</t>
  </si>
  <si>
    <t>Describe the anatomical position
Identify the anatomical reference planes
Describe the human body using directional and regional terms</t>
  </si>
  <si>
    <t>1.1 Anatomy &amp; Physiology; 1.6 Anatomy &amp; Physiology</t>
  </si>
  <si>
    <t>EHEA First Cycle; EHEA Second Cycle; Early Stage Bachelors Level; FHEQ 6; SCQF 10; SCQF 9; US College Year 1; US College Year 2</t>
  </si>
  <si>
    <t>BPS</t>
  </si>
  <si>
    <t>Body Structure and Organization: Help identify a potentially failing organ system</t>
  </si>
  <si>
    <t>Identify the organ systems of the body and give an overview of their positions and major functions
Locate the major body systems within the body	
Describe the major cavities of the human body</t>
  </si>
  <si>
    <t>1.2 Anatomy &amp; Physiology; 1.6 Anatomy &amp; Physiology; 19.4 Anatomy &amp; Physiology; 6.1 Anatomy &amp; Physiology</t>
  </si>
  <si>
    <t>EHEA First Cycle; EHEA Second Cycle; FHEQ 6; SCQF 10; SCQF 9; US College Year 1; US College Year 2</t>
  </si>
  <si>
    <t>Biology Unit 1.2: Elements of life; Biology Unit 1.3: Introduction to Biological Macromolecules; Biology Unit 1.4: Properties of Biological Macromolecules; Biology Unit 1.5: Structure and Function of Biological Macromolecules; Biology Unit 1: Chemistry of Life</t>
  </si>
  <si>
    <t>HS-LS1-3; HS-LS1-6</t>
  </si>
  <si>
    <t>25.1 Organic Chemistry; 3.2 AP Biology; 3.2 Biology 2e; 7.2 Microbiology</t>
  </si>
  <si>
    <t>General Science, Health Sciences, Biology, Chemistry</t>
  </si>
  <si>
    <t>13.1 Microbiology; 17.1 AP Biology</t>
  </si>
  <si>
    <t>5.1 Chemistry 2e; 5.3 Chemistry 2e; 6.3 Biology 2e; 9.1 Chemistry: Atoms First 2e; 9.3 Chemistry: Atoms First 2e</t>
  </si>
  <si>
    <t>12.3 Physics HS; 12.5 Chemistry 2e; 17.5 Chemistry: Atoms First 2e; 5.1 Chemistry 2e; 5.2 Chemistry 2e; 5.3 Chemistry 2e; 6.7 Organic Chemistry; 9.1 Chemistry: Atoms First 2e; 9.2 Chemistry: Atoms First 2e; 9.3 Chemistry: Atoms First 2e</t>
  </si>
  <si>
    <t>Engineering, Chemistry, Biology</t>
  </si>
  <si>
    <t>6.1 Endothermic and Exothermic Processes; 6.2 Energy Diagrams; 6.3 Heat Transfer and Thermal Equilibrium; 6.4 Heat Capacity and Calorimetry; 6.6 Introduction to Enthalpy of Reaction; 6.7 Bond Enthalpies; 6.8 Enthalpy of Formation; 6.9 Hess's Law; 9.3 Gibbs Free Energy and Thermodynamic Favorability; 9.5 Free Energy and Equilibrium</t>
  </si>
  <si>
    <t>5.1 Measuring energy changes; 5.2 Hess’s Law; 5.3 Bond enthalpies</t>
  </si>
  <si>
    <t>HS-PS2-1; HS-PS2-2; HS-PS3-1; HS-PS3-2; HS-PS3-3; HS-PS3-4</t>
  </si>
  <si>
    <t>12.2 Chemistry: Atoms First 2e; 12.3 Physics HS; 16.2 Chemistry 2e; 6.3 AP Biology; 6.3 Biology 2e</t>
  </si>
  <si>
    <t>Medicine</t>
  </si>
  <si>
    <t>Chemistry, Health Sciences, Biology</t>
  </si>
  <si>
    <t>EHEA First Cycle; Early Stage Bachelors Level; FHEQ 6; Intermediate Stage Bachelors Level; US College Year 1; US College Year 2; US College Year 3; US College Year 4</t>
  </si>
  <si>
    <t>EHEA First Cycle; EHEA Second Cycle; Early Stage Bachelors Level; Early Stage Masters Level; FHEQ 6; FHEQ 7; Intermediate Stage Bachelors Level; Intermediate Stage Masters Level; Late Stage Bachelors Level; Late Stage Masters Level; SCQF 10; SCQF 11; SCQF 9; US College Year 1; US College Year 2; US College Year 3; US College Year 5</t>
  </si>
  <si>
    <t>CCB</t>
  </si>
  <si>
    <t>Atmospheric Circulation, Climate, and Biomes: Determine the lab’s location!</t>
  </si>
  <si>
    <t>Describe how the atmospheric circulation causes the prevailing winds around the globe and drives the heat flow
Understand how general atmospheric pressure differences at different latitudes (and differing amounts of incoming solar radiation) drive the atmospheric circulation cell system
Relate the atmospheric circulation phenomenon to the climatic conditions that define the Earth’s biomes</t>
  </si>
  <si>
    <t xml:space="preserve">Tricellular model 
Patterns of atmospheric circulation 
The Coriolis effect 
Climate 
Biomes </t>
  </si>
  <si>
    <t>ESS2.D-H1; HS-ESS2-4</t>
  </si>
  <si>
    <t>35.3 AP Biology; 35.4 AP Biology; 35.5 AP Biology; 44.3 Biology 2e; 44.4 Biology 2e; 44.5 Biology 2e</t>
  </si>
  <si>
    <t>Biology, Engineering, Health Sciences</t>
  </si>
  <si>
    <t>22.2 AP Biology; 4.1 AP Biology; 4.1 Biology 2e; 4.2 AP Biology; 4.2 Biology 2e</t>
  </si>
  <si>
    <t>Biology 1.1 Introduction to cells; Biology 1.2 Ultrastructure of cells</t>
  </si>
  <si>
    <t>LS1.A-H1; LS1.A-M2</t>
  </si>
  <si>
    <t>4.1 AP Biology</t>
  </si>
  <si>
    <t>EHEA First Cycle; EHEA Short Cycle; Early Stage Bachelors Level; FHEQ 4; FHEQ 5; FHEQ 6; US College Year 1</t>
  </si>
  <si>
    <t>Biology Unit 2; Biology Unit 2.1; Biology Unit 2.10; Biology Unit 2.2; Biology Unit 2.3; Biology Unit 2.4</t>
  </si>
  <si>
    <t>1.2 Ultrastructure of cells; Biology 1.1 Introduction to cells; Biology 1.3 Membrane structure</t>
  </si>
  <si>
    <t>3.2 Anatomy &amp; Physiology; 3.2 Concepts of Biology; 3.2 Microbiology; 3.3 Concepts of Biology; 3.3 Microbiology; 3.4 Microbiology; 4.1 AP Biology; 4.1 Biology 2e; 4.3 AP Biology; 4.3 Biology 2e</t>
  </si>
  <si>
    <t>14.6 Microbiology</t>
  </si>
  <si>
    <t>CHA</t>
  </si>
  <si>
    <t>Human Impact on Climate Change: Balance human emissions and a growing population</t>
  </si>
  <si>
    <t>Biology, Earth Science, Physics, Chemistry</t>
  </si>
  <si>
    <t>Explain what is meant by anthropogenic climate change
Identify key human activities that contribute to climate change
Describe the effects of global climate change on the environment, people, and their livelihoods</t>
  </si>
  <si>
    <t>Climate modeling
Greenhouse effect
Climate change</t>
  </si>
  <si>
    <t>ESS3.D-H2; HS-ESS3-6</t>
  </si>
  <si>
    <t>35.5 AP Biology; 44.5 Biology 2e</t>
  </si>
  <si>
    <t>CNS</t>
  </si>
  <si>
    <t>Introduction to the Central Nervous System: Explore your body’s command center!</t>
  </si>
  <si>
    <t>Describe the overall organisation of the central nervous system
Identify relationships between areas of the cerebral cortex and the functions they control
Explain the internal structure of the spinal cord</t>
  </si>
  <si>
    <t>Topic 4.5: Feedback; Unit 4 Cell Communication and Cell Cycle</t>
  </si>
  <si>
    <t>6.6 Hormones, homeostasis and reproduction; Biology D.5 Hormones and metabolism</t>
  </si>
  <si>
    <t>12.1 Anatomy &amp; Physiology; 13.2 Anatomy &amp; Physiology; 26.1 Microbiology; 26.3 AP Biology; 35.3 Biology 2e</t>
  </si>
  <si>
    <t>Engineering, Chemistry, Health Sciences</t>
  </si>
  <si>
    <t>10.1 Fundamentals of organic chemistry; 10.2 Functional group chemistry; 20.1 Types of organic reactions</t>
  </si>
  <si>
    <t>2.1 Organic Chemistry; 7.1 Microbiology</t>
  </si>
  <si>
    <t>COE</t>
  </si>
  <si>
    <t>Conservation of Energy (Principles): Unleash the roller coaster's potential</t>
  </si>
  <si>
    <t>Physics, Biology</t>
  </si>
  <si>
    <t>Define potential and kinetic energy
Define mechanical energy and state its conservation principle
Use the principle of the conservation of mechanical energy and its mathematical expression to predict the behavior of a body in a frictionless system
Make changes to an isolated system to alter the total mechanical energy of a moving body, and examine how kinetic and potential energies change as the body moves through the system.</t>
  </si>
  <si>
    <t xml:space="preserve">Potential energy 
Kinetic energy 
Mechanical energy 
Energy conservation 
Energy conversion </t>
  </si>
  <si>
    <t>HS-PS3-1; PS3.B-H3</t>
  </si>
  <si>
    <t>6.1 Biology 2e; 6.2 AP Biology; 6.2 Biology 2e; 7.6 AP Physics; 9.2 Physics HS</t>
  </si>
  <si>
    <t>COU</t>
  </si>
  <si>
    <t>Coulomb's Law: Electrifying electrostatics</t>
  </si>
  <si>
    <t>Identify and describe the electrostatic force between two particles as proportional to the product of their charges and inversely proportional to the separation distance squared
Apply Coulomb’s law to make predictions about the electrostatic forces between two objects</t>
  </si>
  <si>
    <t>Coulomb's law
Electrostatics
Inverse-square law
Magnitude and direction
Data collection
Graphs</t>
  </si>
  <si>
    <t>HS-PS2-4</t>
  </si>
  <si>
    <t>18.2 Physics HS; 18.4 AP Physics</t>
  </si>
  <si>
    <t>2.3 Microbiology</t>
  </si>
  <si>
    <t>EHEA First Cycle; EHEA Second Cycle; Early Stage Bachelors Level; Early Stage Masters Level; FHEQ 6; FHEQ 7; Intermediate Stage Bachelors Level; Late Stage Bachelors Level; Support for laboratory skills at all levels; US College Year 1; US College Year 2; US College Year 3; US College Year 4; US College Year 5</t>
  </si>
  <si>
    <t>Big Idea 4: Systems interactions; Potentially too high level, but could support:; Unit 8: Ecology</t>
  </si>
  <si>
    <t>Biology C: Ecology and Conservation; Biology Unit 4: Ecology; Potentially too high level, but could support:</t>
  </si>
  <si>
    <t>HS-LS2-1; HS-LS2-2; HS-LS4-2</t>
  </si>
  <si>
    <t>Biology, Health Sciences, Chemistry</t>
  </si>
  <si>
    <t>4.2 Concepts of Biology; 7.2 AP Biology; 7.2 Biology 2e; 8.2 Microbiology</t>
  </si>
  <si>
    <t>4.3 Concepts of Biology; 7.3 AP Biology; 7.3 Biology 2e; 8.2 Microbiology</t>
  </si>
  <si>
    <t>7.1 AP Biology</t>
  </si>
  <si>
    <t>8.1 Metabolism; 8.2 Cell respiration</t>
  </si>
  <si>
    <t>4.1 Concepts of Biology; 6.4 AP Biology; 7.1 AP Biology; 7.1 Biology 2e; 7.4 Biology 2e; 7.5 AP Biology; 7.5 Biology 2e; 7.7 AP Biology; 7.7 Biology 2e</t>
  </si>
  <si>
    <t>Explain physiological adaptations of the cardio-respiratory system of seals to deep diving
Point out differences between human and seal physiology during long, deep dives without oxygen
Evaluate respiratory and cardiovascular function
Measure oxygen consumption and calculate the total amount of oxygen needed for dives of various durations, and compare this to estimated oxygen stores in the lungs, blood, and tissues of seals
Use graphing approaches to relate type of exercise to metabolic and heart rates</t>
  </si>
  <si>
    <t>6.4 Gas exchange; Biology D.6 Transport of respiratory gases</t>
  </si>
  <si>
    <t>30.1 AP Biology; 39.1 Biology 2e</t>
  </si>
  <si>
    <t>16.3 Concepts of Biology; 31.3 AP Biology; 4.1 Concepts of Biology; 40.3 Biology 2e; 6.1 AP Biology; 6.1 Biology 2e; 6.4 AP Biology; 7.1 AP Biology; 7.1 Biology 2e; 7.4 Biology 2e; 7.6 Biology 2e; 7.7 AP Biology; 7.7 Biology 2e</t>
  </si>
  <si>
    <t>Environmental Science 7.1 Introduction to air pollution; Environmental Science 7.6 Reduction of air pollutants</t>
  </si>
  <si>
    <t>HS-ESS3-1; HS-ETS1-3</t>
  </si>
  <si>
    <t>General Science, Biology, Engineering, Chemistry, Health Sciences</t>
  </si>
  <si>
    <t>General Science</t>
  </si>
  <si>
    <t>General Science, Chemistry</t>
  </si>
  <si>
    <t>2.7 DNA replication, transcription and translation; B.4 Medicine; Biology 3.5 Genetic modification and biotechnology</t>
  </si>
  <si>
    <t>HS-LS1-1, HS-LS3-1</t>
  </si>
  <si>
    <t>10.3 Concepts of Biology; 12.2 Microbiology; 17.4 AP Biology; 28.8 Organic Chemistry</t>
  </si>
  <si>
    <t>10.7 Anatomy &amp; Physiology; 19.1 Anatomy &amp; Physiology; 19.3 Anatomy &amp; Physiology; 20.2 Anatomy &amp; Physiology; 20.4 Anatomy &amp; Physiology</t>
  </si>
  <si>
    <t>Biology, Chemistry, Health Sciences, Earth Science, Physics</t>
  </si>
  <si>
    <t>ESS3.C-H1; HS-ESS3-3; HS-LS2-5; LS2.B-H3</t>
  </si>
  <si>
    <t>20.2 Concepts of Biology</t>
  </si>
  <si>
    <t>Earth Science, Biology, Physics, Chemistry</t>
  </si>
  <si>
    <t>ESS3.C-H1; Energy and Matter</t>
  </si>
  <si>
    <t>CYO</t>
  </si>
  <si>
    <t>Timescales of Change: Natural climate change factors</t>
  </si>
  <si>
    <t>Connect astronomical, tectonic, evolutionary and industrial factors that impact Earth's subsystems to climate change
Differentiate climate impacting factors by the duration and scale of their effect</t>
  </si>
  <si>
    <t>ESS2.A-H3; HS-ESS2-4</t>
  </si>
  <si>
    <t>ESS2.C-M1; LS2.B-E1</t>
  </si>
  <si>
    <t>DBS</t>
  </si>
  <si>
    <t>Propagation of Sound: Help a rock star tune their guitar!</t>
  </si>
  <si>
    <t>Recognize that sound is a wave and link its generation, propagation, and detection to vibrations and changes in pressure
Describe how the speed of a sound wave depends on the medium through which it travels and use v=f𝜆 to predict the change in wavelength as it passes from one medium to another
Relate pitch and loudness to frequency and amplitude using the graphical representation of a sound wave</t>
  </si>
  <si>
    <t>Sound as a wave
Production of Sound by vibrating objects
Propagation of sound through different media and how this affects speed/wavelength
Detection of sound by the ear
Pitch and loudness of sound</t>
  </si>
  <si>
    <t>HS-PS4-1; PS4.C-H1</t>
  </si>
  <si>
    <t>14.1 Physics HS; 17.2 AP Physics; 17.6 AP Physics</t>
  </si>
  <si>
    <t>DE1</t>
  </si>
  <si>
    <t>Chemistry 2.2 Intermolecular Force and Potential Energy; Chemistry 3.1. Intermolecular Forces; Chemistry 3.2 Properties of Solids; Chemistry 3.3 Solids, Liquids, and Gases; Chemistry 4.4 Physical and Chemical Changes; Chemistry 6.5 Energy of Phase Changes</t>
  </si>
  <si>
    <t>HS-PS1-3; HS-PS1-4; HS-PS1-6</t>
  </si>
  <si>
    <t>1.2 Chemistry 2e; 1.2 Chemistry: Atoms First 2e; 13.6 AP Physics</t>
  </si>
  <si>
    <t>Chemistry 2.2 Intermolecular Force and Potential Energy; Chemistry 3.1. Intermolecular Forces; Chemistry 3.2 Properties of Solids; Chemistry 4.4 Physical and Chemical Changes; Chemistry 6.5 Energy of Phase Changes</t>
  </si>
  <si>
    <t>HS-PS1-3; HS-PS1-4; HS-PS1-5; HS-PS1-7; PS1.A-E2</t>
  </si>
  <si>
    <t>11.2 Physics HS; 11.3 Physics HS</t>
  </si>
  <si>
    <t>EHEA First Cycle; EHEA Short Cycle; Early Stage Bachelors Level; FHEQ 6; US College Year 1; US College Year 2</t>
  </si>
  <si>
    <t>Chemistry 3.1. Intermolecular Forces; Chemistry 3.3 Solids, Liquids, and Gases; Chemistry 4.4 Physical and Chemical Changes; Chemistry 6.5 Energy of Phase Changes</t>
  </si>
  <si>
    <t>HS-PS1-3; HS-PS1-4; HS-PS1-5; HS-PS1-8; PS1.A-E2</t>
  </si>
  <si>
    <t>EHEA First Cycle; EHEA Short Cycle; Early Stage Bachelors Level; FHEQ 4; FHEQ 5; FHEQ 6; Support for laboratory skills at all levels; US College Year 1; US College Year 2</t>
  </si>
  <si>
    <t>Biology D.1 Human nutrition; Biology D.3 Functions of the liver</t>
  </si>
  <si>
    <t>17.2 Anatomy &amp; Physiology; 28.1 AP Biology; 28.2 AP Biology; 37.2 Biology 2e</t>
  </si>
  <si>
    <t>General Science, Engineering, Chemistry, Health Sciences, Biology</t>
  </si>
  <si>
    <t>10.3 Chemistry 2e; 10.3 Chemistry: Atoms First 2e; 10.4 Chemistry 2e; 10.4 Chemistry: Atoms First 2e; 11.4 Chemistry 2e; 11.4 Chemistry: Atoms First 2e</t>
  </si>
  <si>
    <t>DOT</t>
  </si>
  <si>
    <t>Drivers of Plate Tectonics: Replicate Earth’s convection currents</t>
  </si>
  <si>
    <t>Describe the process of convection
Relate the source of Earth’s internal heat to the movement of plates
Identify plate tectonics as a surface expression of convection currents in the mantle</t>
  </si>
  <si>
    <t xml:space="preserve">Convection lab experiment 
Temperature-dependent density of materials
Convection currents 
Sources of Earth’s heat 
Chemical and physical properties of Earth’s layers </t>
  </si>
  <si>
    <t>ESS2.B-H2; HS-ESS2-3</t>
  </si>
  <si>
    <t>DUC</t>
  </si>
  <si>
    <t>Conductivity Testing: Investigating conductivity and its practical applications</t>
  </si>
  <si>
    <t>Understand the difference between electrolytes and nonelectrolytes
Understand the relationship between concentration and conductivity
Understand the importance of ions in some biological systems
Understand the practical applications of conductivity testing</t>
  </si>
  <si>
    <t>Conductivity testing</t>
  </si>
  <si>
    <t>EAC</t>
  </si>
  <si>
    <t>Elements and Compounds: Get the oxygen back online!</t>
  </si>
  <si>
    <t>Chemistry, Health Sciences, Physics</t>
  </si>
  <si>
    <t>Investigate different elements, molecules and compounds, and how they are defined 
Investigate matter and classify if it is an element, molecule or a compound</t>
  </si>
  <si>
    <t>4.2 Chemistry: Atoms First 2e; 7.2 Chemistry 2e</t>
  </si>
  <si>
    <t>17.1 Anatomy &amp; Physiology; 17.2 Anatomy &amp; Physiology; 28.1 AP Biology; 28.2 AP Biology; 28.4 AP Biology; 37.2 Biology 2e; 37.4 Biology 2e; 37.5 Biology 2e</t>
  </si>
  <si>
    <t>Physics 1 Unit 8.1; Physics 1 Unit 8.2; Physics 1 Unit 8.3; Physics 1 Unit 9.1</t>
  </si>
  <si>
    <t>5.1 – Electric fields; Physics 5.1; Physics 5.3</t>
  </si>
  <si>
    <t>20.1 AP Physics</t>
  </si>
  <si>
    <t>Health Sciences, Engineering, Biology, Chemistry</t>
  </si>
  <si>
    <t>20.4 Microbiology</t>
  </si>
  <si>
    <t>11.7 Organic Chemistry; 11.9 Organic Chemistry</t>
  </si>
  <si>
    <t>Biology Unit 3: Genetics</t>
  </si>
  <si>
    <t>17.1 AP Biology; 17.1 Biology 2e</t>
  </si>
  <si>
    <t>Engineering, Biology, Health Sciences, Chemistry</t>
  </si>
  <si>
    <t>EHEA First Cycle; Early Stage Bachelors Level; Early Stage Masters Level; FHEQ 6; Intermediate Stage Bachelors Level; Late Stage Bachelors Level; US College Year 1; US College Year 2; US College Year 3; US College Year 4</t>
  </si>
  <si>
    <t>Health Sciences, General Science, Chemistry, Biology, Engineering</t>
  </si>
  <si>
    <t>12.1 Organic Chemistry</t>
  </si>
  <si>
    <t>EPS</t>
  </si>
  <si>
    <t>Electrophilic Aromatic Substitution: Mechanisms and resonances</t>
  </si>
  <si>
    <t>Health Sciences, Chemistry</t>
  </si>
  <si>
    <t>Understand the mechanism of the EAS
Classify substituents of benzene as activating or deactivating and as ortho, meta, and para directing groups
Recognize resonance structures to explain the outcome of any EAS</t>
  </si>
  <si>
    <t>16.2 Organic Chemistry; 16.4 Organic Chemistry</t>
  </si>
  <si>
    <t>Engineering, Chemistry</t>
  </si>
  <si>
    <t>Chemistry 7.1 Introduction to Equilibrium; Chemistry 7.10 Reaction Quotient and Le Châtelier's Principle; Chemistry 7.2 Direction of Reversible Reactions; Chemistry 7.3 Reaction Quotient and Equilibrium Constant; Chemistry 7.4 Calculating the Equilibrium Constant; Chemistry 7.5 Magnitude of the Equilibrium Constant; Chemistry 7.6 Properties of the Equilibrium Constant; Chemistry 7.7 Calculating Equilibrium Concentrations; Chemistry 7.8 Representations of Equilibrium; Chemistry 7.9 Introduction to Le Châtelier's Principle</t>
  </si>
  <si>
    <t>13.1 Chemistry 2e; 13.1 Chemistry: Atoms First 2e; 13.2 Chemistry 2e; 13.2 Chemistry: Atoms First 2e; 13.4 Chemistry 2e; 13.4 Chemistry: Atoms First 2e</t>
  </si>
  <si>
    <t>5.2 Concepts of Biology; 8.2 AP Biology; 8.2 Biology 2e</t>
  </si>
  <si>
    <t>Biology, Chemistry, Health Sciences</t>
  </si>
  <si>
    <t>Biology Unit 3.4; Biology Unit 3.5; Biology Unit 3: Cellular Energetics</t>
  </si>
  <si>
    <t>5.1 Concepts of Biology; 8.1 AP Biology; 8.1 Biology 2e; 8.1 Microbiology; 8.3 Biology 2e; 8.6 Microbiology</t>
  </si>
  <si>
    <t>4.1 Species, communities and ecosystems; 4.4 Climate change; Biology C.2 Communities and ecosystems; Biology C.3 Impacts of humans on ecosystems</t>
  </si>
  <si>
    <t>HS-LS2-2; HS-LS2-5</t>
  </si>
  <si>
    <t>19.1 Concepts of Biology; 19.2 Concepts of Biology; 19.3 Concepts of Biology; 19.4 Concepts of Biology; 20.3 Concepts of Biology; 35.1 AP Biology; 35.2 AP Biology; 35.3 AP Biology; 35.4 AP Biology; 44.1 Biology 2e; 44.2 Biology 2e; 44.3 Biology 2e; 44.4 Biology 2e</t>
  </si>
  <si>
    <t>4.2 Energy flow; Biology C.6 Nitrogen and phosphorus cycles</t>
  </si>
  <si>
    <t>20.3 AP Biology; 22.2 AP Biology</t>
  </si>
  <si>
    <t>11.4 Concepts of Biology; 18.2 AP Biology</t>
  </si>
  <si>
    <t>18.1 AP Biology</t>
  </si>
  <si>
    <t>19.2 AP Biology</t>
  </si>
  <si>
    <t>1.5 The origin of cells; 5.1 Evidence for evolution; 5.2 Natural selection; 5.3 Classification of biodiversity</t>
  </si>
  <si>
    <t>HS-LS3-1; HS-LS4-1; HS-LS4-2; HS-LS4-3; HS-LS4-4; Partially HS-LS3-3</t>
  </si>
  <si>
    <t>11.2 Concepts of Biology; 11.5 Concepts of Biology; 12.1 Concepts of Biology; 12.2 Concepts of Biology; 18.1 AP Biology; 18.1 Biology 2e; 19.1 AP Biology; 19.1 Biology 2e; 19.3 AP Biology; 19.3 Biology 2e; 27.1 Biology 2e; 27.3 Biology 2e; 27.4 Biology 2e</t>
  </si>
  <si>
    <t>Biology Big Idea 1: Evolution; Biology Unit 7: Natural Selection</t>
  </si>
  <si>
    <t>HS-LS3-3; HS-LS4-1; HS-LS4-2; HS-LS4-3; HS-LS4-4; HS-LS4-5</t>
  </si>
  <si>
    <t>11.3 Concepts of Biology; 11.5 Concepts of Biology; 12.1 Concepts of Biology; 12.2 Concepts of Biology; 18.1 AP Biology; 18.1 Biology 2e; 19.1 AP Biology; 19.1 Biology 2e; 19.3 AP Biology; 19.3 Biology 2e; 20.2 AP Biology; 20.2 Biology 2e; 20.3 AP Biology; 20.3 Biology 2e</t>
  </si>
  <si>
    <t>1.1 AP Biology; 1.1 Concepts of Biology; 1.2 AP Biology; 1.2 Concepts of Biology</t>
  </si>
  <si>
    <t>1.2 Physics HS</t>
  </si>
  <si>
    <t>1.1 AP Biology; 1.1 Biology 2e; 1.1 Chemistry 2e; 1.1 Chemistry: Atoms First 2e; 1.1 Concepts of Biology; 1.2 Biology 2e</t>
  </si>
  <si>
    <t>ESS3.C-H1; HS-LS2-4</t>
  </si>
  <si>
    <t>10.2 Concepts of Biology; 17.1 AP Biology; 4.4 Concepts of Biology; 8.4 Microbiology</t>
  </si>
  <si>
    <t>FIS</t>
  </si>
  <si>
    <t>Fission: Discover a powerful energy source</t>
  </si>
  <si>
    <t>Physics, Chemistry</t>
  </si>
  <si>
    <t>Demonstrate that neutrons being added to large nuclei creates instability, inducing fission and the subsequent nuclear chain reaction.
Demonstrate that the total number of neutrons plus protons is the same before and after the nuclear process (fission).
Demonstrate that the products of fission are unstable and they undergo radioactive decay. That is why fission produces radioactive waste.</t>
  </si>
  <si>
    <t>20.4 Chemistry: Atoms First 2e; 21.4 Chemistry 2e; 22.4 Physics HS; 32.6 AP Physics</t>
  </si>
  <si>
    <t>2.3 Microbiology; 20.5 Microbiology; 3.2 Concepts of Biology</t>
  </si>
  <si>
    <t>FM1</t>
  </si>
  <si>
    <t>Fundamental Math - Scientific Notation: Converting large numbers</t>
  </si>
  <si>
    <t>Health Sciences, Chemistry, Biology, Physics</t>
  </si>
  <si>
    <t>Convert basic numbers into scientific notation form
Assess the accuracy of scientific notation conversions
Convert large numbers into scientific notation form</t>
  </si>
  <si>
    <t>Problem-solving techniques</t>
  </si>
  <si>
    <t>1.3 College Physics 2e; 1.3 College Physics for AP Courses; 1.4 Chemistry 2e; 1.4 Chemistry: Atoms First 2e</t>
  </si>
  <si>
    <t>FM2</t>
  </si>
  <si>
    <t>Fundamental Mathematics: Significant Figures</t>
  </si>
  <si>
    <t>Identify the number of significant figures in a given numerical measurement
Round numbers to the correct number of significant figures
Retain the correct number of significant figures in calculations</t>
  </si>
  <si>
    <t>1.3 College Physics 2e; 1.3 College Physics for AP Courses; 1.5 Chemistry 2e; 1.5 Chemistry: Atoms First 2e</t>
  </si>
  <si>
    <t>FM3</t>
  </si>
  <si>
    <t>Fundamental Mathematics: Conversion factors and dimensional analysis</t>
  </si>
  <si>
    <t>Understand and apply dimensional analysis to convert units using one conversion
Apply dimensional analysis to convert units using multiple conversion factors
Apply dimensional analysis to solve more complex problems</t>
  </si>
  <si>
    <t>1.6 Chemistry 2e; 1.6 Chemistry: Atoms First 2e</t>
  </si>
  <si>
    <t>FM4</t>
  </si>
  <si>
    <t>Fundamental Mathematics: Logarithms and Exponentials</t>
  </si>
  <si>
    <t>Write logarithmic functions in exponential form and vice versa
Evaluate logarithmic functions with and without a calculator
Remember and apply logarithmic laws to basic logarithmic functions</t>
  </si>
  <si>
    <t>1.4 Chemistry 2e; 1.4 Chemistry: Atoms First 2e</t>
  </si>
  <si>
    <t>FM5</t>
  </si>
  <si>
    <t>Fundamental Mathematics: Density</t>
  </si>
  <si>
    <t>Apply Density in real-life scenarios
Recall the density formula (D = m/V)
Explain the inverse relationship between density, mass, and volume
Identify SI units for density, mass, and volume</t>
  </si>
  <si>
    <t>20.2 Chemistry 2e; 20.3 Chemistry 2e; 20.4 Chemistry 2e; 21.2 Chemistry: Atoms First 2e; 21.3 Chemistry: Atoms First 2e; 21.4 Chemistry: Atoms First 2e; 3.1 Organic Chemistry</t>
  </si>
  <si>
    <t>25.2 AP Biology; 34.2 Biology 2e</t>
  </si>
  <si>
    <t>Engineering, Physics</t>
  </si>
  <si>
    <t>2.3 Contact Forces; 2.5 Newton’s Third Law and Free-Body Diagrams; 3.2 Fundamental Forces; 3.7 Free-Body Diagrams for Objects in Uniform Circular Motion</t>
  </si>
  <si>
    <t>4.1 Physics HS; 4.5 AP Physics; 4.6 AP Physics</t>
  </si>
  <si>
    <t>FRA</t>
  </si>
  <si>
    <t>Fractional Distillation: Separate a liquid mixture into its fractions</t>
  </si>
  <si>
    <t>Explain the principles behind and procedure of separating hydrocarbon mixtures by fractional distillation
Use the Lever rule to determine appropriate procedural parameters for separating a given mixture
Deploy appropriate apparatus to perform a fractional distillation procedure</t>
  </si>
  <si>
    <t>Distillation
Fractional Distillation</t>
  </si>
  <si>
    <t>3.e Organic Chemistry</t>
  </si>
  <si>
    <t>FUS</t>
  </si>
  <si>
    <t>Fusion: The Future of Energy</t>
  </si>
  <si>
    <t>Demonstrate the conditions needed for fusion to occur
Demonstrate that the total number of neutrons plus protons is the same both before and after the nuclear process, although the total number of protons and the total number of neutrons may be different before and after.
Demonstrate that fusion processes release energy in a scale much larger than from chemical reactions and require initial energy for the reaction to take place</t>
  </si>
  <si>
    <t>20.4 Chemistry: Atoms First 2e; 21.4 Chemistry 2e; 22.4 Physics HS; 32.5 AP Physics; 32.7 AP Physics</t>
  </si>
  <si>
    <t>FWE</t>
  </si>
  <si>
    <t>Formulas and Equation Balancing: Save the chemistry lab!</t>
  </si>
  <si>
    <t>Connect the composition of molecules to their molecular formulas
Combine chemical formulas into (real-life) chemical reaction equations
Efficiently balance chemical equations using the principle of mass conservation
Compose balanced reaction equations to describe real-life chemical reactions</t>
  </si>
  <si>
    <t>2.4 Chemistry: Atoms First 2e; 4.1 Chemistry 2e; 7.1 Chemistry: Atoms First 2e</t>
  </si>
  <si>
    <t>US College Year 1; US College Year 2</t>
  </si>
  <si>
    <t>Chemistry, Physics</t>
  </si>
  <si>
    <t>Chemistry Unit 3.4 Ideal gas law; Physics 2 Unit 2.2 Pressure, thermal Equilibrium, and the ideal gas law</t>
  </si>
  <si>
    <t>12.2 Physics HS</t>
  </si>
  <si>
    <t>3.1 – Thermal concepts; 3.2 – Modelling a gas</t>
  </si>
  <si>
    <t>11.1 Physics HS; 12.2 Physics HS; 13.1 AP Physics; 13.3 AP Physics; 13.4 AP Physics; 8.1 Chemistry: Atoms First 2e; 8.2 Chemistry: Atoms First 2e; 8.3 Chemistry: Atoms First 2e; 9.1 Chemistry 2e; 9.2 Chemistry 2e; 9.3 Chemistry 2e</t>
  </si>
  <si>
    <t>Health Sciences, Biology, Engineering, Chemistry</t>
  </si>
  <si>
    <t>14.2 AP Biology; 14.2 Biology 2e; 9.1 Concepts of Biology</t>
  </si>
  <si>
    <t>GIA</t>
  </si>
  <si>
    <t>Absorption In the Small and Large Intestines: Journey from the stomach to the bloodstream</t>
  </si>
  <si>
    <t>Compare the wall composition of small and large intestine and relate this to their function
Explore the function of the villi in the lining of the small intestine
Detail the implications of dysfunction of absorption in the small and large intestine</t>
  </si>
  <si>
    <t>16.2 Concepts of Biology; 23.1 Anatomy &amp; Physiology; 23.5 Anatomy &amp; Physiology; 25.1 AP Biology; 25.3 AP Biology; 34.1 Biology 2e; 34.3 Biology 2e</t>
  </si>
  <si>
    <t>EHEA First Cycle; EHEA Second Cycle; Early Stage Bachelors Level; US College Year 1; US College Year 2; US College Year 3</t>
  </si>
  <si>
    <t>1.1 Concepts of Biology; 13.1 Microbiology</t>
  </si>
  <si>
    <t>4.2 AP Biology</t>
  </si>
  <si>
    <t>13.4 Microbiology; 14.3 Microbiology; 14.6 Microbiology</t>
  </si>
  <si>
    <t>Microscopy
Western blotting
RT-PCR</t>
  </si>
  <si>
    <t>16.2 AP Biology; 16.2 Biology 2e</t>
  </si>
  <si>
    <t>Biology 1.3 Membrane structure; Biology 6.3 Defence against infectious disease</t>
  </si>
  <si>
    <t>LS1.A-H1; LS1.A-H2; LS1.A-H3; LS1.A-H4</t>
  </si>
  <si>
    <t>4.2 AP Biology; 4.3 Microbiology; 4.4 Microbiology</t>
  </si>
  <si>
    <t>EHEA First Cycle; EHEA Short Cycle; Early Stage Bachelors Level; FHEQ 4; FHEQ 5; FHEQ 6; US College Year 1; US College Year 2</t>
  </si>
  <si>
    <t>Recall the steps of a Gram stain procedure
Justify the methodology and reagents used in a Gram staining procedure</t>
  </si>
  <si>
    <t>EHEA First Cycle; EHEA Short Cycle; Early Stage Bachelors Level; FHEQ 6; SCQF 9; US College Year 1; US College Year 2</t>
  </si>
  <si>
    <t>2.4 Microbiology; 22.2 AP Biology; 4.3 Microbiology; 8.5 Microbiology</t>
  </si>
  <si>
    <t>11.6 Microbiology; 16.1 AP Biology; 16.1 Biology 2e</t>
  </si>
  <si>
    <t>12.4 Microbiology</t>
  </si>
  <si>
    <t>GVF</t>
  </si>
  <si>
    <t>The Gravitational Field: The aliens are coming</t>
  </si>
  <si>
    <t>Define the gravitational acceleration
Define the gravitational field
Calculate the gravitational acceleration at a point of the gravitational field</t>
  </si>
  <si>
    <t xml:space="preserve">Gravitational field 
Universal law of gravitation 
Mass vs Weight 
Field strength </t>
  </si>
  <si>
    <t>ESS1.B-H1; HS-PS2-4</t>
  </si>
  <si>
    <t>7.2 Physics HS</t>
  </si>
  <si>
    <t>GVT</t>
  </si>
  <si>
    <t>Newton's Law of Gravitation: Mathematical expression of gravitational force</t>
  </si>
  <si>
    <t>Identify the components of gravitational force
Explain how the gravitational force is related to the masses of two objects and the distance between them
Use the gravitational formula to calculate the gravitational force between two distant objects</t>
  </si>
  <si>
    <t>Equation of the gravitational force
Terms of an equation 
Direct and inverse proportionality
Gravitational constant</t>
  </si>
  <si>
    <t>HS-PS2-4; PS2.B-H1</t>
  </si>
  <si>
    <t>6.5 AP Physics; 7.2 Physics HS</t>
  </si>
  <si>
    <t>10.2 Chemistry 2e; 10.2 Chemistry: Atoms First 2e; 11.8 AP Physics; 2.2 AP Biology; 2.2 Biology 2e; 2.2 Concepts of Biology; 20.2 Concepts of Biology</t>
  </si>
  <si>
    <t>16.3 Concepts of Biology; 31.2 AP Biology</t>
  </si>
  <si>
    <t>Physics 2 Unit 2.8; Physics 2 Unit 2.9; Physics C: Mechanics Unit  4.3</t>
  </si>
  <si>
    <t>HS-PS1; PS1A; PS1B</t>
  </si>
  <si>
    <t>8.1 Physics HS; 8.2 Physics HS; 8.3 Physics HS; 8.4 AP Physics; 8.5 AP Physics</t>
  </si>
  <si>
    <t>1.2 Organic Chemistry; 2.3 Biology 2e; 4.6 Chemistry: Atoms First 2e; 5.2 Chemistry: Atoms First 2e; 5.3 Chemistry: Atoms First 2e; 7.6 Chemistry 2e; 8.2 Chemistry 2e; 8.3 Chemistry 2e</t>
  </si>
  <si>
    <t>10.2 Concepts of Biology; 17.1 AP Biology</t>
  </si>
  <si>
    <t>16.1 Concepts of Biology; 24.3 AP Biology; 33.3 Biology 2e</t>
  </si>
  <si>
    <t>26.5 Organic Chemistry</t>
  </si>
  <si>
    <t>1.5 Anatomy &amp; Physiology; 24.3 AP Biology; 33.3 Biology 2e</t>
  </si>
  <si>
    <t>2.1 Types of Chemical Bonds; 2.3. Structure of Ionic Solids; 2.5 Lewis Diagrams</t>
  </si>
  <si>
    <t>4.1 Ionic bonding and structure; 4.2 Covalent bonding; 4.3 Covalent structures</t>
  </si>
  <si>
    <t>HS-PS1-1; HS-PS2-6</t>
  </si>
  <si>
    <t>1.12 Organic Chemistry; 1.4 Organic Chemistry; 1.5 Organic Chemistry; 10.5 Chemistry 2e; 10.5 Chemistry: Atoms First 2e; 2.2 Anatomy &amp; Physiology; 2.6 Chemistry 2e; 3.7 Chemistry: Atoms First 2e; 4.1 Chemistry: Atoms First 2e; 4.2 Chemistry: Atoms First 2e; 4.4 Chemistry: Atoms First 2e; 4.5 Chemistry: Atoms First 2e; 7.1 Chemistry 2e; 7.2 Chemistry 2e; 7.3 Chemistry 2e; 7.4 Chemistry 2e</t>
  </si>
  <si>
    <t>4.3 Microbiology; 9.6 Microbiology</t>
  </si>
  <si>
    <t>IDK</t>
  </si>
  <si>
    <t>Measurements and Uncertainty</t>
  </si>
  <si>
    <t>Chemistry, Health Sciences, Biology, Physics</t>
  </si>
  <si>
    <t>Differentiate between instruments that give a reading and a measurement
Select an instrument of appropriate resolution to perform a measurement
Refine an experimental methodology to reduce its inherent uncertainty</t>
  </si>
  <si>
    <t>Measurements and readings
Calibration of tools
Uncertainty calculations</t>
  </si>
  <si>
    <t>ETS1.A-H1</t>
  </si>
  <si>
    <t>1.1 AP Biology; 1.1 Concepts of Biology; 1.2 Concepts of Biology; 1.3 AP Physics; 1.3 Physics HS; 1.4 Chemistry 2e; 1.4 Chemistry: Atoms First 2e; 1.5 Chemistry 2e; 1.5 Chemistry: Atoms First 2e</t>
  </si>
  <si>
    <t>Benedict's test</t>
  </si>
  <si>
    <t>Biology Unit 1; Biology Unit 1.3; Biology Unit 1.4; Biology Unit 1.5</t>
  </si>
  <si>
    <t>Biology 2.1 Molecules to metabolism; Biology D.1 Human Nutrition</t>
  </si>
  <si>
    <t>25.1 Organic Chemistry; 3.2 AP Biology; 7.2 Microbiology</t>
  </si>
  <si>
    <t>26.9 Organic Chemistry; 3.4 AP Biology; 3.4 Biology 2e; 7.4 Microbiology</t>
  </si>
  <si>
    <t>Biology 2.1 Molecules to metabolism.; Biology D.1 Human Nutrition; Chemistry B.3 Lipids</t>
  </si>
  <si>
    <t>2.3 Concepts of Biology; 27.1 Organic Chemistry; 27.e Organic Chemistry; 3.3 AP Biology; 3.3 Biology 2e; 7.3 Microbiology</t>
  </si>
  <si>
    <t>Chemistry, Biology, Health Sciences</t>
  </si>
  <si>
    <t>Benedict's test
Biuret test
Iodine test
Sudan test</t>
  </si>
  <si>
    <t>2.1 Molecules to metabolism; 2.3 Carbohydrates and lipids; Biology D.1 Human nutrition; Biology D.2 Digestion</t>
  </si>
  <si>
    <t>3.1 Biology 2e; 3.2 AP Biology</t>
  </si>
  <si>
    <t>LS1.A-H1; LS1.A-H3</t>
  </si>
  <si>
    <t>21.1 Anatomy &amp; Physiology</t>
  </si>
  <si>
    <t>EHEA First Cycle; EHEA Short Cycle; Early Stage Bachelors Level; FHEQ 4; FHEQ 5; SCQF 7; SCQF 8; US College Year 1; US College Year 2; US College Year 3</t>
  </si>
  <si>
    <t>6.2 The blood system; Biology 11.1; Biology 6.3 Defence against infectious disease</t>
  </si>
  <si>
    <t>EHEA First Cycle; Early Stage Bachelors Level; FHEQ 6; Intermediate Stage Bachelors Level; Late Stage Bachelors Level; US College Year 1; US College Year 2; US College Year 3; US College Year 4</t>
  </si>
  <si>
    <t>11.1 Antibody production and vaccination; Biology 6.3 Defence against infectious disease</t>
  </si>
  <si>
    <t>17.1 Microbiology; 17.2 Concepts of Biology; 17.2 Microbiology; 17.3 Concepts of Biology; 17.4 Concepts of Biology; 21.2 Anatomy &amp; Physiology; 21.3 Anatomy &amp; Physiology; 21.4 Anatomy &amp; Physiology; 21.5 Anatomy &amp; Physiology; 33.1 AP Biology; 33.2 AP Biology; 33.3 AP Biology; 42.1 Biology 2e; 42.2 Biology 2e; 42.3 Biology 2e</t>
  </si>
  <si>
    <t>15.1 Biology 2e</t>
  </si>
  <si>
    <t>1.2 Concepts of Biology</t>
  </si>
  <si>
    <t>IRS</t>
  </si>
  <si>
    <t>Infrared Spectroscopy</t>
  </si>
  <si>
    <t>Describe the theory behind IR, covering variations in dipolar momentum in vibrations from a qualitative point of view.
Interpret the IR spectrum of simple organic molecules (1-butanol for example)
Analyze the three basic components of an infrared spectrometer: radiation source, monochromator and detector.</t>
  </si>
  <si>
    <t>Infrared Spectroscopy
Michelson interferometer
Symmetric and asymmetric vibrations
Stretching and bending</t>
  </si>
  <si>
    <t>12.6 Organic Chemistry; 12.7 Organic Chemistry; 12.8 Organic Chemistry</t>
  </si>
  <si>
    <t>Early Stage Bachelors Level; US College Year 1; US College Year 2</t>
  </si>
  <si>
    <t>KEP</t>
  </si>
  <si>
    <t>Kepler's laws: Explore the orbits of other worlds</t>
  </si>
  <si>
    <t>Relate Kepler's laws to the common motions of objects in orbit.
Describe how a planet's velocity changes within its elliptical orbit
Use Kepler's third law to relate the orbital period and the length of the semimajor axis of an orbit and predict the period of an orbit from its semimajor axis.</t>
  </si>
  <si>
    <t>ESS1.A-M1; ESS1.B-H1</t>
  </si>
  <si>
    <t>6.6 AP Physics; 7.1 Physics HS</t>
  </si>
  <si>
    <t>Demonstrate a detailed understanding of the nucleophilic addition reaction
Provide an overview and examples of nucleophilic addition to a carbonyl group
Draw correctly the mechanism for common nucleophilic addition reactions
Demonstrate a detailed understanding of the Grignard reaction
Describe the role of each reagent in the Grignard reaction
Explain the sensitivity of Grignard reaction conditions and be able to make procedural adjustments
Gain understanding and practical experience of essential laboratory techniques: reflux reactions, air-sensitive synthesis, and generation and use of reagents in situ.</t>
  </si>
  <si>
    <t>17.5 Organic Chemistry</t>
  </si>
  <si>
    <t>4.1 Species, communities and ecosystems; Biology C.5 Population ecology; C.4 Conservation of biodiversity</t>
  </si>
  <si>
    <t>HS-LS2-2; HS-LS4-5</t>
  </si>
  <si>
    <t>12.1 Chemistry 2e; 12.2 Chemistry 2e; 12.5 Chemistry 2e; 17.1 Chemistry: Atoms First 2e; 17.2 Chemistry: Atoms First 2e; 17.5 Chemistry: Atoms First 2e; 2.3 Anatomy &amp; Physiology; 6.7 Organic Chemistry; 6.9 Organic Chemistry</t>
  </si>
  <si>
    <t>Litmus Test for Carboxylic Acids</t>
  </si>
  <si>
    <t>36.4 AP Biology; 45.4 Biology 2e</t>
  </si>
  <si>
    <t>4.2 Travelling waves; 4.4 Wave behaviour</t>
  </si>
  <si>
    <t>15.1 Physics HS; 24.3 AP Physics; 3.1 Chemistry: Atoms First 2e; 6.1 Chemistry 2e</t>
  </si>
  <si>
    <t>16.1 Physics HS; 16.2 Physics HS; 25.2 AP Physics; 25.3 AP Physics</t>
  </si>
  <si>
    <t>15.2 Physics HS; 2.1 Microbiology; 27.8 AP Physics</t>
  </si>
  <si>
    <t>LOS</t>
  </si>
  <si>
    <t>Skeletal System: Solve a missing person case</t>
  </si>
  <si>
    <t>Broadly describe the major structure and functions of the skeletal system
Differentiate the major types of bone by general structure and feature
Identify the microscopic structure of compact and spongy bone and relate this to function</t>
  </si>
  <si>
    <t>16.5 Concepts of Biology; 29.1 AP Biology; 38.1 Biology 2e; 6.1 Anatomy &amp; Physiology; 6.2 Anatomy &amp; Physiology; 6.3 Anatomy &amp; Physiology; 7.2 Anatomy &amp; Physiology; 8.1 Anatomy &amp; Physiology; 8.3 Anatomy &amp; Physiology</t>
  </si>
  <si>
    <t>EHEA First Cycle; Early Stage Bachelors Level; FHEQ 6; SCQF 10; SCQF 9; US College Year 1; US College Year 2; US College Year 3</t>
  </si>
  <si>
    <t>2.2 The Gravitational Field; 3.3 Gravitational and Electric Forces; 3.4 Gravitational Field/Acceleration Due to Gravity on Different Planets; 3.8 Applications of Circular Motion and Gravitation; 6.1 Period of Simple Harmonic Oscillators</t>
  </si>
  <si>
    <t>2.2 – Forces; 6.1 – Circular motion; 6.2 – Newton’s law of gravitation</t>
  </si>
  <si>
    <t>5.5 Physics HS</t>
  </si>
  <si>
    <t>4.1 Species, communities and ecosystems; 4.2 Energy flow; 4.3 Carbon cycling; Biology C.2 Communities and ecosystems</t>
  </si>
  <si>
    <t>HS-LS2-3; Partial alignment: HS-LS2-6</t>
  </si>
  <si>
    <t>19.1 Concepts of Biology; 19.4 Concepts of Biology; 37.1 AP Biology; 38.1 AP Biology; 46.1 Biology 2e; 47.1 Biology 2e</t>
  </si>
  <si>
    <t>Spectrophotometry
Sampling</t>
  </si>
  <si>
    <t>Environmental Science 1.3 Aquatic biomes; Environmental Science 8.6 Thermal pollution</t>
  </si>
  <si>
    <t>20.4 Concepts of Biology</t>
  </si>
  <si>
    <t>Spectrophotometry
Fish dissecting
Sampling</t>
  </si>
  <si>
    <t>High level content, may support:; Unit 8: Ecology</t>
  </si>
  <si>
    <t>HS-PS1-8; PS1.C-H1</t>
  </si>
  <si>
    <t>20.1 Chemistry: Atoms First 2e; 20.3 Chemistry: Atoms First 2e; 21.1 Chemistry 2e; 21.3 Chemistry 2e; 22.2 Physics HS; 22.3 Physics HS; 31.1 AP Physics; 31.4 AP Physics; 31.5 AP Physics</t>
  </si>
  <si>
    <t>12.1 Microbiology; 14.6 AP Biology; 14.6 Biology 2e; 17.1 AP Biology; 17.1 Biology 2e</t>
  </si>
  <si>
    <t>HS-LS3-1; HS-LS3-2; HS-LS3-3</t>
  </si>
  <si>
    <t>13.2 AP Biology; 13.2 Biology 2e</t>
  </si>
  <si>
    <t>12.2 AP Biology; 12.3 AP Biology</t>
  </si>
  <si>
    <t>12.2 AP Biology</t>
  </si>
  <si>
    <t>Explain how traits are passed on from parents to their offspring and what causes variation between siblings
Describe Mendel’s Laws of Inheritance as they are associated with colorblindness
Analyze dominant and recessive alleles, and how they play a part in an individual’s biological make-up</t>
  </si>
  <si>
    <t>12.3 AP Biology; 8.2 Concepts of Biology</t>
  </si>
  <si>
    <t>MEF</t>
  </si>
  <si>
    <t>Magnetic Fields</t>
  </si>
  <si>
    <t>Define the magnetic field lines around a bar magnet
Demonstrate how magnetic field lines change when two magnets interact
Explain how the alignment of magnetic domains affects the magnetic fields of induced and permanent magnets</t>
  </si>
  <si>
    <t>20.1 Physics HS; 22.1 AP Physics; 22.3 AP Physics</t>
  </si>
  <si>
    <t>10.4 AP Biology; 10.4 Biology 2e; 13.1 AP Biology; 13.1 Biology 2e</t>
  </si>
  <si>
    <t>10.1 Meiosis; 3.3 Meiosis</t>
  </si>
  <si>
    <t>11.1 AP Biology; 11.1 Biology 2e; 11.2 Biology 2e; 7.2 Concepts of Biology</t>
  </si>
  <si>
    <t>Explain how traits are passed on from parents to their offspring and what causes variation between siblings
Describe Mendel’s Laws of Inheritance as they are associated with colorblindness
Compare and predict the phenotypes of offspring with given genotypes using Punnett squares
Analyze dominant and recessive alleles, and how they play a part in an individual’s biological make-up</t>
  </si>
  <si>
    <t>Punnett squares
Pedigree trees
Breeding mice</t>
  </si>
  <si>
    <t>HS-LS1-4; HS-LS3-1; HS-LS3-2; HS-LS3-3</t>
  </si>
  <si>
    <t>12.1 AP Biology; 12.1 Biology 2e; 12.2 AP Biology; 12.2 Biology 2e; 12.3 AP Biology; 12.3 Biology 2e; 28.7 Anatomy &amp; Physiology; 8.1 Concepts of Biology; 8.2 Concepts of Biology</t>
  </si>
  <si>
    <t>13.1 AP Biology</t>
  </si>
  <si>
    <t>EHEA First Cycle; Early Stage Bachelors Level; Early Stage Masters Level; US College Year 1; US College Year 2; US College Year 3; US College Year 4</t>
  </si>
  <si>
    <t>10.4 AP Biology; 10.4 Biology 2e; 16.7 AP Biology; 16.7 Biology 2e; 6.3 Concepts of Biology</t>
  </si>
  <si>
    <t>EHEA First Cycle; Early Stage Bachelors Level; Intermediate Stage Bachelors Level; US College Year 3; US College Year 4; US College Year 5; US College Year 6</t>
  </si>
  <si>
    <t>11.4 Chemistry 2e; 11.4 Chemistry: Atoms First 2e</t>
  </si>
  <si>
    <t>General Science, Biology, Engineering, Health Sciences</t>
  </si>
  <si>
    <t>Fluorescence Microscopy
Light microscopy: using immersion oil and working with different objectives</t>
  </si>
  <si>
    <t>1.1 Introduction to cells*; 1.2 Ultrastructure of cells</t>
  </si>
  <si>
    <t>1.1 Concepts of Biology; 2.3 Microbiology; 2.4 Microbiology; 3.2 Concepts of Biology</t>
  </si>
  <si>
    <t>1.6 Cell division; 10.1 Meiosis; 3.3 Meiosis</t>
  </si>
  <si>
    <t>10.1 AP Biology; 10.1 Biology 2e; 10.2 AP Biology; 10.2 Biology 2e; 10.3 AP Biology; 10.3 Biology 2e; 10.5 Biology 2e; 11.1 AP Biology; 11.1 Biology 2e; 3.5 Anatomy &amp; Physiology; 6.2 Concepts of Biology</t>
  </si>
  <si>
    <t>Light microscopy
Fluorescence Microscopy
Sample preparation</t>
  </si>
  <si>
    <t>10.2 AP Biology; 6.2 Concepts of Biology</t>
  </si>
  <si>
    <t>Biology Unit 5.2; Biology Unit 5.6; Biology Unit 6.2</t>
  </si>
  <si>
    <t>LS3.A-H1; LS3.B-H1</t>
  </si>
  <si>
    <t>34.3 AP Biology; 43.3 Biology 2e</t>
  </si>
  <si>
    <t>EHEA First Cycle; Early Stage Bachelors Level; FHEQ 6; US College Year 1; US College Year 2</t>
  </si>
  <si>
    <t>MOM</t>
  </si>
  <si>
    <t>Mixtures: Homogeneous or heterogeneous?</t>
  </si>
  <si>
    <t>Describe the difference between a compound and a mixture
Describe the difference between homogeneous and heterogeneous mixtures
Recognize that the components of a mixture have different individual physical properties, compared to the physical properties of the mixture.</t>
  </si>
  <si>
    <t>Mixtures</t>
  </si>
  <si>
    <t>EHEA First Cycle; Early Stage Bachelors Level; Support for laboratory skills at all levels; US College Year 1; US College Year 2; US College Year 3</t>
  </si>
  <si>
    <t>12.2 Organic Chemistry; 12.3 Organic Chemistry; 12.4 Organic Chemistry; 12.5 Organic Chemistry</t>
  </si>
  <si>
    <t>10.1 Anatomy &amp; Physiology; 10.2 Anatomy &amp; Physiology; 10.7 Anatomy &amp; Physiology; 10.8 Anatomy &amp; Physiology; 16.5 Concepts of Biology; 29.1 AP Biology; 29.4 AP Biology; 38.1 Biology 2e; 38.4 Biology 2e; 4.4 Anatomy &amp; Physiology</t>
  </si>
  <si>
    <t>12.2 Microbiology; 3.5 Biology 2e</t>
  </si>
  <si>
    <t>HS-LS1-1; LS1.C-H2; LS3.A-H1</t>
  </si>
  <si>
    <t>10.2 Microbiology; 14.2 AP Biology; 14.2 Biology 2e; 28.2 Organic Chemistry; 9.1 Concepts of Biology</t>
  </si>
  <si>
    <t>EHEA First Cycle; EHEA Short Cycle; Early Stage Bachelors Level; US College Year 1; US College Year 2; US College Year 3</t>
  </si>
  <si>
    <t>Engineering, Biology</t>
  </si>
  <si>
    <t>35.1 AP Biology; 44.1 Biology 2e</t>
  </si>
  <si>
    <t>10.1 Concepts of Biology</t>
  </si>
  <si>
    <t>2.4 Newton’s First Law; 2.5 Newton’s Third Law and Free-Body Diagrams; 2.6 Newton’s Second Law; 2.7 Applications of Newton’s Second Law; 3.7 Free-Body Diagrams for Objects in Uniform Circular Motion</t>
  </si>
  <si>
    <t>4.2 AP Physics; 4.2 Physics HS; 4.3 AP Physics; 4.3 Physics HS; 4.4 AP Physics; 4.4 Physics HS</t>
  </si>
  <si>
    <t>4.2 AP Physics; 4.2 Physics HS</t>
  </si>
  <si>
    <t>4.3 AP Physics; 4.3 Physics HS</t>
  </si>
  <si>
    <t>13.1 Organic Chemistry; 13.2 Organic Chemistry; 13.3 Organic Chemistry</t>
  </si>
  <si>
    <t>20.1 Chemistry 2e; 21.1 Chemistry: Atoms First 2e; 3.4 Organic Chemistry</t>
  </si>
  <si>
    <t>2.4 Chemistry: Atoms First 2e; 2.7 Chemistry 2e; 4.3 Chemistry: Atoms First 2e; 4.4 Chemistry: Atoms First 2e; 7.3 Chemistry 2e</t>
  </si>
  <si>
    <t>NOX</t>
  </si>
  <si>
    <t>Spanish version - Chemical Nomenclature: Learn the importance of inorganic compounds in life!</t>
  </si>
  <si>
    <t>Interconvert the names and formulas of monatomic cations and anions
Interconvert the names and formulas of simple ionic and covalent inorganic compounds
Interconvert the names and formulas of oxyanions</t>
  </si>
  <si>
    <t>12.5 Anatomy &amp; Physiology</t>
  </si>
  <si>
    <t>Engineering, Physics, Biology</t>
  </si>
  <si>
    <t>4.1 Open and Closed Systems: Energy; 4.2 Work and Mechanical Energy; 4.3 Conservation of Energy, the Work-Energy Principle, and Power</t>
  </si>
  <si>
    <t>6.1 AP Biology; 6.2 AP Biology; 6.2 Biology 2e</t>
  </si>
  <si>
    <t>12.1 Anatomy &amp; Physiology; 16.6 Concepts of Biology; 26.1 AP Biology; 26.2 AP Biology; 26.3 AP Biology; 35.1 Biology 2e; 35.2 Biology 2e; 35.3 Biology 2e</t>
  </si>
  <si>
    <t>20.1 Chemistry: Atoms First 2e; 20.3 Chemistry: Atoms First 2e; 21.1 Chemistry 2e; 21.3 Chemistry 2e</t>
  </si>
  <si>
    <t>HS-PS1-2; HS-PS1-4</t>
  </si>
  <si>
    <t>2.1 Organic Chemistry; 6.1 Organic Chemistry; 6.2 Organic Chemistry</t>
  </si>
  <si>
    <t>11.3 The kidney and osmoregulation; 2.2 Water; Biology 1.3 Membrane structure</t>
  </si>
  <si>
    <t>12.7 AP Physics; 32.1 AP Biology; 41.1 Biology 2e; 41.5 Biology 2e</t>
  </si>
  <si>
    <t>PAC</t>
  </si>
  <si>
    <t>Physical and Chemical Properties: Escape the lab!</t>
  </si>
  <si>
    <t>Define what a physical and chemical property is.
Identify and recall examples of physical and chemical properties.
Classify different properties as either physical or chemical.</t>
  </si>
  <si>
    <t>Physical and Chemical properties
Correlation and causation</t>
  </si>
  <si>
    <t>13.2 Microbiology</t>
  </si>
  <si>
    <t>PCC</t>
  </si>
  <si>
    <t>Physical and Chemical Changes: Escape the hostile planet!</t>
  </si>
  <si>
    <t>Distinguish physical and chemical changes
Classify changes as physical or chemical</t>
  </si>
  <si>
    <t>Physical and Chemical Changes</t>
  </si>
  <si>
    <t>1.2 Chemistry 2e; 1.3 Chemistry: Atoms First 2e</t>
  </si>
  <si>
    <t>Chemistry 3.1 Periodic table; Chemistry 3.2 Periodic trends</t>
  </si>
  <si>
    <t>3.5 Chemistry: Atoms First 2e; 6.5 Chemistry 2e</t>
  </si>
  <si>
    <t>Biology D.1 Human nutrition; Biology D.2 Digestion</t>
  </si>
  <si>
    <t>PEF</t>
  </si>
  <si>
    <t>The Photoelectric Effect: How Solar Panels Generate Renewable Energy</t>
  </si>
  <si>
    <t>Demonstrate the principles of the photoelectric effect experimentally.
Identify how the particle model can explain the photoelectric effect where the wave model cannot.
Detail the basics of how solar panels use the photoelectric effect to generate electricity.</t>
  </si>
  <si>
    <t>Observing characteristics of the photoelectric effect</t>
  </si>
  <si>
    <t>HS-PS4-5</t>
  </si>
  <si>
    <t>21.2 Physics HS; 21.3 Physics HS; 29.2 AP Physics; 6.1 Chemistry 2e</t>
  </si>
  <si>
    <t>1.7 Periodic Trends; 1.8 Valence Electrons and Ionic Compounds</t>
  </si>
  <si>
    <t>3.5 Chemistry: Atoms First 2e</t>
  </si>
  <si>
    <t>Engineering, Biology, Health Sciences</t>
  </si>
  <si>
    <t>23.5 AP Biology</t>
  </si>
  <si>
    <t>Reducing sugars
Positive and negative controls
Benedict's test</t>
  </si>
  <si>
    <t>3.2 AP Biology</t>
  </si>
  <si>
    <t>Fehling's Test: Which food samples contain reducing sugars?</t>
  </si>
  <si>
    <t>Process a food sample through Tollens' test for reducing sugars
Briefly describe the reaction mechanism that permits the detection of reducing sugars
Interpret the results of Tollens' test</t>
  </si>
  <si>
    <t>Tollens' Test
Reducing sugars
Positive and negative controls</t>
  </si>
  <si>
    <t>10.1 Properties of Waves; 10.2 Periodic Waves; 6.1 Period of Simple Harmonic Oscillators; 6.2 Energy of a Simple Harmonic Oscillator</t>
  </si>
  <si>
    <t>2.1 – Motion; 4.1 – Oscillations</t>
  </si>
  <si>
    <t>16.2 AP Physics; 16.3 AP Physics; 5.5 Physics HS</t>
  </si>
  <si>
    <t>General Science, Chemistry, Health Sciences, Biology</t>
  </si>
  <si>
    <t>13.4 Organic Chemistry; 13.5 Organic Chemistry; 13.6 Organic Chemistry; 13.7 Organic Chemistry</t>
  </si>
  <si>
    <t>PNS</t>
  </si>
  <si>
    <t>The Peripheral Nervous System: Create a model of the nervous system</t>
  </si>
  <si>
    <t>Detail the general structure of a nerve and relate it to its role in the peripheral nervous system
Categorize the 12 cranial nerves by name, number, origin, and type and briefly summarize their functions
Classify the spinal nerves be regions and explain the formation of the rami and name the 4 plexuses</t>
  </si>
  <si>
    <t>12.1 Anatomy &amp; Physiology; 12.2 Anatomy &amp; Physiology; 13.4 Anatomy &amp; Physiology; 26.1 Microbiology; 26.4 AP Biology; 35.4 Biology 2e</t>
  </si>
  <si>
    <t>EHEA First Cycle; EHEA Second Cycle; EHEA Short Cycle; Early Stage Bachelors Level; FHEQ 6; SCQF 10; SCQF 9; US College Year 1; US College Year 2; US College Year 3</t>
  </si>
  <si>
    <t>11.1 Concepts of Biology; 19.1 Concepts of Biology; 19.2 Concepts of Biology; 36.1 AP Biology; 36.3 AP Biology; 45.1 Biology 2e; 45.3 Biology 2e</t>
  </si>
  <si>
    <t>16.2 Concepts of Biology; 25.3 AP Biology</t>
  </si>
  <si>
    <t>2.4 Proteins; 6.1 Digestion and absorption; Biology D.1 Human nutrition; Biology D.2 Digestion</t>
  </si>
  <si>
    <t>2.3 Concepts of Biology; 3.4 AP Biology</t>
  </si>
  <si>
    <t>Biology 1.3 Introduction; to Biological Macromolecules</t>
  </si>
  <si>
    <t>11.4 Microbiology; 15.5 AP Biology; 15.5 Biology 2e; 28.5 Organic Chemistry; 3.4 Biology 2e</t>
  </si>
  <si>
    <t>Biology 2.7 DNA replication, transcription and translation; Biology 3.5 Genetic modification and biotechnology</t>
  </si>
  <si>
    <t>32.2 AP Biology; 32.3 AP Biology; 41.2 Biology 2e; 41.3 Biology 2e</t>
  </si>
  <si>
    <t>7.5 Microbiology</t>
  </si>
  <si>
    <t>Big Idea 2: Energetics; Unit 6: Gene Expression and Regulation</t>
  </si>
  <si>
    <t>2.4 Proteins; 2.7 DNA replication, transcription and translation</t>
  </si>
  <si>
    <t>3.4 AP Biology; 3.4 Anatomy &amp; Physiology</t>
  </si>
  <si>
    <t>Purification and Separation of a Mixture: Test your analytical chemistry skills</t>
  </si>
  <si>
    <t>Filtration
Simple distillation
Solvent extraction
Size exclusion chromatography
Electrolysis
Electrolytic refining
Recrystallization
Zone refining
Displacement
Precipitation</t>
  </si>
  <si>
    <t>US College Year 1; US College Year 2; US College Year 3</t>
  </si>
  <si>
    <t>PTP</t>
  </si>
  <si>
    <t>Phthalein-Dye Test for Phenols</t>
  </si>
  <si>
    <t>Identify the reagents for the test
Justify the environments for the reactions (acidic/ heated)
Recall the steps to safely perform the Phthalein-Dye test
Distinguish between positive and negative results
Discover the relationship between colour and pH for phenolphthalein</t>
  </si>
  <si>
    <t>The Science of Colors
Functional Group chemical testing</t>
  </si>
  <si>
    <t>NA</t>
  </si>
  <si>
    <t>PVC</t>
  </si>
  <si>
    <t>Synthetic Polymers: Discover their impact on everyday life</t>
  </si>
  <si>
    <t>Describe how synthetic polymers form and how that leads to different structures.
Predict the properties of a synthetic polymer from its structure and therefore its application.
Link the properties of polymers (natural vs. synthetic) with their environmental impact.</t>
  </si>
  <si>
    <t>31.1 Organic Chemistry; 31.7 Organic Chemistry</t>
  </si>
  <si>
    <t>RAN</t>
  </si>
  <si>
    <t>Anatomy of the Respiratory System: Help rebuild a broken system</t>
  </si>
  <si>
    <t xml:space="preserve">Distinguish the functions of the upper and lower respiratory tract
Name the organs that make up the respiratory system
Describe the structure and function of the lungs and the pleural coverings	</t>
  </si>
  <si>
    <t>22.1 Anatomy &amp; Physiology; 22.1 Microbiology; 22.2 Anatomy &amp; Physiology; 22.3 Anatomy &amp; Physiology; 30.1 AP Biology; 39.1 Biology 2e</t>
  </si>
  <si>
    <t>34.1 AP Biology</t>
  </si>
  <si>
    <t>Engineering, Chemistry, Health Sciences, Biology</t>
  </si>
  <si>
    <t>16.5 Chemistry: Atoms First 2e; 17.5 Chemistry 2e; 4.2 Chemistry 2e</t>
  </si>
  <si>
    <t>9.1 Definition of a Circuit; 9.2 Resistivity; 9.3 Ohm’s Law, Kirchhoff’s Loop Rule (Resistors in Series and Parallel)</t>
  </si>
  <si>
    <t>Physics 5; Physics 5.2; Physics 5.3</t>
  </si>
  <si>
    <t>19.1 Physics HS; 19.2 Physics HS; 19.3 Physics HS; 20.2 AP Physics; 20.3 AP Physics; 21.1 AP Physics</t>
  </si>
  <si>
    <t>RGF</t>
  </si>
  <si>
    <t>Introduction to the Female Reproductive System</t>
  </si>
  <si>
    <t xml:space="preserve">Distinguish between the primary sex organ (gonad and ovary) and the accessory sex organs
Order the female reproductive system from the site of ovulation, to the site of implantation, to the birth canal
Demonstrate knowledge about the regions of the ovaries, uterine tubes, uterus and vagina </t>
  </si>
  <si>
    <t>27.2 Anatomy &amp; Physiology; 34.1 AP Biology; 43.1 Biology 2e</t>
  </si>
  <si>
    <t>RGM</t>
  </si>
  <si>
    <t>Introduction to the Male Reproductive System: Dive inside the duct system!</t>
  </si>
  <si>
    <t>Distinguish between the primary sex organ and the accessory sex organs
Describe the function of the glands of the male reproductive system
Identify the anatomical locations of the gonads, glands and duct system</t>
  </si>
  <si>
    <t>27.1 Anatomy &amp; Physiology; 34.1 AP Biology; 43.1 Biology 2e</t>
  </si>
  <si>
    <t>EHEA First Cycle; EHEA Second Cycle; Early Stage Bachelors Level; FHEQ 6; SCQF 10; SCQF 9; US College Year 1; US College Year 2; US College Year 3</t>
  </si>
  <si>
    <t>15.4 AP Biology</t>
  </si>
  <si>
    <t>7.11 Organic Chemistry; 7.7 Organic Chemistry; 7.8 Organic Chemistry; 7.9 Organic Chemistry</t>
  </si>
  <si>
    <t>RSA</t>
  </si>
  <si>
    <t>Reactions and Structure: Alkenes</t>
  </si>
  <si>
    <t>Recognize and classify alkenes
Predict and draw the product of some basic reactions of alkenes</t>
  </si>
  <si>
    <t>7.2 Organic Chemistry; 7.3 Organic Chemistry; 7.4 Organic Chemistry; 8.2 Organic Chemistry; 8.3 Organic Chemistry; 8.4 Organic Chemistry; 8.5 Organic Chemistry; 8.6 Organic Chemistry; 8.7 Organic Chemistry; 8.8 Organic Chemistry; 8.9 Organic Chemistry</t>
  </si>
  <si>
    <t>Principles of Molecular Resonance: Electrons like to travel</t>
  </si>
  <si>
    <t>Molecular Resonance</t>
  </si>
  <si>
    <t>1.11 Organic Chemistry; 2.4 Organic Chemistry</t>
  </si>
  <si>
    <t>RSO</t>
  </si>
  <si>
    <t>Reactions and Structure: Alkanes, alkyl halides, and organometallics</t>
  </si>
  <si>
    <t>Recognize and classify alkanes and alkyl halides
Predict and draw the product of some basic reactions of alkanes and alkyl halides</t>
  </si>
  <si>
    <t>10.1 Organic Chemistry; 11.2 Organic Chemistry; 11.3 Organic Chemistry; 11.4 Organic Chemistry; 11.5 Organic Chemistry; 3.2 Organic Chemistry</t>
  </si>
  <si>
    <t>12.2 Microbiology</t>
  </si>
  <si>
    <t>EHEA First Cycle; Early Stage Bachelors Level; Intermediate Stage Bachelors Level; Late Stage Bachelors Level; US College Year 1; US College Year 2; US College Year 3; US College Year 4</t>
  </si>
  <si>
    <t>Understand the types of sensory neurons and their responses to different stimuli
Describe the response of a sensory receptor to chemical stimuli at the cellular and organismal level
Set up a voltage-clamp experiment, and measure and interpret changes in current in response to chemical stimuli
Analyze and interpret patch clamp results to contrast how two sodium channel blockers inhibit capsaicin-induced excitability
Collect data and analyze it on withdrawal reflex time in an acute pain model</t>
  </si>
  <si>
    <t>14.1 Anatomy &amp; Physiology; 27.1 AP Biology; 36.1 Biology 2e</t>
  </si>
  <si>
    <t>ESS2.D-H2; ESS2.D-H3; HS-ESS2-4</t>
  </si>
  <si>
    <t>SMA</t>
  </si>
  <si>
    <t>Skeletal Muscle Movement: Build your own muscle system</t>
  </si>
  <si>
    <t>Describe the general anatomy and functions of skeletal muscles
Relate the attachment of skeletal muscles to their activity and movement
Explain how muscles are arranged in functional groups to create a movement</t>
  </si>
  <si>
    <t>16.5 Concepts of Biology; 29.3 AP Biology; 38.3 Biology 2e; 6.1 Anatomy &amp; Physiology; 6.2 Anatomy &amp; Physiology; 6.3 Anatomy &amp; Physiology; 9.5 Anatomy &amp; Physiology</t>
  </si>
  <si>
    <t>10.2 Anatomy &amp; Physiology; 16.5 Concepts of Biology; 29.3 AP Biology; 38.3 Biology 2e; 6.1 Anatomy &amp; Physiology</t>
  </si>
  <si>
    <t>6.1 Digestion and absorption; Biology D.2 Digestion</t>
  </si>
  <si>
    <t>10.8 Anatomy &amp; Physiology; 29.4 AP Biology; 38.4 Biology 2e</t>
  </si>
  <si>
    <t>SNA</t>
  </si>
  <si>
    <t>Skin Layers and Organ Anatomy: Follow a skin cell’s journey!</t>
  </si>
  <si>
    <t xml:space="preserve">Identify the cell types and layers of the epidermis
Detail the terminal differentiation of keratinocytes and relate this to skin layer formation
Relate the structural components of the dermis to their function	</t>
  </si>
  <si>
    <t>5.1 Anatomy &amp; Physiology; 5.2 Anatomy &amp; Physiology</t>
  </si>
  <si>
    <t>11.2 Organic Chemistry; 11.3 Organic Chemistry; 11.4 Organic Chemistry; 11.5 Organic Chemistry; 11.6 Organic Chemistry</t>
  </si>
  <si>
    <t>Chemistry 1.1 Moles and Molar Mass; Chemistry 4.5 Stoichiometry</t>
  </si>
  <si>
    <t>Chemistry 1; Chemistry 1.2</t>
  </si>
  <si>
    <t>HS-PS1-7; PS1.A-E2</t>
  </si>
  <si>
    <t>3.1 Chemistry 2e; 6.1 Chemistry: Atoms First 2e</t>
  </si>
  <si>
    <t>11.1 Chemistry 2e; 11.1 Chemistry: Atoms First 2e; 4.3 Chemistry 2e; 4.4 Chemistry 2e; 4.5 Chemistry 2e; 7.3 Chemistry: Atoms First 2e; 7.4 Chemistry: Atoms First 2e; 7.5 Chemistry: Atoms First 2e</t>
  </si>
  <si>
    <t>General Science, Engineering, Chemistry, Biology, Health Sciences</t>
  </si>
  <si>
    <t>3.2 Chemistry 2e; 3.3 Chemistry 2e; 6.2 Chemistry: Atoms First 2e; 6.3 Chemistry: Atoms First 2e</t>
  </si>
  <si>
    <t>13.11 Organic Chemistry</t>
  </si>
  <si>
    <t>EHEA First Cycle; Early Stage Bachelors Level; Intermediate Stage Bachelors Level</t>
  </si>
  <si>
    <t>Potentially too high level, but could support:; Unit 8: Ecology</t>
  </si>
  <si>
    <t>HS-PS2-6; PS1.A-H1; PS1.A-H2; PS1.A-H3; PS1.A-H4</t>
  </si>
  <si>
    <t>5.1 Organic Chemistry; 5.2 Organic Chemistry; 5.5 Organic Chemistry</t>
  </si>
  <si>
    <t>EHEA First Cycle; EHEA Short Cycle; Early Stage Bachelors Level; FHEQ 5; FHEQ 6; Intermediate Stage Bachelors Level; US College Year 1; US College Year 2</t>
  </si>
  <si>
    <t>9.1 AP Biology; 9.1 Biology 2e; 9.2 AP Biology; 9.2 Biology 2e; 9.3 AP Biology; 9.3 Biology 2e</t>
  </si>
  <si>
    <t>Explain the relationship between mass, molecular weight, and numbers of atoms or molecules and perform calculations deriving these quantities from one another
Perform mass-to-mass stoichiometric calculations via conversions to mole
Identify the limiting and excess reagents in a chemical reaction
Calculate the theoretical, actual and percent reaction yield
Define Avogadro’s number and describe the mole quantification of matter
Calculate the number of molecules in a sample from the number of moles</t>
  </si>
  <si>
    <t>1.3 Elemental Composition of Pure Substances; 4.1 Introduction for Reactions; 4.2 Net Ionic Equations; 4.3 Representation of Reactions; Chemistry 1.1 Moles and Molar Mass; Chemistry 4.5 Stoichiometry</t>
  </si>
  <si>
    <t>1.1 Introduction to the particulate nature of matter and chemical change; 1.2 The mole concept; 1.3 Reacting masses and volumes</t>
  </si>
  <si>
    <t>4.6 Introduction to Titration; 8.5 Acids-Base Titrations</t>
  </si>
  <si>
    <t>1.3 Reacting Masses and Volumes; 8.2 Properties of Acids and Bases; 8.3 The pH Scale</t>
  </si>
  <si>
    <t>14.7 Chemistry 2e; 14.7 Chemistry: Atoms First 2e; 3.3 Chemistry 2e; 6.3 Chemistry: Atoms First 2e</t>
  </si>
  <si>
    <t>UNK</t>
  </si>
  <si>
    <t>Identification of an Organic Compound by Spectroscopy: How fast can you escape?</t>
  </si>
  <si>
    <t xml:space="preserve">Understand the chemical information you can gain from each technique.
Apply the theory behind Proton-NMR, Carbon NMR, Infrared and Mass Spectrometry to methodically analyze spectral data to identify the chemical characteristics of an unknown compound
Use critical thinking to identify the correct structure from provided options </t>
  </si>
  <si>
    <t>Infrared Spectroscopy
Mass spectrometry
Carbon NMR
Proton NMR</t>
  </si>
  <si>
    <t>13.13 Organic Chemistry; 13.9 Organic Chemistry</t>
  </si>
  <si>
    <t>URL</t>
  </si>
  <si>
    <t>Urinalysis: Analyze urine to suggest a diagnosis</t>
  </si>
  <si>
    <t>Understand how to examine urine by applying macroscopic, chemical, and microscopic tests.
Recognize reference values for a normal urinalysis.
Interpret the meaning of abnormal urinalysis findings that points to a possible medical problem and suggest a justifiable diagnosis.</t>
  </si>
  <si>
    <t>Urinalysis</t>
  </si>
  <si>
    <t>23.2 Microbiology; 25.1 Anatomy &amp; Physiology</t>
  </si>
  <si>
    <t>EHEA First Cycle; EHEA Short Cycle; Early Stage Bachelors Level; FHEQ 5; FHEQ 6; SCQF 7; SCQF 8; SCQF 9; US College Year 1; US College Year 2</t>
  </si>
  <si>
    <t>31.1 AP Biology; 31.3 AP Biology; 40.1 Biology 2e; 40.3 Biology 2e</t>
  </si>
  <si>
    <t>1.1 Position, Velocity, and Acceleration; 3.1 Vector Fields</t>
  </si>
  <si>
    <t>1.3 – Vectors and scalars; 2.1 – Motion</t>
  </si>
  <si>
    <t>2.1 AP Physics; 2.1 Physics HS; 2.2 AP Physics; 5.1 Physics HS</t>
  </si>
  <si>
    <t>VDH</t>
  </si>
  <si>
    <t>Intermolecular Forces (Principles): Rediscover the forces to save the world!</t>
  </si>
  <si>
    <t>Identify three types of intermolecular forces: temporary dipoles, permanent dipoles, and hydrogen bonding
Describe and predict how these intermolecular forces affect a molecules bulk properties, such as state of matter and boiling point
Predict the types of intermolecular forces present between different molecules</t>
  </si>
  <si>
    <t>4.2 Chemistry: Atoms First 2e; 4.6 Chemistry: Atoms First 2e; 7.2 Chemistry 2e; 7.6 Chemistry 2e</t>
  </si>
  <si>
    <t>EHEA First Cycle; EHEA Short Cycle; Early Stage Bachelors Level; FHEQ 4; FHEQ 5; SCQF 7; SCQF 8; US College Year 1; US College Year 2</t>
  </si>
  <si>
    <t>13.1 Physics HS; 13.2 Physics HS; 16.9 AP Physics</t>
  </si>
  <si>
    <t>Western blotting</t>
  </si>
  <si>
    <t>Generic support for relevant Lab Investigations; No direct alignment</t>
  </si>
  <si>
    <t>Generic technical support for practical skill development; No direct alignment</t>
  </si>
  <si>
    <t>No direct alignment; Technical support for relevant Lab Investigations</t>
  </si>
  <si>
    <t>20.2 Microbiology</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</si>
</sst>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u/>
      <color rgb="FF0000FF"/>
    </font>
    <font>
      <color theme="1"/>
      <name val="Arial"/>
    </font>
    <font>
      <sz val="14.0"/>
      <color theme="1"/>
      <name val="Arial"/>
    </font>
    <font>
      <b/>
      <sz val="12.0"/>
      <color theme="1"/>
      <name val="Arial"/>
    </font>
    <font>
      <sz val="6.0"/>
      <color theme="1"/>
      <name val="Arial"/>
    </font>
    <font>
      <i/>
      <u/>
      <color theme="1"/>
      <name val="Arial"/>
    </font>
    <font>
      <sz val="12.0"/>
      <color theme="1"/>
      <name val="Arial"/>
    </font>
    <font>
      <i/>
      <sz val="9.0"/>
      <color theme="1"/>
      <name val="Arial"/>
    </font>
    <font>
      <sz val="9.0"/>
      <color theme="1"/>
      <name val="Arial"/>
    </font>
    <font>
      <b/>
      <color theme="1"/>
      <name val="Arial"/>
      <scheme val="minor"/>
    </font>
    <font>
      <color rgb="FF003C6E"/>
      <name val="Work Sans"/>
    </font>
    <font>
      <b/>
      <color rgb="FF073763"/>
      <name val="Work Sans"/>
    </font>
    <font>
      <color rgb="FF073763"/>
      <name val="Work Sans"/>
    </font>
    <font>
      <color rgb="FF073763"/>
      <name val="Arial"/>
      <scheme val="minor"/>
    </font>
    <font>
      <b/>
      <sz val="14.0"/>
      <color rgb="FF003C6E"/>
      <name val="Work Sans"/>
    </font>
    <font>
      <b/>
      <sz val="14.0"/>
      <color rgb="FF666666"/>
      <name val="Work Sans"/>
    </font>
  </fonts>
  <fills count="7">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0B5394"/>
        <bgColor rgb="FF0B5394"/>
      </patternFill>
    </fill>
    <fill>
      <patternFill patternType="solid">
        <fgColor rgb="FFB7E1CD"/>
        <bgColor rgb="FFB7E1CD"/>
      </patternFill>
    </fill>
    <fill>
      <patternFill patternType="solid">
        <fgColor rgb="FFCFE2F3"/>
        <bgColor rgb="FFCFE2F3"/>
      </patternFill>
    </fill>
  </fills>
  <borders count="3">
    <border/>
    <border>
      <right/>
    </border>
    <border>
      <left style="thin">
        <color rgb="FF4A86E8"/>
      </left>
      <right style="thin">
        <color rgb="FF4A86E8"/>
      </right>
      <top style="thin">
        <color rgb="FF4A86E8"/>
      </top>
      <bottom style="thin">
        <color rgb="FF4A86E8"/>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2" fontId="3" numFmtId="0" xfId="0" applyAlignment="1" applyFill="1" applyFont="1">
      <alignment vertical="bottom"/>
    </xf>
    <xf borderId="0" fillId="0" fontId="3" numFmtId="0" xfId="0" applyFont="1"/>
    <xf borderId="0" fillId="3" fontId="4" numFmtId="0" xfId="0" applyAlignment="1" applyFill="1" applyFont="1">
      <alignment shrinkToFit="0" wrapText="1"/>
    </xf>
    <xf borderId="0" fillId="0" fontId="5" numFmtId="0" xfId="0" applyAlignment="1" applyFont="1">
      <alignment horizontal="right" shrinkToFit="0" wrapText="1"/>
    </xf>
    <xf borderId="0" fillId="0" fontId="3" numFmtId="0" xfId="0" applyAlignment="1" applyFont="1">
      <alignment vertical="bottom"/>
    </xf>
    <xf borderId="0" fillId="0" fontId="6" numFmtId="0" xfId="0" applyAlignment="1" applyFont="1">
      <alignment horizontal="center" shrinkToFit="0" wrapText="1"/>
    </xf>
    <xf borderId="0" fillId="0" fontId="6" numFmtId="0" xfId="0" applyAlignment="1" applyFont="1">
      <alignment horizontal="right" shrinkToFit="0" wrapText="1"/>
    </xf>
    <xf borderId="0" fillId="0" fontId="6" numFmtId="0" xfId="0" applyAlignment="1" applyFont="1">
      <alignment shrinkToFit="0" wrapText="1"/>
    </xf>
    <xf borderId="0" fillId="4" fontId="3" numFmtId="0" xfId="0" applyFill="1" applyFont="1"/>
    <xf borderId="0" fillId="3" fontId="7" numFmtId="0" xfId="0" applyAlignment="1" applyFont="1">
      <alignment horizontal="center" shrinkToFit="0" wrapText="1"/>
    </xf>
    <xf borderId="0" fillId="4" fontId="8" numFmtId="0" xfId="0" applyAlignment="1" applyFont="1">
      <alignment horizontal="center" shrinkToFit="0" wrapText="1"/>
    </xf>
    <xf borderId="0" fillId="4" fontId="8" numFmtId="0" xfId="0" applyAlignment="1" applyFont="1">
      <alignment shrinkToFit="0" wrapText="1"/>
    </xf>
    <xf borderId="0" fillId="4" fontId="8" numFmtId="0" xfId="0" applyFont="1"/>
    <xf borderId="0" fillId="0" fontId="9" numFmtId="0" xfId="0" applyAlignment="1" applyFont="1">
      <alignment horizontal="center"/>
    </xf>
    <xf borderId="0" fillId="0" fontId="8" numFmtId="0" xfId="0" applyAlignment="1" applyFont="1">
      <alignment shrinkToFit="0" wrapText="1"/>
    </xf>
    <xf borderId="0" fillId="5" fontId="10" numFmtId="0" xfId="0" applyAlignment="1" applyFill="1" applyFont="1">
      <alignment horizontal="center"/>
    </xf>
    <xf borderId="0" fillId="0" fontId="10" numFmtId="0" xfId="0" applyAlignment="1" applyFont="1">
      <alignment horizontal="center" shrinkToFit="0" wrapText="1"/>
    </xf>
    <xf borderId="0" fillId="0" fontId="10" numFmtId="0" xfId="0" applyAlignment="1" applyFont="1">
      <alignment shrinkToFit="0" wrapText="1"/>
    </xf>
    <xf borderId="0" fillId="0" fontId="6" numFmtId="0" xfId="0" applyFont="1"/>
    <xf borderId="0" fillId="0" fontId="10" numFmtId="0" xfId="0" applyAlignment="1" applyFont="1">
      <alignment horizontal="center"/>
    </xf>
    <xf borderId="0" fillId="0" fontId="10" numFmtId="0" xfId="0" applyFont="1"/>
    <xf borderId="1" fillId="0" fontId="10" numFmtId="0" xfId="0" applyAlignment="1" applyBorder="1" applyFont="1">
      <alignment shrinkToFit="0" wrapText="0"/>
    </xf>
    <xf borderId="1" fillId="0" fontId="6" numFmtId="0" xfId="0" applyAlignment="1" applyBorder="1" applyFont="1">
      <alignment shrinkToFit="0" wrapText="0"/>
    </xf>
    <xf borderId="1" fillId="0" fontId="3" numFmtId="0" xfId="0" applyAlignment="1" applyBorder="1" applyFont="1">
      <alignment shrinkToFit="0" wrapText="0"/>
    </xf>
    <xf borderId="1" fillId="0" fontId="3" numFmtId="0" xfId="0" applyBorder="1" applyFont="1"/>
    <xf borderId="1" fillId="0" fontId="10" numFmtId="0" xfId="0" applyBorder="1" applyFont="1"/>
    <xf borderId="1" fillId="0" fontId="10" numFmtId="0" xfId="0" applyAlignment="1" applyBorder="1" applyFont="1">
      <alignment horizontal="center" shrinkToFit="0" wrapText="1"/>
    </xf>
    <xf borderId="0" fillId="0" fontId="10" numFmtId="0" xfId="0" applyAlignment="1" applyFont="1">
      <alignment horizontal="center" shrinkToFit="0" wrapText="0"/>
    </xf>
    <xf borderId="0" fillId="0" fontId="11" numFmtId="0" xfId="0" applyFont="1"/>
    <xf borderId="0" fillId="0" fontId="12" numFmtId="0" xfId="0" applyAlignment="1" applyFont="1">
      <alignment readingOrder="0" shrinkToFit="0" vertical="top" wrapText="1"/>
    </xf>
    <xf borderId="0" fillId="0" fontId="13" numFmtId="0" xfId="0" applyAlignment="1" applyFont="1">
      <alignment readingOrder="0" shrinkToFit="0" wrapText="0"/>
    </xf>
    <xf borderId="0" fillId="0" fontId="14" numFmtId="0" xfId="0" applyAlignment="1" applyFont="1">
      <alignment readingOrder="0"/>
    </xf>
    <xf borderId="0" fillId="0" fontId="15" numFmtId="0" xfId="0" applyAlignment="1" applyFont="1">
      <alignment shrinkToFit="0" wrapText="0"/>
    </xf>
    <xf borderId="0" fillId="0" fontId="14" numFmtId="0" xfId="0" applyFont="1"/>
    <xf borderId="0" fillId="0" fontId="12" numFmtId="0" xfId="0" applyAlignment="1" applyFont="1">
      <alignment readingOrder="0" shrinkToFit="0" vertical="top" wrapText="1"/>
    </xf>
    <xf borderId="0" fillId="0" fontId="16" numFmtId="0" xfId="0" applyAlignment="1" applyFont="1">
      <alignment readingOrder="0" shrinkToFit="0" vertical="top" wrapText="1"/>
    </xf>
    <xf borderId="0" fillId="0" fontId="17" numFmtId="0" xfId="0" applyAlignment="1" applyFont="1">
      <alignment readingOrder="0" shrinkToFit="0" vertical="top" wrapText="1"/>
    </xf>
    <xf borderId="2" fillId="0" fontId="14" numFmtId="0" xfId="0" applyAlignment="1" applyBorder="1" applyFont="1">
      <alignment readingOrder="0" shrinkToFit="0" wrapText="1"/>
    </xf>
    <xf borderId="2" fillId="6" fontId="14" numFmtId="0" xfId="0" applyAlignment="1" applyBorder="1" applyFill="1" applyFont="1">
      <alignment readingOrder="0" shrinkToFit="0" wrapText="1"/>
    </xf>
    <xf borderId="2" fillId="0" fontId="13" numFmtId="0" xfId="0" applyAlignment="1" applyBorder="1" applyFont="1">
      <alignment readingOrder="0"/>
    </xf>
    <xf borderId="2" fillId="0" fontId="13" numFmtId="0" xfId="0" applyAlignment="1" applyBorder="1" applyFont="1">
      <alignment readingOrder="0" shrinkToFit="0" wrapText="1"/>
    </xf>
    <xf borderId="2" fillId="0" fontId="14" numFmtId="0" xfId="0" applyAlignment="1" applyBorder="1" applyFont="1">
      <alignment readingOrder="0"/>
    </xf>
    <xf borderId="2" fillId="0" fontId="14" numFmtId="0" xfId="0" applyAlignment="1" applyBorder="1" applyFont="1">
      <alignment readingOrder="0" shrinkToFit="0" wrapText="0"/>
    </xf>
    <xf borderId="2" fillId="0" fontId="13" numFmtId="0" xfId="0" applyAlignment="1" applyBorder="1" applyFont="1">
      <alignment readingOrder="0" shrinkToFit="0" wrapText="0"/>
    </xf>
    <xf borderId="2" fillId="0" fontId="15" numFmtId="0" xfId="0" applyAlignment="1" applyBorder="1" applyFont="1">
      <alignment shrinkToFit="0" wrapText="0"/>
    </xf>
    <xf borderId="2" fillId="0" fontId="14" numFmtId="0" xfId="0" applyBorder="1" applyFont="1"/>
    <xf borderId="2" fillId="0" fontId="14" numFmtId="0" xfId="0" applyAlignment="1" applyBorder="1" applyFont="1">
      <alignment shrinkToFit="0" wrapText="1"/>
    </xf>
    <xf borderId="2" fillId="6" fontId="14" numFmtId="0" xfId="0" applyAlignment="1" applyBorder="1" applyFont="1">
      <alignment shrinkToFit="0" wrapText="1"/>
    </xf>
    <xf borderId="2" fillId="0" fontId="14" numFmtId="0" xfId="0" applyBorder="1" applyFont="1"/>
    <xf borderId="2" fillId="0" fontId="14" numFmtId="0" xfId="0" applyAlignment="1" applyBorder="1" applyFont="1">
      <alignment shrinkToFit="0" wrapText="0"/>
    </xf>
    <xf borderId="2" fillId="0" fontId="14" numFmtId="0" xfId="0" applyAlignment="1" applyBorder="1" applyFont="1">
      <alignment shrinkToFit="0" wrapText="1"/>
    </xf>
    <xf borderId="2" fillId="6" fontId="1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95400"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pi2.labster.com/simulation/a0K2X00000d2douUAA/play" TargetMode="External"/><Relationship Id="rId190" Type="http://schemas.openxmlformats.org/officeDocument/2006/relationships/hyperlink" Target="https://api2.labster.com/simulation/a0K2X00000d2VH2UAM/play" TargetMode="External"/><Relationship Id="rId42" Type="http://schemas.openxmlformats.org/officeDocument/2006/relationships/hyperlink" Target="https://api2.labster.com/simulation/a0K2X00000zhEw2UAE/play" TargetMode="External"/><Relationship Id="rId41" Type="http://schemas.openxmlformats.org/officeDocument/2006/relationships/hyperlink" Target="https://api2.labster.com/simulation/a0K7R000016wlcIUAQ/play" TargetMode="External"/><Relationship Id="rId44" Type="http://schemas.openxmlformats.org/officeDocument/2006/relationships/hyperlink" Target="https://api2.labster.com/simulation/a0Kw000000OwuRtEAJ/play" TargetMode="External"/><Relationship Id="rId194" Type="http://schemas.openxmlformats.org/officeDocument/2006/relationships/hyperlink" Target="https://api2.labster.com/simulation/a0K2X00000n0hbhUAA/play" TargetMode="External"/><Relationship Id="rId43" Type="http://schemas.openxmlformats.org/officeDocument/2006/relationships/hyperlink" Target="https://api2.labster.com/simulation/a0K7R000016wkXwUAI/play" TargetMode="External"/><Relationship Id="rId193" Type="http://schemas.openxmlformats.org/officeDocument/2006/relationships/hyperlink" Target="https://api2.labster.com/simulation/a0K2X00000n0dMGUAY/play" TargetMode="External"/><Relationship Id="rId46" Type="http://schemas.openxmlformats.org/officeDocument/2006/relationships/hyperlink" Target="https://api2.labster.com/simulation/a0K7R000016wlaHUAQ/play" TargetMode="External"/><Relationship Id="rId192" Type="http://schemas.openxmlformats.org/officeDocument/2006/relationships/hyperlink" Target="https://api2.labster.com/simulation/a0Kw000000UXAUcEAP/play" TargetMode="External"/><Relationship Id="rId45" Type="http://schemas.openxmlformats.org/officeDocument/2006/relationships/hyperlink" Target="https://api2.labster.com/simulation/a0Kw000000W9uH2EAJ/play" TargetMode="External"/><Relationship Id="rId191" Type="http://schemas.openxmlformats.org/officeDocument/2006/relationships/hyperlink" Target="https://api2.labster.com/simulation/a0K2X00000jGm8hUAC/play" TargetMode="External"/><Relationship Id="rId48" Type="http://schemas.openxmlformats.org/officeDocument/2006/relationships/hyperlink" Target="https://api2.labster.com/simulation/a0K7R000011IMpQUAW/play" TargetMode="External"/><Relationship Id="rId187" Type="http://schemas.openxmlformats.org/officeDocument/2006/relationships/hyperlink" Target="https://api2.labster.com/simulation/a0Kw000000JFc6ZEAT/play" TargetMode="External"/><Relationship Id="rId47" Type="http://schemas.openxmlformats.org/officeDocument/2006/relationships/hyperlink" Target="https://api2.labster.com/simulation/a0K2X00000jGcetUAC/play" TargetMode="External"/><Relationship Id="rId186" Type="http://schemas.openxmlformats.org/officeDocument/2006/relationships/hyperlink" Target="https://api2.labster.com/simulation/a0K2X00000d2IAYUA2/play" TargetMode="External"/><Relationship Id="rId185" Type="http://schemas.openxmlformats.org/officeDocument/2006/relationships/hyperlink" Target="https://api2.labster.com/simulation/a0K2X00000jGLfbUAG/play" TargetMode="External"/><Relationship Id="rId49" Type="http://schemas.openxmlformats.org/officeDocument/2006/relationships/hyperlink" Target="https://api2.labster.com/simulation/a0Kw000000cjHoLEAU/play" TargetMode="External"/><Relationship Id="rId184" Type="http://schemas.openxmlformats.org/officeDocument/2006/relationships/hyperlink" Target="https://api2.labster.com/simulation/a0K2X00000u17gaUAA/play" TargetMode="External"/><Relationship Id="rId189" Type="http://schemas.openxmlformats.org/officeDocument/2006/relationships/hyperlink" Target="https://api2.labster.com/simulation/a0K2X00000qXuZaUAK/play" TargetMode="External"/><Relationship Id="rId188" Type="http://schemas.openxmlformats.org/officeDocument/2006/relationships/hyperlink" Target="https://api2.labster.com/simulation/a0K2X00000h3axmUAA/play" TargetMode="External"/><Relationship Id="rId31" Type="http://schemas.openxmlformats.org/officeDocument/2006/relationships/hyperlink" Target="https://api2.labster.com/simulation/a0K2X00000d2VubUAE/play" TargetMode="External"/><Relationship Id="rId30" Type="http://schemas.openxmlformats.org/officeDocument/2006/relationships/hyperlink" Target="https://api2.labster.com/simulation/a0K7R000011INJkUAO/play" TargetMode="External"/><Relationship Id="rId33" Type="http://schemas.openxmlformats.org/officeDocument/2006/relationships/hyperlink" Target="https://api2.labster.com/simulation/a0K7R000016wl1SUAQ/play" TargetMode="External"/><Relationship Id="rId183" Type="http://schemas.openxmlformats.org/officeDocument/2006/relationships/hyperlink" Target="https://api2.labster.com/simulation/a0K2X00000qxA6YUAU/play" TargetMode="External"/><Relationship Id="rId32" Type="http://schemas.openxmlformats.org/officeDocument/2006/relationships/hyperlink" Target="https://api2.labster.com/simulation/a0Kw000000dgIcVEAU/play" TargetMode="External"/><Relationship Id="rId182" Type="http://schemas.openxmlformats.org/officeDocument/2006/relationships/hyperlink" Target="https://api2.labster.com/simulation/a0K2X00000h4NFMUA2/play" TargetMode="External"/><Relationship Id="rId35" Type="http://schemas.openxmlformats.org/officeDocument/2006/relationships/hyperlink" Target="https://api2.labster.com/simulation/a0Kw000000Iko9mEAB/play" TargetMode="External"/><Relationship Id="rId181" Type="http://schemas.openxmlformats.org/officeDocument/2006/relationships/hyperlink" Target="https://api2.labster.com/simulation/a0Kw000000JFn8UEAT/play" TargetMode="External"/><Relationship Id="rId34" Type="http://schemas.openxmlformats.org/officeDocument/2006/relationships/hyperlink" Target="https://api2.labster.com/simulation/a0Kw000000cxB4NEAU/play" TargetMode="External"/><Relationship Id="rId180" Type="http://schemas.openxmlformats.org/officeDocument/2006/relationships/hyperlink" Target="https://api2.labster.com/simulation/a0K2X00000nWXsTUAW/play" TargetMode="External"/><Relationship Id="rId37" Type="http://schemas.openxmlformats.org/officeDocument/2006/relationships/hyperlink" Target="https://api2.labster.com/simulation/a0K7R000011IMpRUAW/play" TargetMode="External"/><Relationship Id="rId176" Type="http://schemas.openxmlformats.org/officeDocument/2006/relationships/hyperlink" Target="https://api2.labster.com/simulation/a0K2X00000qwqooUAA/play" TargetMode="External"/><Relationship Id="rId36" Type="http://schemas.openxmlformats.org/officeDocument/2006/relationships/hyperlink" Target="https://api2.labster.com/simulation/a0Kw000000Iko9SEAR/play" TargetMode="External"/><Relationship Id="rId175" Type="http://schemas.openxmlformats.org/officeDocument/2006/relationships/hyperlink" Target="https://api2.labster.com/simulation/a0K2X00000tlEhJUAU/play" TargetMode="External"/><Relationship Id="rId39" Type="http://schemas.openxmlformats.org/officeDocument/2006/relationships/hyperlink" Target="https://api2.labster.com/simulation/a0K7R000010RZE9UAO/play" TargetMode="External"/><Relationship Id="rId174" Type="http://schemas.openxmlformats.org/officeDocument/2006/relationships/hyperlink" Target="https://api2.labster.com/simulation/a0K2X00000h3uDjUAI/play" TargetMode="External"/><Relationship Id="rId38" Type="http://schemas.openxmlformats.org/officeDocument/2006/relationships/hyperlink" Target="https://api2.labster.com/simulation/a0K2X00000vWvF2UAK/play" TargetMode="External"/><Relationship Id="rId173" Type="http://schemas.openxmlformats.org/officeDocument/2006/relationships/hyperlink" Target="https://api2.labster.com/simulation/a0K2X00000x0yu1UAA/play" TargetMode="External"/><Relationship Id="rId179" Type="http://schemas.openxmlformats.org/officeDocument/2006/relationships/hyperlink" Target="https://api2.labster.com/simulation/a0Kw000000OwqYYEAZ/play" TargetMode="External"/><Relationship Id="rId178" Type="http://schemas.openxmlformats.org/officeDocument/2006/relationships/hyperlink" Target="https://api2.labster.com/simulation/a0K2X00000jGcfmUAC/play" TargetMode="External"/><Relationship Id="rId177" Type="http://schemas.openxmlformats.org/officeDocument/2006/relationships/hyperlink" Target="https://api2.labster.com/simulation/a0K2X00000n0hbcUAA/play" TargetMode="External"/><Relationship Id="rId20" Type="http://schemas.openxmlformats.org/officeDocument/2006/relationships/hyperlink" Target="https://api2.labster.com/simulation/a0K2X00000wlTKKUA2/play" TargetMode="External"/><Relationship Id="rId22" Type="http://schemas.openxmlformats.org/officeDocument/2006/relationships/hyperlink" Target="https://api2.labster.com/simulation/a0K2X00000h4MywUAE/play" TargetMode="External"/><Relationship Id="rId21" Type="http://schemas.openxmlformats.org/officeDocument/2006/relationships/hyperlink" Target="https://api2.labster.com/simulation/a0K7R000016wl3dUAA/play" TargetMode="External"/><Relationship Id="rId24" Type="http://schemas.openxmlformats.org/officeDocument/2006/relationships/hyperlink" Target="https://api2.labster.com/simulation/a0Kw000000JFMjQEAX/play" TargetMode="External"/><Relationship Id="rId23" Type="http://schemas.openxmlformats.org/officeDocument/2006/relationships/hyperlink" Target="https://api2.labster.com/simulation/a0K2X00000vWxVBUA0/play" TargetMode="External"/><Relationship Id="rId26" Type="http://schemas.openxmlformats.org/officeDocument/2006/relationships/hyperlink" Target="https://api2.labster.com/simulation/a0K2X00000vWv8lUAC/play" TargetMode="External"/><Relationship Id="rId25" Type="http://schemas.openxmlformats.org/officeDocument/2006/relationships/hyperlink" Target="https://api2.labster.com/simulation/a0Kw000000dKiMaEAK/play" TargetMode="External"/><Relationship Id="rId28" Type="http://schemas.openxmlformats.org/officeDocument/2006/relationships/hyperlink" Target="https://api2.labster.com/simulation/a0Kw000000JFMjVEAX/play" TargetMode="External"/><Relationship Id="rId27" Type="http://schemas.openxmlformats.org/officeDocument/2006/relationships/hyperlink" Target="https://api2.labster.com/simulation/a0Kw000000Iko9nEAB/play" TargetMode="External"/><Relationship Id="rId29" Type="http://schemas.openxmlformats.org/officeDocument/2006/relationships/hyperlink" Target="https://api2.labster.com/simulation/a0K2X00000jGddEUAS/play" TargetMode="External"/><Relationship Id="rId11" Type="http://schemas.openxmlformats.org/officeDocument/2006/relationships/hyperlink" Target="https://api2.labster.com/simulation/a0Kw000000TpSlDEAV/play" TargetMode="External"/><Relationship Id="rId10" Type="http://schemas.openxmlformats.org/officeDocument/2006/relationships/hyperlink" Target="https://api2.labster.com/simulation/a0K2X00000tlEcRUAU/play" TargetMode="External"/><Relationship Id="rId13" Type="http://schemas.openxmlformats.org/officeDocument/2006/relationships/hyperlink" Target="https://api2.labster.com/simulation/a0Kw000000cjHoLEAU/play" TargetMode="External"/><Relationship Id="rId12" Type="http://schemas.openxmlformats.org/officeDocument/2006/relationships/hyperlink" Target="https://api2.labster.com/simulation/a0Kw000000W9uH2EAJ/play" TargetMode="External"/><Relationship Id="rId15" Type="http://schemas.openxmlformats.org/officeDocument/2006/relationships/hyperlink" Target="https://api2.labster.com/simulation/a0Kw000000Iko9jEAB/play" TargetMode="External"/><Relationship Id="rId198" Type="http://schemas.openxmlformats.org/officeDocument/2006/relationships/hyperlink" Target="https://api2.labster.com/simulation/a0K2X00000vWvyxUAC/play" TargetMode="External"/><Relationship Id="rId14" Type="http://schemas.openxmlformats.org/officeDocument/2006/relationships/hyperlink" Target="https://api2.labster.com/simulation/a0K2X00000zhFiEUAU/play" TargetMode="External"/><Relationship Id="rId197" Type="http://schemas.openxmlformats.org/officeDocument/2006/relationships/hyperlink" Target="https://api2.labster.com/simulation/a0K2X00000vWw2bUAC/play" TargetMode="External"/><Relationship Id="rId17" Type="http://schemas.openxmlformats.org/officeDocument/2006/relationships/hyperlink" Target="https://api2.labster.com/simulation/a0Kw000000TpSlDEAV/play" TargetMode="External"/><Relationship Id="rId196" Type="http://schemas.openxmlformats.org/officeDocument/2006/relationships/hyperlink" Target="https://api2.labster.com/simulation/a0K2X00000qKXTaUAO/play" TargetMode="External"/><Relationship Id="rId16" Type="http://schemas.openxmlformats.org/officeDocument/2006/relationships/hyperlink" Target="https://api2.labster.com/simulation/a0Kw000000dgIcVEAU/play" TargetMode="External"/><Relationship Id="rId195" Type="http://schemas.openxmlformats.org/officeDocument/2006/relationships/hyperlink" Target="https://api2.labster.com/simulation/a0K2X00000jGVCEUA4/play" TargetMode="External"/><Relationship Id="rId19" Type="http://schemas.openxmlformats.org/officeDocument/2006/relationships/hyperlink" Target="https://api2.labster.com/simulation/a0K2X00000uuMQzUAM/play" TargetMode="External"/><Relationship Id="rId18" Type="http://schemas.openxmlformats.org/officeDocument/2006/relationships/hyperlink" Target="https://api2.labster.com/simulation/a0K2X00000uuagUUAQ/play" TargetMode="External"/><Relationship Id="rId199" Type="http://schemas.openxmlformats.org/officeDocument/2006/relationships/hyperlink" Target="https://api2.labster.com/simulation/a0K2X00000jG6bfUAC/play" TargetMode="External"/><Relationship Id="rId84" Type="http://schemas.openxmlformats.org/officeDocument/2006/relationships/hyperlink" Target="https://api2.labster.com/simulation/a0K7R000011IMpGUAW/play" TargetMode="External"/><Relationship Id="rId83" Type="http://schemas.openxmlformats.org/officeDocument/2006/relationships/hyperlink" Target="https://api2.labster.com/simulation/a0Kw000000JFWv0EAH/play" TargetMode="External"/><Relationship Id="rId86" Type="http://schemas.openxmlformats.org/officeDocument/2006/relationships/hyperlink" Target="https://api2.labster.com/simulation/a0K7R000011IMp7UAG/play" TargetMode="External"/><Relationship Id="rId85" Type="http://schemas.openxmlformats.org/officeDocument/2006/relationships/hyperlink" Target="https://api2.labster.com/simulation/a0K7R000011IMpBUAW/play" TargetMode="External"/><Relationship Id="rId88" Type="http://schemas.openxmlformats.org/officeDocument/2006/relationships/hyperlink" Target="https://api2.labster.com/simulation/a0K7R000011IMowUAG/play" TargetMode="External"/><Relationship Id="rId150" Type="http://schemas.openxmlformats.org/officeDocument/2006/relationships/hyperlink" Target="https://api2.labster.com/simulation/a0Kw000000Iko9kEAB/play" TargetMode="External"/><Relationship Id="rId87" Type="http://schemas.openxmlformats.org/officeDocument/2006/relationships/hyperlink" Target="https://api2.labster.com/simulation/a0K7R000011IMpfUAG/play" TargetMode="External"/><Relationship Id="rId89" Type="http://schemas.openxmlformats.org/officeDocument/2006/relationships/hyperlink" Target="https://api2.labster.com/simulation/a0Kw000000Iko9cEAB/play" TargetMode="External"/><Relationship Id="rId80" Type="http://schemas.openxmlformats.org/officeDocument/2006/relationships/hyperlink" Target="https://api2.labster.com/simulation/a0K2X00000d2cTVUAY/play" TargetMode="External"/><Relationship Id="rId82" Type="http://schemas.openxmlformats.org/officeDocument/2006/relationships/hyperlink" Target="https://api2.labster.com/simulation/a0Kw000000Iko9VEAR/play" TargetMode="External"/><Relationship Id="rId81" Type="http://schemas.openxmlformats.org/officeDocument/2006/relationships/hyperlink" Target="https://api2.labster.com/simulation/a0K7R000016wkzqUAA/play" TargetMode="External"/><Relationship Id="rId1" Type="http://schemas.openxmlformats.org/officeDocument/2006/relationships/hyperlink" Target="https://api2.labster.com/simulation/a0K2X00000tlEfLUAU/play" TargetMode="External"/><Relationship Id="rId2" Type="http://schemas.openxmlformats.org/officeDocument/2006/relationships/hyperlink" Target="https://api2.labster.com/simulation/a0K7R000011IMpBUAW/play" TargetMode="External"/><Relationship Id="rId3" Type="http://schemas.openxmlformats.org/officeDocument/2006/relationships/hyperlink" Target="https://api2.labster.com/simulation/a0K2X00000uuagUUAQ/play" TargetMode="External"/><Relationship Id="rId149" Type="http://schemas.openxmlformats.org/officeDocument/2006/relationships/hyperlink" Target="https://api2.labster.com/simulation/a0K2X00000vWwFbUAK/play" TargetMode="External"/><Relationship Id="rId4" Type="http://schemas.openxmlformats.org/officeDocument/2006/relationships/hyperlink" Target="https://api2.labster.com/simulation/a0K2X00000wlTKKUA2/play" TargetMode="External"/><Relationship Id="rId148" Type="http://schemas.openxmlformats.org/officeDocument/2006/relationships/hyperlink" Target="https://api2.labster.com/simulation/a0Kw000000bFaRBEA0/play" TargetMode="External"/><Relationship Id="rId9" Type="http://schemas.openxmlformats.org/officeDocument/2006/relationships/hyperlink" Target="https://api2.labster.com/simulation/a0K7R000016wkXwUAI/play" TargetMode="External"/><Relationship Id="rId143" Type="http://schemas.openxmlformats.org/officeDocument/2006/relationships/hyperlink" Target="https://api2.labster.com/simulation/a0Kw000000XC6CNEA1/play" TargetMode="External"/><Relationship Id="rId142" Type="http://schemas.openxmlformats.org/officeDocument/2006/relationships/hyperlink" Target="https://api2.labster.com/simulation/a0Kw000000TpSF9EAN/play" TargetMode="External"/><Relationship Id="rId141" Type="http://schemas.openxmlformats.org/officeDocument/2006/relationships/hyperlink" Target="https://api2.labster.com/simulation/a0K2X00000jGcmPUAS/play" TargetMode="External"/><Relationship Id="rId140" Type="http://schemas.openxmlformats.org/officeDocument/2006/relationships/hyperlink" Target="https://api2.labster.com/simulation/a0K2X00000v8MUCUA2/play" TargetMode="External"/><Relationship Id="rId5" Type="http://schemas.openxmlformats.org/officeDocument/2006/relationships/hyperlink" Target="https://api2.labster.com/simulation/a0Kw000000YbxfqEAB/play" TargetMode="External"/><Relationship Id="rId147" Type="http://schemas.openxmlformats.org/officeDocument/2006/relationships/hyperlink" Target="https://api2.labster.com/simulation/a0Kw000000Iko9pEAB/play" TargetMode="External"/><Relationship Id="rId6" Type="http://schemas.openxmlformats.org/officeDocument/2006/relationships/hyperlink" Target="https://api2.labster.com/simulation/a0K7R000016wlcIUAQ/play" TargetMode="External"/><Relationship Id="rId146" Type="http://schemas.openxmlformats.org/officeDocument/2006/relationships/hyperlink" Target="https://api2.labster.com/simulation/a0Kw000000OwsLEEAZ/play" TargetMode="External"/><Relationship Id="rId7" Type="http://schemas.openxmlformats.org/officeDocument/2006/relationships/hyperlink" Target="https://api2.labster.com/simulation/a0Kw000000Iko9dEAB/play" TargetMode="External"/><Relationship Id="rId145" Type="http://schemas.openxmlformats.org/officeDocument/2006/relationships/hyperlink" Target="https://api2.labster.com/simulation/a0Kw000000XC6CNEA1/play" TargetMode="External"/><Relationship Id="rId8" Type="http://schemas.openxmlformats.org/officeDocument/2006/relationships/hyperlink" Target="https://api2.labster.com/simulation/a0Kw000000OwuRtEAJ/play" TargetMode="External"/><Relationship Id="rId144" Type="http://schemas.openxmlformats.org/officeDocument/2006/relationships/hyperlink" Target="https://api2.labster.com/simulation/a0K2X00000vWxBhUAK/play" TargetMode="External"/><Relationship Id="rId73" Type="http://schemas.openxmlformats.org/officeDocument/2006/relationships/hyperlink" Target="https://api2.labster.com/simulation/a0Kw000000R25d5EAB/play" TargetMode="External"/><Relationship Id="rId72" Type="http://schemas.openxmlformats.org/officeDocument/2006/relationships/hyperlink" Target="https://api2.labster.com/simulation/a0K2X00000woI7hUAE/play" TargetMode="External"/><Relationship Id="rId75" Type="http://schemas.openxmlformats.org/officeDocument/2006/relationships/hyperlink" Target="https://api2.labster.com/simulation/a0K7R000011IMp3UAG/play" TargetMode="External"/><Relationship Id="rId74" Type="http://schemas.openxmlformats.org/officeDocument/2006/relationships/hyperlink" Target="https://api2.labster.com/simulation/a0K7R000011IMp6UAG/play" TargetMode="External"/><Relationship Id="rId77" Type="http://schemas.openxmlformats.org/officeDocument/2006/relationships/hyperlink" Target="https://api2.labster.com/simulation/a0K2X00000d2cTVUAY/play" TargetMode="External"/><Relationship Id="rId76" Type="http://schemas.openxmlformats.org/officeDocument/2006/relationships/hyperlink" Target="https://api2.labster.com/simulation/a0K2X00000h3c4hUAA/play" TargetMode="External"/><Relationship Id="rId79" Type="http://schemas.openxmlformats.org/officeDocument/2006/relationships/hyperlink" Target="https://api2.labster.com/simulation/a0K2X00000h4MyrUAE/play" TargetMode="External"/><Relationship Id="rId78" Type="http://schemas.openxmlformats.org/officeDocument/2006/relationships/hyperlink" Target="https://api2.labster.com/simulation/a0K7R000016wkzqUAA/play" TargetMode="External"/><Relationship Id="rId71" Type="http://schemas.openxmlformats.org/officeDocument/2006/relationships/hyperlink" Target="https://api2.labster.com/simulation/a0K7R000016wkzlUAA/play" TargetMode="External"/><Relationship Id="rId70" Type="http://schemas.openxmlformats.org/officeDocument/2006/relationships/hyperlink" Target="https://api2.labster.com/simulation/a0K2X00000h3c4DUAQ/play" TargetMode="External"/><Relationship Id="rId139" Type="http://schemas.openxmlformats.org/officeDocument/2006/relationships/hyperlink" Target="https://api2.labster.com/simulation/a0K2X00000d2Hw6UAE/play" TargetMode="External"/><Relationship Id="rId138" Type="http://schemas.openxmlformats.org/officeDocument/2006/relationships/hyperlink" Target="https://api2.labster.com/simulation/a0K2X00000jGm8mUAC/play" TargetMode="External"/><Relationship Id="rId137" Type="http://schemas.openxmlformats.org/officeDocument/2006/relationships/hyperlink" Target="https://api2.labster.com/simulation/a0K2X00000x2d2lUAA/play" TargetMode="External"/><Relationship Id="rId132" Type="http://schemas.openxmlformats.org/officeDocument/2006/relationships/hyperlink" Target="https://api2.labster.com/simulation/a0K2X00000qKXWiUAO/play" TargetMode="External"/><Relationship Id="rId131" Type="http://schemas.openxmlformats.org/officeDocument/2006/relationships/hyperlink" Target="https://api2.labster.com/simulation/a0Kw000000Iko9sEAB/play" TargetMode="External"/><Relationship Id="rId130" Type="http://schemas.openxmlformats.org/officeDocument/2006/relationships/hyperlink" Target="https://api2.labster.com/simulation/a0K2X00000qwP4LUAU/play" TargetMode="External"/><Relationship Id="rId136" Type="http://schemas.openxmlformats.org/officeDocument/2006/relationships/hyperlink" Target="https://api2.labster.com/simulation/a0K2X00000jGkTOUA0/play" TargetMode="External"/><Relationship Id="rId135" Type="http://schemas.openxmlformats.org/officeDocument/2006/relationships/hyperlink" Target="https://api2.labster.com/simulation/a0K2X00000qxA9hUAE/play" TargetMode="External"/><Relationship Id="rId134" Type="http://schemas.openxmlformats.org/officeDocument/2006/relationships/hyperlink" Target="https://api2.labster.com/simulation/a0Kw000000TFheDEAT/play" TargetMode="External"/><Relationship Id="rId133" Type="http://schemas.openxmlformats.org/officeDocument/2006/relationships/hyperlink" Target="https://api2.labster.com/simulation/a0Kw000000Iko9sEAB/play" TargetMode="External"/><Relationship Id="rId62" Type="http://schemas.openxmlformats.org/officeDocument/2006/relationships/hyperlink" Target="https://api2.labster.com/simulation/a0K2X00000d2XiTUAU/play" TargetMode="External"/><Relationship Id="rId61" Type="http://schemas.openxmlformats.org/officeDocument/2006/relationships/hyperlink" Target="https://api2.labster.com/simulation/a0K7R000011IMpRUAW/play" TargetMode="External"/><Relationship Id="rId64" Type="http://schemas.openxmlformats.org/officeDocument/2006/relationships/hyperlink" Target="https://api2.labster.com/simulation/a0K7R000016wlDxUAI/play" TargetMode="External"/><Relationship Id="rId63" Type="http://schemas.openxmlformats.org/officeDocument/2006/relationships/hyperlink" Target="https://api2.labster.com/simulation/a0Kw000000cuT2gEAE/play" TargetMode="External"/><Relationship Id="rId66" Type="http://schemas.openxmlformats.org/officeDocument/2006/relationships/hyperlink" Target="https://api2.labster.com/simulation/a0K2X00000h4Mz6UAE/play" TargetMode="External"/><Relationship Id="rId172" Type="http://schemas.openxmlformats.org/officeDocument/2006/relationships/hyperlink" Target="https://api2.labster.com/simulation/a0Kw000000R26SeEAJ/play" TargetMode="External"/><Relationship Id="rId65" Type="http://schemas.openxmlformats.org/officeDocument/2006/relationships/hyperlink" Target="https://api2.labster.com/simulation/a0K2X00000x2cnZUAQ/play" TargetMode="External"/><Relationship Id="rId171" Type="http://schemas.openxmlformats.org/officeDocument/2006/relationships/hyperlink" Target="https://api2.labster.com/simulation/a0K2X00000jGY5xUAG/play" TargetMode="External"/><Relationship Id="rId68" Type="http://schemas.openxmlformats.org/officeDocument/2006/relationships/hyperlink" Target="https://api2.labster.com/simulation/a0K7R000016wlDxUAI/play" TargetMode="External"/><Relationship Id="rId170" Type="http://schemas.openxmlformats.org/officeDocument/2006/relationships/hyperlink" Target="https://api2.labster.com/simulation/a0Kw000000JFTv7EAH/play" TargetMode="External"/><Relationship Id="rId67" Type="http://schemas.openxmlformats.org/officeDocument/2006/relationships/hyperlink" Target="https://api2.labster.com/simulation/a0K7R000011INJGUA4/play" TargetMode="External"/><Relationship Id="rId60" Type="http://schemas.openxmlformats.org/officeDocument/2006/relationships/hyperlink" Target="https://api2.labster.com/simulation/a0Kw000000Iko9SEAR/play" TargetMode="External"/><Relationship Id="rId165" Type="http://schemas.openxmlformats.org/officeDocument/2006/relationships/hyperlink" Target="https://api2.labster.com/simulation/a0K2X00000tyDE0UAM/play" TargetMode="External"/><Relationship Id="rId69" Type="http://schemas.openxmlformats.org/officeDocument/2006/relationships/hyperlink" Target="https://api2.labster.com/simulation/a0K2X00000h3eI0UAI/play" TargetMode="External"/><Relationship Id="rId164" Type="http://schemas.openxmlformats.org/officeDocument/2006/relationships/hyperlink" Target="https://api2.labster.com/simulation/a0K2X00000h4MzBUAU/play" TargetMode="External"/><Relationship Id="rId163" Type="http://schemas.openxmlformats.org/officeDocument/2006/relationships/hyperlink" Target="https://api2.labster.com/simulation/a0K2X00000rg62PUAQ/play" TargetMode="External"/><Relationship Id="rId162" Type="http://schemas.openxmlformats.org/officeDocument/2006/relationships/hyperlink" Target="https://api2.labster.com/simulation/a0Kw000000UYOpiEAH/play" TargetMode="External"/><Relationship Id="rId169" Type="http://schemas.openxmlformats.org/officeDocument/2006/relationships/hyperlink" Target="https://api2.labster.com/simulation/a0K2X00000tyDE0UAM/play" TargetMode="External"/><Relationship Id="rId168" Type="http://schemas.openxmlformats.org/officeDocument/2006/relationships/hyperlink" Target="https://api2.labster.com/simulation/a0K2X00000jFwrKUAS/play" TargetMode="External"/><Relationship Id="rId167" Type="http://schemas.openxmlformats.org/officeDocument/2006/relationships/hyperlink" Target="https://api2.labster.com/simulation/a0Kw000000ePujzEAC/play" TargetMode="External"/><Relationship Id="rId166" Type="http://schemas.openxmlformats.org/officeDocument/2006/relationships/hyperlink" Target="https://api2.labster.com/simulation/a0Kw000000JFMjaEAH/play" TargetMode="External"/><Relationship Id="rId51" Type="http://schemas.openxmlformats.org/officeDocument/2006/relationships/hyperlink" Target="https://api2.labster.com/simulation/a0Kw000000Iko9bEAB/play" TargetMode="External"/><Relationship Id="rId50" Type="http://schemas.openxmlformats.org/officeDocument/2006/relationships/hyperlink" Target="https://api2.labster.com/simulation/a0Kw000000JFMjQEAX/play" TargetMode="External"/><Relationship Id="rId53" Type="http://schemas.openxmlformats.org/officeDocument/2006/relationships/hyperlink" Target="https://api2.labster.com/simulation/a0Kw000000Iko9nEAB/play" TargetMode="External"/><Relationship Id="rId52" Type="http://schemas.openxmlformats.org/officeDocument/2006/relationships/hyperlink" Target="https://api2.labster.com/simulation/a0Kw000000Iko9XEAR/play" TargetMode="External"/><Relationship Id="rId55" Type="http://schemas.openxmlformats.org/officeDocument/2006/relationships/hyperlink" Target="https://api2.labster.com/simulation/a0Kw000000Iko9lEAB/play" TargetMode="External"/><Relationship Id="rId161" Type="http://schemas.openxmlformats.org/officeDocument/2006/relationships/hyperlink" Target="https://api2.labster.com/simulation/a0K2X00000u6rIJUAY/play" TargetMode="External"/><Relationship Id="rId54" Type="http://schemas.openxmlformats.org/officeDocument/2006/relationships/hyperlink" Target="https://api2.labster.com/simulation/a0Kw000000JFMjVEAX/play" TargetMode="External"/><Relationship Id="rId160" Type="http://schemas.openxmlformats.org/officeDocument/2006/relationships/hyperlink" Target="https://api2.labster.com/simulation/a0K2X00000jGkdTUAS/play" TargetMode="External"/><Relationship Id="rId57" Type="http://schemas.openxmlformats.org/officeDocument/2006/relationships/hyperlink" Target="https://api2.labster.com/simulation/a0K2X00000d2VubUAE/play" TargetMode="External"/><Relationship Id="rId56" Type="http://schemas.openxmlformats.org/officeDocument/2006/relationships/hyperlink" Target="https://api2.labster.com/simulation/a0Kw000000Iko9aEAB/play" TargetMode="External"/><Relationship Id="rId159" Type="http://schemas.openxmlformats.org/officeDocument/2006/relationships/hyperlink" Target="https://api2.labster.com/simulation/a0Kw000000Iko9iEAB/play" TargetMode="External"/><Relationship Id="rId59" Type="http://schemas.openxmlformats.org/officeDocument/2006/relationships/hyperlink" Target="https://api2.labster.com/simulation/a0K2X00000qMNmYUAW/play" TargetMode="External"/><Relationship Id="rId154" Type="http://schemas.openxmlformats.org/officeDocument/2006/relationships/hyperlink" Target="https://api2.labster.com/simulation/a0K2X00000n0dLmUAI/play" TargetMode="External"/><Relationship Id="rId58" Type="http://schemas.openxmlformats.org/officeDocument/2006/relationships/hyperlink" Target="https://api2.labster.com/simulation/a0Kw000000R2B9yEAF/play" TargetMode="External"/><Relationship Id="rId153" Type="http://schemas.openxmlformats.org/officeDocument/2006/relationships/hyperlink" Target="https://api2.labster.com/simulation/a0K2X00000x0zgOUAQ/play" TargetMode="External"/><Relationship Id="rId152" Type="http://schemas.openxmlformats.org/officeDocument/2006/relationships/hyperlink" Target="https://api2.labster.com/simulation/a0Kw000000R26S0EAJ/play" TargetMode="External"/><Relationship Id="rId151" Type="http://schemas.openxmlformats.org/officeDocument/2006/relationships/hyperlink" Target="https://api2.labster.com/simulation/a0Kw000000JFZrdEAH/play" TargetMode="External"/><Relationship Id="rId158" Type="http://schemas.openxmlformats.org/officeDocument/2006/relationships/hyperlink" Target="https://api2.labster.com/simulation/a0K2X00000n0p1EUAQ/play" TargetMode="External"/><Relationship Id="rId157" Type="http://schemas.openxmlformats.org/officeDocument/2006/relationships/hyperlink" Target="https://api2.labster.com/simulation/a0K2X00000u6rIJUAY/play" TargetMode="External"/><Relationship Id="rId156" Type="http://schemas.openxmlformats.org/officeDocument/2006/relationships/hyperlink" Target="https://api2.labster.com/simulation/a0K2X00000vWxSlUAK/play" TargetMode="External"/><Relationship Id="rId155" Type="http://schemas.openxmlformats.org/officeDocument/2006/relationships/hyperlink" Target="https://api2.labster.com/simulation/a0K2X00000zehqjUAA/play" TargetMode="External"/><Relationship Id="rId107" Type="http://schemas.openxmlformats.org/officeDocument/2006/relationships/hyperlink" Target="https://api2.labster.com/simulation/a0K7R000016wkdLUAQ/" TargetMode="External"/><Relationship Id="rId106" Type="http://schemas.openxmlformats.org/officeDocument/2006/relationships/hyperlink" Target="https://api2.labster.com/simulation/a0K7R000016wkzWUAQ/play" TargetMode="External"/><Relationship Id="rId105" Type="http://schemas.openxmlformats.org/officeDocument/2006/relationships/hyperlink" Target="https://api2.labster.com/simulation/a0K7R000016wkzWUAQ/play" TargetMode="External"/><Relationship Id="rId104" Type="http://schemas.openxmlformats.org/officeDocument/2006/relationships/hyperlink" Target="https://api2.labster.com/simulation/a0K7R000016wkz2UAA/play" TargetMode="External"/><Relationship Id="rId109" Type="http://schemas.openxmlformats.org/officeDocument/2006/relationships/hyperlink" Target="https://api2.labster.com/simulation/a0K2X00000jGkUHUA0/play" TargetMode="External"/><Relationship Id="rId108" Type="http://schemas.openxmlformats.org/officeDocument/2006/relationships/hyperlink" Target="https://api2.labster.com/simulation/a0Kw000000OwtEKEAZ/play" TargetMode="External"/><Relationship Id="rId220" Type="http://schemas.openxmlformats.org/officeDocument/2006/relationships/hyperlink" Target="https://api2.labster.com/simulation/a0K7R000016wkdLUAQ/play" TargetMode="External"/><Relationship Id="rId103" Type="http://schemas.openxmlformats.org/officeDocument/2006/relationships/hyperlink" Target="https://api2.labster.com/simulation/a0K7R000016wlLhUAI/play" TargetMode="External"/><Relationship Id="rId224" Type="http://schemas.openxmlformats.org/officeDocument/2006/relationships/drawing" Target="../drawings/drawing1.xml"/><Relationship Id="rId102" Type="http://schemas.openxmlformats.org/officeDocument/2006/relationships/hyperlink" Target="https://api2.labster.com/simulation/a0K7R000016wlLNUAY/play" TargetMode="External"/><Relationship Id="rId223" Type="http://schemas.openxmlformats.org/officeDocument/2006/relationships/hyperlink" Target="https://api2.labster.com/simulation/a0K7R000016wp7nUAA/" TargetMode="External"/><Relationship Id="rId101" Type="http://schemas.openxmlformats.org/officeDocument/2006/relationships/hyperlink" Target="https://api2.labster.com/simulation/a0K7R000016wliaUAA/play" TargetMode="External"/><Relationship Id="rId222" Type="http://schemas.openxmlformats.org/officeDocument/2006/relationships/hyperlink" Target="https://api2.labster.com/simulation/a0K7R000016wozZUAQ/" TargetMode="External"/><Relationship Id="rId100" Type="http://schemas.openxmlformats.org/officeDocument/2006/relationships/hyperlink" Target="https://api2.labster.com/simulation/a0K7R000011IMp8UAG/play" TargetMode="External"/><Relationship Id="rId221" Type="http://schemas.openxmlformats.org/officeDocument/2006/relationships/hyperlink" Target="https://api2.labster.com/simulation/a0K7R000016wnmKUAQ/" TargetMode="External"/><Relationship Id="rId217" Type="http://schemas.openxmlformats.org/officeDocument/2006/relationships/hyperlink" Target="https://api2.labster.com/simulation/a0K7R000016wnlqUAA" TargetMode="External"/><Relationship Id="rId216" Type="http://schemas.openxmlformats.org/officeDocument/2006/relationships/hyperlink" Target="https://api2.labster.com/simulation/a0K7R000016wnllUAA/" TargetMode="External"/><Relationship Id="rId215" Type="http://schemas.openxmlformats.org/officeDocument/2006/relationships/hyperlink" Target="https://api2.labster.com/simulation/a0K7R000016wnoaUAA/play" TargetMode="External"/><Relationship Id="rId214" Type="http://schemas.openxmlformats.org/officeDocument/2006/relationships/hyperlink" Target="https://api2.labster.com/simulation/a0K7R000016wnTmUAI/play" TargetMode="External"/><Relationship Id="rId219" Type="http://schemas.openxmlformats.org/officeDocument/2006/relationships/hyperlink" Target="https://api2.labster.com/simulation/a0K7R000011INhrUAG/play" TargetMode="External"/><Relationship Id="rId218" Type="http://schemas.openxmlformats.org/officeDocument/2006/relationships/hyperlink" Target="https://api2.labster.com/simulation/a0K7R000016wloYUAQ/play" TargetMode="External"/><Relationship Id="rId213" Type="http://schemas.openxmlformats.org/officeDocument/2006/relationships/hyperlink" Target="https://api2.labster.com/simulation/a0K7R000016wnqHUAQ/" TargetMode="External"/><Relationship Id="rId212" Type="http://schemas.openxmlformats.org/officeDocument/2006/relationships/hyperlink" Target="https://api2.labster.com/simulation/a0K2X00000vWxVBUA0/play" TargetMode="External"/><Relationship Id="rId211" Type="http://schemas.openxmlformats.org/officeDocument/2006/relationships/hyperlink" Target="https://api2.labster.com/simulation/a0K7R000016wny1UAA/play" TargetMode="External"/><Relationship Id="rId210" Type="http://schemas.openxmlformats.org/officeDocument/2006/relationships/hyperlink" Target="https://api2.labster.com/simulation/a0K7R000016wnlWUAQ/play" TargetMode="External"/><Relationship Id="rId129" Type="http://schemas.openxmlformats.org/officeDocument/2006/relationships/hyperlink" Target="https://api2.labster.com/simulation/a0K2X00000zehk7UAA/play" TargetMode="External"/><Relationship Id="rId128" Type="http://schemas.openxmlformats.org/officeDocument/2006/relationships/hyperlink" Target="https://api2.labster.com/simulation/a0K2X00000jGZlkUAG/play" TargetMode="External"/><Relationship Id="rId127" Type="http://schemas.openxmlformats.org/officeDocument/2006/relationships/hyperlink" Target="https://api2.labster.com/simulation/a0K2X00000n0czRUAQ/play" TargetMode="External"/><Relationship Id="rId126" Type="http://schemas.openxmlformats.org/officeDocument/2006/relationships/hyperlink" Target="https://api2.labster.com/simulation/a0K2X00000x0znvUAA/play" TargetMode="External"/><Relationship Id="rId121" Type="http://schemas.openxmlformats.org/officeDocument/2006/relationships/hyperlink" Target="https://api2.labster.com/simulation/a0K2X00000qKXb5UAG/play" TargetMode="External"/><Relationship Id="rId120" Type="http://schemas.openxmlformats.org/officeDocument/2006/relationships/hyperlink" Target="https://api2.labster.com/simulation/a0Kw000000V2VqhEAF/play" TargetMode="External"/><Relationship Id="rId125" Type="http://schemas.openxmlformats.org/officeDocument/2006/relationships/hyperlink" Target="https://api2.labster.com/simulation/a0K2X00000jGNpcUAG/play" TargetMode="External"/><Relationship Id="rId124" Type="http://schemas.openxmlformats.org/officeDocument/2006/relationships/hyperlink" Target="https://api2.labster.com/simulation/a0K2X00000d2UopUAE/play" TargetMode="External"/><Relationship Id="rId123" Type="http://schemas.openxmlformats.org/officeDocument/2006/relationships/hyperlink" Target="https://api2.labster.com/simulation/a0K2X00000jGm8IUAS/play" TargetMode="External"/><Relationship Id="rId122" Type="http://schemas.openxmlformats.org/officeDocument/2006/relationships/hyperlink" Target="https://api2.labster.com/simulation/a0K2X00000h4Mz1UAE/play" TargetMode="External"/><Relationship Id="rId95" Type="http://schemas.openxmlformats.org/officeDocument/2006/relationships/hyperlink" Target="https://api2.labster.com/simulation/a0K7R000011IMpaUAG/play" TargetMode="External"/><Relationship Id="rId94" Type="http://schemas.openxmlformats.org/officeDocument/2006/relationships/hyperlink" Target="https://api2.labster.com/simulation/a0K2X00000h4MyXUAU/play" TargetMode="External"/><Relationship Id="rId97" Type="http://schemas.openxmlformats.org/officeDocument/2006/relationships/hyperlink" Target="https://api2.labster.com/simulation/a0Kw000000Iko9rEAB/play" TargetMode="External"/><Relationship Id="rId96" Type="http://schemas.openxmlformats.org/officeDocument/2006/relationships/hyperlink" Target="https://api2.labster.com/simulation/a0K7R000011INJBUA4/play" TargetMode="External"/><Relationship Id="rId99" Type="http://schemas.openxmlformats.org/officeDocument/2006/relationships/hyperlink" Target="https://api2.labster.com/simulation/a0K7R000011IMpSUAW/play" TargetMode="External"/><Relationship Id="rId98" Type="http://schemas.openxmlformats.org/officeDocument/2006/relationships/hyperlink" Target="https://api2.labster.com/simulation/a0Kw000000Iko9oEAB/play" TargetMode="External"/><Relationship Id="rId91" Type="http://schemas.openxmlformats.org/officeDocument/2006/relationships/hyperlink" Target="https://api2.labster.com/simulation/a0K7R000016wmCQUAY/play" TargetMode="External"/><Relationship Id="rId90" Type="http://schemas.openxmlformats.org/officeDocument/2006/relationships/hyperlink" Target="https://api2.labster.com/simulation/a0K7R000011IMpVUAW/play" TargetMode="External"/><Relationship Id="rId93" Type="http://schemas.openxmlformats.org/officeDocument/2006/relationships/hyperlink" Target="https://api2.labster.com/simulation/a0K7R000011IMpLUAW/play" TargetMode="External"/><Relationship Id="rId92" Type="http://schemas.openxmlformats.org/officeDocument/2006/relationships/hyperlink" Target="https://api2.labster.com/simulation/a0K7R000011IMoxUAG/play" TargetMode="External"/><Relationship Id="rId118" Type="http://schemas.openxmlformats.org/officeDocument/2006/relationships/hyperlink" Target="https://api2.labster.com/simulation/a0Kw000000TdPidEAF/play" TargetMode="External"/><Relationship Id="rId117" Type="http://schemas.openxmlformats.org/officeDocument/2006/relationships/hyperlink" Target="https://api2.labster.com/simulation/a0K2X00000h3c4SUAQ/play" TargetMode="External"/><Relationship Id="rId116" Type="http://schemas.openxmlformats.org/officeDocument/2006/relationships/hyperlink" Target="https://api2.labster.com/simulation/a0Kw000000JFoRyEAL/play" TargetMode="External"/><Relationship Id="rId115" Type="http://schemas.openxmlformats.org/officeDocument/2006/relationships/hyperlink" Target="https://api2.labster.com/simulation/a0Kw000000JFoRyEAL/play" TargetMode="External"/><Relationship Id="rId119" Type="http://schemas.openxmlformats.org/officeDocument/2006/relationships/hyperlink" Target="https://api2.labster.com/simulation/a0Kw000000ePuhKEAS/play" TargetMode="External"/><Relationship Id="rId110" Type="http://schemas.openxmlformats.org/officeDocument/2006/relationships/hyperlink" Target="https://api2.labster.com/simulation/a0K2X00000zhEw1UAE/play" TargetMode="External"/><Relationship Id="rId114" Type="http://schemas.openxmlformats.org/officeDocument/2006/relationships/hyperlink" Target="https://api2.labster.com/simulation/a0K2X00000jGm8cUAC/play" TargetMode="External"/><Relationship Id="rId113" Type="http://schemas.openxmlformats.org/officeDocument/2006/relationships/hyperlink" Target="https://api2.labster.com/simulation/a0K2X00000jGm8wUAC/play" TargetMode="External"/><Relationship Id="rId112" Type="http://schemas.openxmlformats.org/officeDocument/2006/relationships/hyperlink" Target="https://api2.labster.com/simulation/a0K2X00000jGm8cUAC/play" TargetMode="External"/><Relationship Id="rId111" Type="http://schemas.openxmlformats.org/officeDocument/2006/relationships/hyperlink" Target="https://api2.labster.com/simulation/a0K2X00000jGm8wUAC/play" TargetMode="External"/><Relationship Id="rId206" Type="http://schemas.openxmlformats.org/officeDocument/2006/relationships/hyperlink" Target="https://api2.labster.com/simulation/a0K7R000016woTJUAY/" TargetMode="External"/><Relationship Id="rId205" Type="http://schemas.openxmlformats.org/officeDocument/2006/relationships/hyperlink" Target="https://api2.labster.com/simulation/a0K7R000016wo49UAA/" TargetMode="External"/><Relationship Id="rId204" Type="http://schemas.openxmlformats.org/officeDocument/2006/relationships/hyperlink" Target="https://api2.labster.com/simulation/a0K7R000016wnHRUAY/play" TargetMode="External"/><Relationship Id="rId203" Type="http://schemas.openxmlformats.org/officeDocument/2006/relationships/hyperlink" Target="https://api2.labster.com/simulation/a0K7R000016wlp2UAA/play" TargetMode="External"/><Relationship Id="rId209" Type="http://schemas.openxmlformats.org/officeDocument/2006/relationships/hyperlink" Target="https://api2.labster.com/simulation/a0K7R000016wmsMUAQ/play" TargetMode="External"/><Relationship Id="rId208" Type="http://schemas.openxmlformats.org/officeDocument/2006/relationships/hyperlink" Target="https://api2.labster.com/simulation/a0K7R000016wmsHUAQ/play" TargetMode="External"/><Relationship Id="rId207" Type="http://schemas.openxmlformats.org/officeDocument/2006/relationships/hyperlink" Target="https://api2.labster.com/simulation/a0K7R000016woTEUAY/" TargetMode="External"/><Relationship Id="rId202" Type="http://schemas.openxmlformats.org/officeDocument/2006/relationships/hyperlink" Target="https://api2.labster.com/simulation/a0K7R000016wn3tUAA/play" TargetMode="External"/><Relationship Id="rId201" Type="http://schemas.openxmlformats.org/officeDocument/2006/relationships/hyperlink" Target="https://api2.labster.com/simulation/a0K7R000016woRhUAI/play" TargetMode="External"/><Relationship Id="rId200" Type="http://schemas.openxmlformats.org/officeDocument/2006/relationships/hyperlink" Target="https://api2.labster.com/simulation/a0K2X00000x0z47UAA/pla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www.labster.com/"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row>
    <row r="2">
      <c r="A2" s="1" t="s">
        <v>67</v>
      </c>
      <c r="B2" s="1" t="s">
        <v>68</v>
      </c>
      <c r="C2" s="1" t="s">
        <v>69</v>
      </c>
      <c r="D2" s="1" t="s">
        <v>70</v>
      </c>
      <c r="J2" s="1">
        <v>15.0</v>
      </c>
      <c r="K2" s="1" t="s">
        <v>71</v>
      </c>
      <c r="L2" s="1" t="s">
        <v>72</v>
      </c>
      <c r="M2" s="1" t="s">
        <v>73</v>
      </c>
      <c r="N2" s="1" t="s">
        <v>74</v>
      </c>
      <c r="Q2" s="1" t="s">
        <v>75</v>
      </c>
      <c r="R2" s="1" t="s">
        <v>76</v>
      </c>
      <c r="X2" s="1" t="s">
        <v>77</v>
      </c>
      <c r="Y2" s="1" t="s">
        <v>78</v>
      </c>
      <c r="Z2" s="1" t="s">
        <v>79</v>
      </c>
      <c r="AA2" s="1" t="s">
        <v>80</v>
      </c>
      <c r="AB2" s="1" t="s">
        <v>81</v>
      </c>
      <c r="AC2" s="1" t="s">
        <v>82</v>
      </c>
      <c r="AE2" s="1" t="s">
        <v>83</v>
      </c>
      <c r="AF2" s="1" t="s">
        <v>84</v>
      </c>
      <c r="AG2" s="1" t="s">
        <v>84</v>
      </c>
      <c r="AJ2" s="1" t="s">
        <v>85</v>
      </c>
      <c r="AN2" s="1" t="s">
        <v>84</v>
      </c>
      <c r="BA2" s="1" t="s">
        <v>84</v>
      </c>
      <c r="BD2" s="1" t="s">
        <v>84</v>
      </c>
      <c r="BJ2" s="1" t="s">
        <v>84</v>
      </c>
      <c r="BK2" s="1" t="s">
        <v>86</v>
      </c>
      <c r="BL2" s="1" t="s">
        <v>86</v>
      </c>
      <c r="BN2" s="1" t="s">
        <v>87</v>
      </c>
      <c r="BO2" s="1" t="s">
        <v>88</v>
      </c>
    </row>
    <row r="3">
      <c r="A3" s="1" t="s">
        <v>89</v>
      </c>
      <c r="B3" s="1" t="s">
        <v>90</v>
      </c>
      <c r="C3" s="1" t="s">
        <v>91</v>
      </c>
      <c r="D3" s="1" t="s">
        <v>92</v>
      </c>
      <c r="E3" s="2" t="s">
        <v>93</v>
      </c>
      <c r="J3" s="1">
        <v>16.0</v>
      </c>
      <c r="K3" s="1" t="s">
        <v>94</v>
      </c>
      <c r="L3" s="1" t="s">
        <v>72</v>
      </c>
      <c r="N3" s="1" t="s">
        <v>95</v>
      </c>
      <c r="O3" s="1">
        <v>13.50574713</v>
      </c>
      <c r="Q3" s="1" t="s">
        <v>75</v>
      </c>
      <c r="R3" s="1" t="s">
        <v>96</v>
      </c>
      <c r="X3" s="1" t="s">
        <v>77</v>
      </c>
      <c r="Y3" s="1" t="s">
        <v>78</v>
      </c>
      <c r="Z3" s="1" t="s">
        <v>97</v>
      </c>
      <c r="AA3" s="1" t="s">
        <v>98</v>
      </c>
      <c r="AB3" s="1" t="s">
        <v>99</v>
      </c>
      <c r="AC3" s="1" t="s">
        <v>100</v>
      </c>
      <c r="AE3" s="1" t="s">
        <v>83</v>
      </c>
      <c r="AH3" s="1" t="s">
        <v>85</v>
      </c>
      <c r="AR3" s="1" t="s">
        <v>84</v>
      </c>
      <c r="BF3" s="1" t="s">
        <v>84</v>
      </c>
      <c r="BK3" s="1" t="s">
        <v>86</v>
      </c>
      <c r="BN3" s="1" t="s">
        <v>101</v>
      </c>
      <c r="BO3" s="1" t="s">
        <v>102</v>
      </c>
    </row>
    <row r="4">
      <c r="A4" s="1" t="s">
        <v>103</v>
      </c>
      <c r="B4" s="1" t="s">
        <v>104</v>
      </c>
      <c r="C4" s="1" t="s">
        <v>105</v>
      </c>
      <c r="D4" s="1" t="s">
        <v>70</v>
      </c>
      <c r="E4" s="2" t="s">
        <v>106</v>
      </c>
      <c r="F4" s="1" t="s">
        <v>107</v>
      </c>
      <c r="J4" s="1">
        <v>10.0</v>
      </c>
      <c r="K4" s="1" t="s">
        <v>71</v>
      </c>
      <c r="L4" s="1" t="s">
        <v>72</v>
      </c>
      <c r="M4" s="1" t="s">
        <v>108</v>
      </c>
      <c r="N4" s="1" t="s">
        <v>109</v>
      </c>
      <c r="O4" s="1">
        <v>-19.70989761</v>
      </c>
      <c r="Q4" s="1" t="s">
        <v>110</v>
      </c>
      <c r="R4" s="1" t="s">
        <v>111</v>
      </c>
      <c r="W4" s="1" t="s">
        <v>112</v>
      </c>
      <c r="X4" s="1" t="s">
        <v>77</v>
      </c>
      <c r="Y4" s="1" t="s">
        <v>78</v>
      </c>
      <c r="Z4" s="1" t="s">
        <v>113</v>
      </c>
      <c r="AA4" s="1" t="s">
        <v>114</v>
      </c>
      <c r="AB4" s="1" t="s">
        <v>115</v>
      </c>
      <c r="AC4" s="1" t="s">
        <v>116</v>
      </c>
      <c r="AE4" s="1" t="s">
        <v>83</v>
      </c>
      <c r="AH4" s="1" t="s">
        <v>84</v>
      </c>
      <c r="AI4" s="1" t="s">
        <v>84</v>
      </c>
      <c r="AJ4" s="1" t="s">
        <v>84</v>
      </c>
      <c r="BE4" s="1" t="s">
        <v>84</v>
      </c>
      <c r="BF4" s="1" t="s">
        <v>84</v>
      </c>
      <c r="BK4" s="1" t="s">
        <v>86</v>
      </c>
      <c r="BL4" s="1" t="s">
        <v>86</v>
      </c>
      <c r="BN4" s="1" t="s">
        <v>117</v>
      </c>
      <c r="BO4" s="1" t="s">
        <v>118</v>
      </c>
    </row>
    <row r="5">
      <c r="A5" s="1" t="s">
        <v>119</v>
      </c>
      <c r="B5" s="1" t="s">
        <v>120</v>
      </c>
      <c r="C5" s="1" t="s">
        <v>121</v>
      </c>
      <c r="D5" s="1" t="s">
        <v>92</v>
      </c>
      <c r="E5" s="2" t="s">
        <v>122</v>
      </c>
      <c r="J5" s="1">
        <v>36.0</v>
      </c>
      <c r="K5" s="1" t="s">
        <v>123</v>
      </c>
      <c r="L5" s="1" t="s">
        <v>72</v>
      </c>
      <c r="N5" s="1" t="s">
        <v>95</v>
      </c>
      <c r="O5" s="1">
        <v>-25.10638298</v>
      </c>
      <c r="Q5" s="1" t="s">
        <v>75</v>
      </c>
      <c r="R5" s="1" t="s">
        <v>124</v>
      </c>
      <c r="X5" s="1" t="s">
        <v>77</v>
      </c>
      <c r="Y5" s="1" t="s">
        <v>78</v>
      </c>
      <c r="Z5" s="1" t="s">
        <v>97</v>
      </c>
      <c r="AA5" s="1" t="s">
        <v>125</v>
      </c>
      <c r="AB5" s="1" t="s">
        <v>126</v>
      </c>
      <c r="AC5" s="1" t="s">
        <v>127</v>
      </c>
      <c r="AD5" s="1" t="s">
        <v>128</v>
      </c>
      <c r="AE5" s="1" t="s">
        <v>83</v>
      </c>
      <c r="AR5" s="1" t="s">
        <v>129</v>
      </c>
      <c r="BF5" s="1" t="s">
        <v>84</v>
      </c>
      <c r="BN5" s="1" t="s">
        <v>130</v>
      </c>
      <c r="BO5" s="1" t="s">
        <v>131</v>
      </c>
    </row>
    <row r="6">
      <c r="A6" s="1" t="s">
        <v>132</v>
      </c>
      <c r="B6" s="1" t="s">
        <v>133</v>
      </c>
      <c r="C6" s="1" t="s">
        <v>134</v>
      </c>
      <c r="D6" s="1" t="s">
        <v>92</v>
      </c>
      <c r="J6" s="1">
        <v>35.0</v>
      </c>
      <c r="K6" s="1" t="s">
        <v>135</v>
      </c>
      <c r="L6" s="1" t="s">
        <v>72</v>
      </c>
      <c r="M6" s="1" t="s">
        <v>73</v>
      </c>
      <c r="N6" s="1" t="s">
        <v>74</v>
      </c>
      <c r="Q6" s="1" t="s">
        <v>136</v>
      </c>
      <c r="R6" s="1" t="s">
        <v>137</v>
      </c>
      <c r="X6" s="1" t="s">
        <v>77</v>
      </c>
      <c r="Y6" s="1" t="s">
        <v>138</v>
      </c>
      <c r="Z6" s="1" t="s">
        <v>139</v>
      </c>
      <c r="AA6" s="1" t="s">
        <v>140</v>
      </c>
      <c r="AB6" s="1" t="s">
        <v>141</v>
      </c>
      <c r="AC6" s="1" t="s">
        <v>142</v>
      </c>
      <c r="AE6" s="1" t="s">
        <v>83</v>
      </c>
      <c r="AF6" s="1" t="s">
        <v>84</v>
      </c>
      <c r="AK6" s="1" t="s">
        <v>84</v>
      </c>
      <c r="AM6" s="1" t="s">
        <v>84</v>
      </c>
      <c r="AN6" s="1" t="s">
        <v>84</v>
      </c>
      <c r="AS6" s="1" t="s">
        <v>84</v>
      </c>
      <c r="BA6" s="1" t="s">
        <v>84</v>
      </c>
      <c r="BK6" s="1" t="s">
        <v>86</v>
      </c>
      <c r="BN6" s="1" t="s">
        <v>143</v>
      </c>
      <c r="BO6" s="1" t="s">
        <v>137</v>
      </c>
      <c r="BP6" s="1" t="s">
        <v>144</v>
      </c>
    </row>
    <row r="7">
      <c r="A7" s="1" t="s">
        <v>145</v>
      </c>
      <c r="B7" s="1" t="s">
        <v>146</v>
      </c>
      <c r="C7" s="1" t="s">
        <v>147</v>
      </c>
      <c r="D7" s="1" t="s">
        <v>70</v>
      </c>
      <c r="J7" s="1">
        <v>15.0</v>
      </c>
      <c r="K7" s="1" t="s">
        <v>148</v>
      </c>
      <c r="L7" s="1" t="s">
        <v>72</v>
      </c>
      <c r="M7" s="1" t="s">
        <v>73</v>
      </c>
      <c r="N7" s="1" t="s">
        <v>74</v>
      </c>
      <c r="Q7" s="1" t="s">
        <v>149</v>
      </c>
      <c r="R7" s="1" t="s">
        <v>137</v>
      </c>
      <c r="X7" s="1" t="s">
        <v>77</v>
      </c>
      <c r="Y7" s="1" t="s">
        <v>138</v>
      </c>
      <c r="Z7" s="1" t="s">
        <v>150</v>
      </c>
      <c r="AA7" s="1" t="s">
        <v>151</v>
      </c>
      <c r="AB7" s="1" t="s">
        <v>152</v>
      </c>
      <c r="AC7" s="1" t="s">
        <v>153</v>
      </c>
      <c r="AE7" s="1" t="s">
        <v>83</v>
      </c>
      <c r="AF7" s="1" t="s">
        <v>85</v>
      </c>
      <c r="AG7" s="1" t="s">
        <v>85</v>
      </c>
      <c r="AK7" s="1" t="s">
        <v>85</v>
      </c>
      <c r="AM7" s="1" t="s">
        <v>84</v>
      </c>
      <c r="AN7" s="1" t="s">
        <v>85</v>
      </c>
      <c r="AS7" s="1" t="s">
        <v>84</v>
      </c>
      <c r="AU7" s="1" t="s">
        <v>85</v>
      </c>
      <c r="BA7" s="1" t="s">
        <v>85</v>
      </c>
      <c r="BK7" s="1" t="s">
        <v>86</v>
      </c>
      <c r="BL7" s="1" t="s">
        <v>86</v>
      </c>
      <c r="BN7" s="1" t="s">
        <v>137</v>
      </c>
      <c r="BO7" s="1" t="s">
        <v>154</v>
      </c>
    </row>
    <row r="8">
      <c r="A8" s="1" t="s">
        <v>155</v>
      </c>
      <c r="B8" s="1" t="s">
        <v>156</v>
      </c>
      <c r="C8" s="1" t="s">
        <v>157</v>
      </c>
      <c r="D8" s="1" t="s">
        <v>92</v>
      </c>
      <c r="E8" s="2" t="s">
        <v>158</v>
      </c>
      <c r="J8" s="1">
        <v>15.0</v>
      </c>
      <c r="K8" s="1" t="s">
        <v>159</v>
      </c>
      <c r="L8" s="1" t="s">
        <v>72</v>
      </c>
      <c r="N8" s="1" t="s">
        <v>160</v>
      </c>
      <c r="O8" s="1">
        <v>44.55169455</v>
      </c>
      <c r="Q8" s="1" t="s">
        <v>161</v>
      </c>
      <c r="R8" s="1" t="s">
        <v>162</v>
      </c>
      <c r="X8" s="1" t="s">
        <v>77</v>
      </c>
      <c r="Y8" s="1" t="s">
        <v>78</v>
      </c>
      <c r="Z8" s="1" t="s">
        <v>163</v>
      </c>
      <c r="AA8" s="1" t="s">
        <v>164</v>
      </c>
      <c r="AB8" s="1" t="s">
        <v>165</v>
      </c>
      <c r="AC8" s="1" t="s">
        <v>166</v>
      </c>
      <c r="AE8" s="1" t="s">
        <v>83</v>
      </c>
      <c r="AV8" s="1" t="s">
        <v>84</v>
      </c>
      <c r="BB8" s="1" t="s">
        <v>84</v>
      </c>
      <c r="BK8" s="1" t="s">
        <v>86</v>
      </c>
      <c r="BM8" s="1" t="s">
        <v>86</v>
      </c>
      <c r="BN8" s="1" t="s">
        <v>162</v>
      </c>
      <c r="BO8" s="1" t="s">
        <v>162</v>
      </c>
      <c r="BP8" s="1" t="s">
        <v>162</v>
      </c>
    </row>
    <row r="9">
      <c r="A9" s="1" t="s">
        <v>167</v>
      </c>
      <c r="B9" s="1" t="s">
        <v>168</v>
      </c>
      <c r="C9" s="1" t="s">
        <v>169</v>
      </c>
      <c r="D9" s="1" t="s">
        <v>92</v>
      </c>
      <c r="E9" s="2" t="s">
        <v>170</v>
      </c>
      <c r="J9" s="1">
        <v>29.0</v>
      </c>
      <c r="K9" s="1" t="s">
        <v>171</v>
      </c>
      <c r="L9" s="1" t="s">
        <v>72</v>
      </c>
      <c r="N9" s="1" t="s">
        <v>172</v>
      </c>
      <c r="O9" s="1">
        <v>-31.81818182</v>
      </c>
      <c r="Q9" s="1" t="s">
        <v>149</v>
      </c>
      <c r="R9" s="1" t="s">
        <v>137</v>
      </c>
      <c r="Y9" s="1" t="s">
        <v>78</v>
      </c>
      <c r="Z9" s="1" t="s">
        <v>173</v>
      </c>
      <c r="AA9" s="1" t="s">
        <v>174</v>
      </c>
      <c r="AB9" s="1" t="s">
        <v>175</v>
      </c>
      <c r="AC9" s="1" t="s">
        <v>176</v>
      </c>
      <c r="AE9" s="1" t="s">
        <v>83</v>
      </c>
      <c r="AH9" s="1" t="s">
        <v>85</v>
      </c>
      <c r="AR9" s="1" t="s">
        <v>84</v>
      </c>
      <c r="BN9" s="1" t="s">
        <v>137</v>
      </c>
      <c r="BO9" s="1" t="s">
        <v>137</v>
      </c>
    </row>
    <row r="10">
      <c r="A10" s="1" t="s">
        <v>177</v>
      </c>
      <c r="B10" s="1" t="s">
        <v>178</v>
      </c>
      <c r="C10" s="1" t="s">
        <v>179</v>
      </c>
      <c r="D10" s="1" t="s">
        <v>70</v>
      </c>
      <c r="E10" s="2" t="s">
        <v>180</v>
      </c>
      <c r="J10" s="1">
        <v>15.0</v>
      </c>
      <c r="K10" s="1" t="s">
        <v>71</v>
      </c>
      <c r="L10" s="1" t="s">
        <v>72</v>
      </c>
      <c r="M10" s="1" t="s">
        <v>73</v>
      </c>
      <c r="N10" s="1" t="s">
        <v>74</v>
      </c>
      <c r="Q10" s="1" t="s">
        <v>149</v>
      </c>
      <c r="R10" s="1" t="s">
        <v>137</v>
      </c>
      <c r="X10" s="1" t="s">
        <v>77</v>
      </c>
      <c r="Y10" s="1" t="s">
        <v>138</v>
      </c>
      <c r="Z10" s="1" t="s">
        <v>181</v>
      </c>
      <c r="AA10" s="1" t="s">
        <v>182</v>
      </c>
      <c r="AB10" s="1" t="s">
        <v>183</v>
      </c>
      <c r="AC10" s="1" t="s">
        <v>184</v>
      </c>
      <c r="AE10" s="1" t="s">
        <v>83</v>
      </c>
      <c r="AF10" s="1" t="s">
        <v>85</v>
      </c>
      <c r="AG10" s="1" t="s">
        <v>85</v>
      </c>
      <c r="AK10" s="1" t="s">
        <v>85</v>
      </c>
      <c r="AN10" s="1" t="s">
        <v>85</v>
      </c>
      <c r="BA10" s="1" t="s">
        <v>85</v>
      </c>
      <c r="BK10" s="1" t="s">
        <v>86</v>
      </c>
      <c r="BL10" s="1" t="s">
        <v>86</v>
      </c>
      <c r="BN10" s="1" t="s">
        <v>185</v>
      </c>
      <c r="BO10" s="1" t="s">
        <v>185</v>
      </c>
    </row>
    <row r="11">
      <c r="A11" s="1" t="s">
        <v>186</v>
      </c>
      <c r="B11" s="1" t="s">
        <v>187</v>
      </c>
      <c r="C11" s="1" t="s">
        <v>188</v>
      </c>
      <c r="D11" s="1" t="s">
        <v>92</v>
      </c>
      <c r="E11" s="2" t="s">
        <v>189</v>
      </c>
      <c r="J11" s="1">
        <v>30.0</v>
      </c>
      <c r="K11" s="1" t="s">
        <v>190</v>
      </c>
      <c r="L11" s="1" t="s">
        <v>72</v>
      </c>
      <c r="M11" s="1" t="s">
        <v>73</v>
      </c>
      <c r="N11" s="1" t="s">
        <v>191</v>
      </c>
      <c r="O11" s="1">
        <v>-2.278481013</v>
      </c>
      <c r="Q11" s="1" t="s">
        <v>75</v>
      </c>
      <c r="R11" s="1" t="s">
        <v>192</v>
      </c>
      <c r="W11" s="1" t="s">
        <v>193</v>
      </c>
      <c r="X11" s="1" t="s">
        <v>77</v>
      </c>
      <c r="Y11" s="1" t="s">
        <v>78</v>
      </c>
      <c r="Z11" s="1" t="s">
        <v>194</v>
      </c>
      <c r="AA11" s="1" t="s">
        <v>195</v>
      </c>
      <c r="AB11" s="1" t="s">
        <v>196</v>
      </c>
      <c r="AC11" s="1" t="s">
        <v>197</v>
      </c>
      <c r="AE11" s="1" t="s">
        <v>83</v>
      </c>
      <c r="AF11" s="1" t="s">
        <v>84</v>
      </c>
      <c r="AG11" s="1" t="s">
        <v>84</v>
      </c>
      <c r="AN11" s="1" t="s">
        <v>85</v>
      </c>
      <c r="AP11" s="1" t="s">
        <v>85</v>
      </c>
      <c r="AY11" s="1" t="s">
        <v>84</v>
      </c>
      <c r="BA11" s="1" t="s">
        <v>85</v>
      </c>
      <c r="BD11" s="1" t="s">
        <v>84</v>
      </c>
      <c r="BN11" s="1" t="s">
        <v>198</v>
      </c>
      <c r="BO11" s="1" t="s">
        <v>199</v>
      </c>
    </row>
    <row r="12">
      <c r="A12" s="1" t="s">
        <v>200</v>
      </c>
      <c r="B12" s="1" t="s">
        <v>201</v>
      </c>
      <c r="C12" s="1" t="s">
        <v>202</v>
      </c>
      <c r="D12" s="1" t="s">
        <v>92</v>
      </c>
      <c r="E12" s="2" t="s">
        <v>203</v>
      </c>
      <c r="J12" s="1">
        <v>25.0</v>
      </c>
      <c r="K12" s="1" t="s">
        <v>71</v>
      </c>
      <c r="L12" s="1" t="s">
        <v>72</v>
      </c>
      <c r="M12" s="1" t="s">
        <v>73</v>
      </c>
      <c r="N12" s="1" t="s">
        <v>74</v>
      </c>
      <c r="O12" s="1">
        <v>-11.38211382</v>
      </c>
      <c r="Q12" s="1" t="s">
        <v>136</v>
      </c>
      <c r="R12" s="1" t="s">
        <v>204</v>
      </c>
      <c r="W12" s="1" t="s">
        <v>205</v>
      </c>
      <c r="X12" s="1" t="s">
        <v>77</v>
      </c>
      <c r="Y12" s="1" t="s">
        <v>138</v>
      </c>
      <c r="Z12" s="1" t="s">
        <v>201</v>
      </c>
      <c r="AA12" s="1" t="s">
        <v>206</v>
      </c>
      <c r="AB12" s="1" t="s">
        <v>207</v>
      </c>
      <c r="AC12" s="1" t="s">
        <v>208</v>
      </c>
      <c r="AE12" s="1" t="s">
        <v>83</v>
      </c>
      <c r="AF12" s="1" t="s">
        <v>84</v>
      </c>
      <c r="AG12" s="1" t="s">
        <v>85</v>
      </c>
      <c r="AJ12" s="1" t="s">
        <v>84</v>
      </c>
      <c r="AK12" s="1" t="s">
        <v>84</v>
      </c>
      <c r="AM12" s="1" t="s">
        <v>84</v>
      </c>
      <c r="AN12" s="1" t="s">
        <v>84</v>
      </c>
      <c r="AP12" s="1" t="s">
        <v>85</v>
      </c>
      <c r="AS12" s="1" t="s">
        <v>85</v>
      </c>
      <c r="AU12" s="1" t="s">
        <v>85</v>
      </c>
      <c r="AZ12" s="1" t="s">
        <v>85</v>
      </c>
      <c r="BA12" s="1" t="s">
        <v>84</v>
      </c>
      <c r="BD12" s="1" t="s">
        <v>85</v>
      </c>
      <c r="BI12" s="1" t="s">
        <v>84</v>
      </c>
      <c r="BN12" s="1" t="s">
        <v>209</v>
      </c>
      <c r="BO12" s="1" t="s">
        <v>210</v>
      </c>
    </row>
    <row r="13">
      <c r="A13" s="1" t="s">
        <v>211</v>
      </c>
      <c r="B13" s="1" t="s">
        <v>212</v>
      </c>
      <c r="C13" s="1" t="s">
        <v>213</v>
      </c>
      <c r="D13" s="1" t="s">
        <v>70</v>
      </c>
      <c r="E13" s="2" t="s">
        <v>214</v>
      </c>
      <c r="F13" s="1" t="s">
        <v>215</v>
      </c>
      <c r="J13" s="1">
        <v>22.0</v>
      </c>
      <c r="K13" s="1" t="s">
        <v>71</v>
      </c>
      <c r="L13" s="1" t="s">
        <v>72</v>
      </c>
      <c r="M13" s="1" t="s">
        <v>73</v>
      </c>
      <c r="N13" s="1" t="s">
        <v>74</v>
      </c>
      <c r="Q13" s="1" t="s">
        <v>149</v>
      </c>
      <c r="R13" s="1" t="s">
        <v>216</v>
      </c>
      <c r="X13" s="1" t="s">
        <v>77</v>
      </c>
      <c r="Y13" s="1" t="s">
        <v>78</v>
      </c>
      <c r="AA13" s="1" t="s">
        <v>217</v>
      </c>
      <c r="AB13" s="1" t="s">
        <v>218</v>
      </c>
      <c r="AC13" s="1" t="s">
        <v>219</v>
      </c>
      <c r="AE13" s="1" t="s">
        <v>83</v>
      </c>
      <c r="AF13" s="1" t="s">
        <v>85</v>
      </c>
      <c r="AK13" s="1" t="s">
        <v>85</v>
      </c>
      <c r="AN13" s="1" t="s">
        <v>84</v>
      </c>
      <c r="BA13" s="1" t="s">
        <v>84</v>
      </c>
      <c r="BD13" s="1" t="s">
        <v>85</v>
      </c>
      <c r="BJ13" s="1" t="s">
        <v>84</v>
      </c>
      <c r="BK13" s="1" t="s">
        <v>86</v>
      </c>
      <c r="BL13" s="1" t="s">
        <v>86</v>
      </c>
      <c r="BM13" s="1" t="s">
        <v>86</v>
      </c>
      <c r="BN13" s="1" t="s">
        <v>87</v>
      </c>
      <c r="BO13" s="1" t="s">
        <v>88</v>
      </c>
      <c r="BP13" s="1" t="s">
        <v>220</v>
      </c>
    </row>
    <row r="14">
      <c r="A14" s="1" t="s">
        <v>221</v>
      </c>
      <c r="B14" s="1" t="s">
        <v>222</v>
      </c>
      <c r="C14" s="1" t="s">
        <v>223</v>
      </c>
      <c r="D14" s="1" t="s">
        <v>70</v>
      </c>
      <c r="J14" s="1">
        <v>15.0</v>
      </c>
      <c r="K14" s="1" t="s">
        <v>224</v>
      </c>
      <c r="L14" s="1" t="s">
        <v>72</v>
      </c>
      <c r="M14" s="1" t="s">
        <v>73</v>
      </c>
      <c r="N14" s="1" t="s">
        <v>74</v>
      </c>
      <c r="Q14" s="1" t="s">
        <v>75</v>
      </c>
      <c r="R14" s="1" t="s">
        <v>137</v>
      </c>
      <c r="X14" s="1" t="s">
        <v>77</v>
      </c>
      <c r="Y14" s="1" t="s">
        <v>138</v>
      </c>
      <c r="Z14" s="1" t="s">
        <v>225</v>
      </c>
      <c r="AA14" s="1" t="s">
        <v>226</v>
      </c>
      <c r="AB14" s="1" t="s">
        <v>227</v>
      </c>
      <c r="AC14" s="1" t="s">
        <v>228</v>
      </c>
      <c r="AE14" s="1" t="s">
        <v>83</v>
      </c>
      <c r="AF14" s="1" t="s">
        <v>84</v>
      </c>
      <c r="AG14" s="1" t="s">
        <v>84</v>
      </c>
      <c r="AJ14" s="1" t="s">
        <v>84</v>
      </c>
      <c r="AM14" s="1" t="s">
        <v>84</v>
      </c>
      <c r="AZ14" s="1" t="s">
        <v>84</v>
      </c>
      <c r="BA14" s="1" t="s">
        <v>85</v>
      </c>
      <c r="BD14" s="1" t="s">
        <v>84</v>
      </c>
      <c r="BK14" s="1" t="s">
        <v>86</v>
      </c>
      <c r="BL14" s="1" t="s">
        <v>86</v>
      </c>
      <c r="BN14" s="1" t="s">
        <v>229</v>
      </c>
      <c r="BO14" s="1" t="s">
        <v>230</v>
      </c>
    </row>
    <row r="15">
      <c r="A15" s="1" t="s">
        <v>231</v>
      </c>
      <c r="B15" s="1" t="s">
        <v>232</v>
      </c>
      <c r="C15" s="1" t="s">
        <v>233</v>
      </c>
      <c r="D15" s="1" t="s">
        <v>92</v>
      </c>
      <c r="E15" s="2" t="s">
        <v>234</v>
      </c>
      <c r="J15" s="1">
        <v>40.0</v>
      </c>
      <c r="K15" s="1" t="s">
        <v>171</v>
      </c>
      <c r="L15" s="1" t="s">
        <v>72</v>
      </c>
      <c r="N15" s="1" t="s">
        <v>235</v>
      </c>
      <c r="O15" s="1">
        <v>-22.96918768</v>
      </c>
      <c r="Q15" s="1" t="s">
        <v>75</v>
      </c>
      <c r="R15" s="1" t="s">
        <v>236</v>
      </c>
      <c r="X15" s="1" t="s">
        <v>77</v>
      </c>
      <c r="Y15" s="1" t="s">
        <v>78</v>
      </c>
      <c r="Z15" s="1" t="s">
        <v>237</v>
      </c>
      <c r="AA15" s="1" t="s">
        <v>238</v>
      </c>
      <c r="AB15" s="1" t="s">
        <v>239</v>
      </c>
      <c r="AC15" s="1" t="s">
        <v>240</v>
      </c>
      <c r="AE15" s="1" t="s">
        <v>83</v>
      </c>
      <c r="AI15" s="1" t="s">
        <v>85</v>
      </c>
      <c r="AJ15" s="1" t="s">
        <v>85</v>
      </c>
      <c r="AR15" s="1" t="s">
        <v>84</v>
      </c>
      <c r="AX15" s="1" t="s">
        <v>84</v>
      </c>
      <c r="BF15" s="1" t="s">
        <v>84</v>
      </c>
      <c r="BN15" s="1" t="s">
        <v>241</v>
      </c>
      <c r="BO15" s="1" t="s">
        <v>242</v>
      </c>
    </row>
    <row r="16">
      <c r="A16" s="1" t="s">
        <v>243</v>
      </c>
      <c r="B16" s="1" t="s">
        <v>244</v>
      </c>
      <c r="C16" s="1" t="s">
        <v>245</v>
      </c>
      <c r="D16" s="1" t="s">
        <v>92</v>
      </c>
      <c r="E16" s="2" t="s">
        <v>246</v>
      </c>
      <c r="F16" s="1" t="s">
        <v>247</v>
      </c>
      <c r="J16" s="1">
        <v>34.0</v>
      </c>
      <c r="K16" s="1" t="s">
        <v>71</v>
      </c>
      <c r="L16" s="1" t="s">
        <v>72</v>
      </c>
      <c r="M16" s="1" t="s">
        <v>73</v>
      </c>
      <c r="N16" s="1" t="s">
        <v>248</v>
      </c>
      <c r="O16" s="1">
        <v>2.564102564</v>
      </c>
      <c r="Q16" s="1" t="s">
        <v>149</v>
      </c>
      <c r="R16" s="1" t="s">
        <v>137</v>
      </c>
      <c r="W16" s="1" t="s">
        <v>205</v>
      </c>
      <c r="X16" s="1" t="s">
        <v>77</v>
      </c>
      <c r="Y16" s="1" t="s">
        <v>78</v>
      </c>
      <c r="Z16" s="1" t="s">
        <v>249</v>
      </c>
      <c r="AA16" s="1" t="s">
        <v>250</v>
      </c>
      <c r="AB16" s="1" t="s">
        <v>251</v>
      </c>
      <c r="AC16" s="1" t="s">
        <v>252</v>
      </c>
      <c r="AE16" s="1" t="s">
        <v>83</v>
      </c>
      <c r="AU16" s="1" t="s">
        <v>85</v>
      </c>
      <c r="AW16" s="1" t="s">
        <v>85</v>
      </c>
      <c r="BA16" s="1" t="s">
        <v>85</v>
      </c>
      <c r="BN16" s="1" t="s">
        <v>253</v>
      </c>
      <c r="BO16" s="1" t="s">
        <v>137</v>
      </c>
      <c r="BP16" s="1" t="s">
        <v>254</v>
      </c>
    </row>
    <row r="17">
      <c r="A17" s="1" t="s">
        <v>255</v>
      </c>
      <c r="B17" s="1" t="s">
        <v>256</v>
      </c>
      <c r="C17" s="1" t="s">
        <v>257</v>
      </c>
      <c r="D17" s="1" t="s">
        <v>92</v>
      </c>
      <c r="E17" s="2" t="s">
        <v>258</v>
      </c>
      <c r="J17" s="1">
        <v>26.0</v>
      </c>
      <c r="K17" s="1" t="s">
        <v>71</v>
      </c>
      <c r="L17" s="1" t="s">
        <v>72</v>
      </c>
      <c r="M17" s="1" t="s">
        <v>73</v>
      </c>
      <c r="N17" s="1" t="s">
        <v>259</v>
      </c>
      <c r="O17" s="1">
        <v>-45.52941176</v>
      </c>
      <c r="Q17" s="1" t="s">
        <v>260</v>
      </c>
      <c r="R17" s="1" t="s">
        <v>137</v>
      </c>
      <c r="W17" s="1" t="s">
        <v>261</v>
      </c>
      <c r="Y17" s="1" t="s">
        <v>138</v>
      </c>
      <c r="Z17" s="1" t="s">
        <v>262</v>
      </c>
      <c r="AA17" s="1" t="s">
        <v>263</v>
      </c>
      <c r="AB17" s="1" t="s">
        <v>264</v>
      </c>
      <c r="AC17" s="1" t="s">
        <v>265</v>
      </c>
      <c r="AE17" s="1" t="s">
        <v>83</v>
      </c>
      <c r="AS17" s="1" t="s">
        <v>85</v>
      </c>
      <c r="AZ17" s="1" t="s">
        <v>84</v>
      </c>
      <c r="BI17" s="1" t="s">
        <v>84</v>
      </c>
      <c r="BN17" s="1" t="s">
        <v>266</v>
      </c>
      <c r="BO17" s="1" t="s">
        <v>137</v>
      </c>
    </row>
    <row r="18">
      <c r="A18" s="1" t="s">
        <v>267</v>
      </c>
      <c r="B18" s="1" t="s">
        <v>268</v>
      </c>
      <c r="C18" s="1" t="s">
        <v>269</v>
      </c>
      <c r="D18" s="1" t="s">
        <v>92</v>
      </c>
      <c r="E18" s="2" t="s">
        <v>270</v>
      </c>
      <c r="F18" s="1" t="s">
        <v>271</v>
      </c>
      <c r="J18" s="1">
        <v>25.0</v>
      </c>
      <c r="K18" s="1" t="s">
        <v>272</v>
      </c>
      <c r="L18" s="1" t="s">
        <v>72</v>
      </c>
      <c r="M18" s="1" t="s">
        <v>73</v>
      </c>
      <c r="N18" s="1" t="s">
        <v>74</v>
      </c>
      <c r="O18" s="1">
        <v>30.75641779</v>
      </c>
      <c r="Q18" s="1" t="s">
        <v>110</v>
      </c>
      <c r="R18" s="1" t="s">
        <v>273</v>
      </c>
      <c r="W18" s="1" t="s">
        <v>274</v>
      </c>
      <c r="X18" s="1" t="s">
        <v>77</v>
      </c>
      <c r="Y18" s="1" t="s">
        <v>138</v>
      </c>
      <c r="Z18" s="1" t="s">
        <v>275</v>
      </c>
      <c r="AA18" s="1" t="s">
        <v>276</v>
      </c>
      <c r="AB18" s="1" t="s">
        <v>277</v>
      </c>
      <c r="AC18" s="1" t="s">
        <v>278</v>
      </c>
      <c r="AE18" s="1" t="s">
        <v>83</v>
      </c>
      <c r="AF18" s="1" t="s">
        <v>85</v>
      </c>
      <c r="AG18" s="1" t="s">
        <v>84</v>
      </c>
      <c r="AH18" s="1" t="s">
        <v>85</v>
      </c>
      <c r="AI18" s="1" t="s">
        <v>84</v>
      </c>
      <c r="AK18" s="1" t="s">
        <v>85</v>
      </c>
      <c r="AL18" s="1" t="s">
        <v>85</v>
      </c>
      <c r="AM18" s="1" t="s">
        <v>84</v>
      </c>
      <c r="AN18" s="1" t="s">
        <v>84</v>
      </c>
      <c r="AS18" s="1" t="s">
        <v>84</v>
      </c>
      <c r="AT18" s="1" t="s">
        <v>84</v>
      </c>
      <c r="AU18" s="1" t="s">
        <v>85</v>
      </c>
      <c r="AX18" s="1" t="s">
        <v>85</v>
      </c>
      <c r="BA18" s="1" t="s">
        <v>84</v>
      </c>
      <c r="BN18" s="1" t="s">
        <v>279</v>
      </c>
      <c r="BO18" s="1" t="s">
        <v>279</v>
      </c>
      <c r="BP18" s="1" t="s">
        <v>144</v>
      </c>
    </row>
    <row r="19">
      <c r="A19" s="1" t="s">
        <v>280</v>
      </c>
      <c r="B19" s="1" t="s">
        <v>281</v>
      </c>
      <c r="C19" s="1" t="s">
        <v>282</v>
      </c>
      <c r="D19" s="1" t="s">
        <v>92</v>
      </c>
      <c r="E19" s="2" t="s">
        <v>283</v>
      </c>
      <c r="F19" s="1" t="s">
        <v>284</v>
      </c>
      <c r="J19" s="1">
        <v>50.0</v>
      </c>
      <c r="K19" s="1" t="s">
        <v>71</v>
      </c>
      <c r="L19" s="1" t="s">
        <v>72</v>
      </c>
      <c r="N19" s="1" t="s">
        <v>285</v>
      </c>
      <c r="O19" s="1">
        <v>-21.09375</v>
      </c>
      <c r="Q19" s="1" t="s">
        <v>149</v>
      </c>
      <c r="R19" s="1" t="s">
        <v>286</v>
      </c>
      <c r="W19" s="1" t="s">
        <v>287</v>
      </c>
      <c r="X19" s="1" t="s">
        <v>77</v>
      </c>
      <c r="Y19" s="1" t="s">
        <v>78</v>
      </c>
      <c r="Z19" s="1" t="s">
        <v>288</v>
      </c>
      <c r="AA19" s="1" t="s">
        <v>289</v>
      </c>
      <c r="AB19" s="1" t="s">
        <v>290</v>
      </c>
      <c r="AC19" s="1" t="s">
        <v>291</v>
      </c>
      <c r="AE19" s="1" t="s">
        <v>83</v>
      </c>
      <c r="AP19" s="1" t="s">
        <v>129</v>
      </c>
      <c r="BA19" s="1" t="s">
        <v>84</v>
      </c>
      <c r="BJ19" s="1" t="s">
        <v>129</v>
      </c>
      <c r="BN19" s="1" t="s">
        <v>286</v>
      </c>
      <c r="BO19" s="1" t="s">
        <v>286</v>
      </c>
      <c r="BP19" s="1" t="s">
        <v>292</v>
      </c>
    </row>
    <row r="20">
      <c r="A20" s="1" t="s">
        <v>293</v>
      </c>
      <c r="B20" s="1" t="s">
        <v>294</v>
      </c>
      <c r="C20" s="1" t="s">
        <v>295</v>
      </c>
      <c r="D20" s="1" t="s">
        <v>70</v>
      </c>
      <c r="F20" s="1" t="s">
        <v>271</v>
      </c>
      <c r="J20" s="1">
        <v>15.0</v>
      </c>
      <c r="K20" s="1" t="s">
        <v>224</v>
      </c>
      <c r="L20" s="1" t="s">
        <v>72</v>
      </c>
      <c r="M20" s="1" t="s">
        <v>73</v>
      </c>
      <c r="N20" s="1" t="s">
        <v>74</v>
      </c>
      <c r="Q20" s="1" t="s">
        <v>75</v>
      </c>
      <c r="R20" s="1" t="s">
        <v>137</v>
      </c>
      <c r="X20" s="1" t="s">
        <v>77</v>
      </c>
      <c r="Y20" s="1" t="s">
        <v>138</v>
      </c>
      <c r="Z20" s="1" t="s">
        <v>296</v>
      </c>
      <c r="AA20" s="1" t="s">
        <v>297</v>
      </c>
      <c r="AB20" s="1" t="s">
        <v>298</v>
      </c>
      <c r="AC20" s="1" t="s">
        <v>299</v>
      </c>
      <c r="AE20" s="1" t="s">
        <v>83</v>
      </c>
      <c r="AF20" s="1" t="s">
        <v>84</v>
      </c>
      <c r="AG20" s="1" t="s">
        <v>84</v>
      </c>
      <c r="AJ20" s="1" t="s">
        <v>84</v>
      </c>
      <c r="AM20" s="1" t="s">
        <v>84</v>
      </c>
      <c r="AZ20" s="1" t="s">
        <v>84</v>
      </c>
      <c r="BA20" s="1" t="s">
        <v>85</v>
      </c>
      <c r="BD20" s="1" t="s">
        <v>84</v>
      </c>
      <c r="BK20" s="1" t="s">
        <v>86</v>
      </c>
      <c r="BL20" s="1" t="s">
        <v>86</v>
      </c>
      <c r="BN20" s="1" t="s">
        <v>229</v>
      </c>
      <c r="BO20" s="1" t="s">
        <v>230</v>
      </c>
    </row>
    <row r="21">
      <c r="A21" s="1" t="s">
        <v>300</v>
      </c>
      <c r="B21" s="1" t="s">
        <v>301</v>
      </c>
      <c r="C21" s="1" t="s">
        <v>302</v>
      </c>
      <c r="D21" s="1" t="s">
        <v>92</v>
      </c>
      <c r="E21" s="2" t="s">
        <v>303</v>
      </c>
      <c r="J21" s="1">
        <v>31.0</v>
      </c>
      <c r="K21" s="1" t="s">
        <v>304</v>
      </c>
      <c r="L21" s="1" t="s">
        <v>72</v>
      </c>
      <c r="M21" s="1" t="s">
        <v>73</v>
      </c>
      <c r="N21" s="1" t="s">
        <v>74</v>
      </c>
      <c r="O21" s="1">
        <v>0.2066115702</v>
      </c>
      <c r="Q21" s="1" t="s">
        <v>75</v>
      </c>
      <c r="R21" s="1" t="s">
        <v>305</v>
      </c>
      <c r="X21" s="1" t="s">
        <v>77</v>
      </c>
      <c r="Y21" s="1" t="s">
        <v>78</v>
      </c>
      <c r="Z21" s="1" t="s">
        <v>306</v>
      </c>
      <c r="AA21" s="1" t="s">
        <v>307</v>
      </c>
      <c r="AB21" s="1" t="s">
        <v>308</v>
      </c>
      <c r="AC21" s="1" t="s">
        <v>309</v>
      </c>
      <c r="AE21" s="1" t="s">
        <v>83</v>
      </c>
      <c r="BD21" s="1" t="s">
        <v>85</v>
      </c>
      <c r="BK21" s="1" t="s">
        <v>86</v>
      </c>
      <c r="BM21" s="1" t="s">
        <v>86</v>
      </c>
      <c r="BN21" s="1" t="s">
        <v>310</v>
      </c>
      <c r="BO21" s="1" t="s">
        <v>311</v>
      </c>
      <c r="BP21" s="1" t="s">
        <v>144</v>
      </c>
    </row>
    <row r="22">
      <c r="A22" s="1" t="s">
        <v>312</v>
      </c>
      <c r="B22" s="1" t="s">
        <v>313</v>
      </c>
      <c r="C22" s="1" t="s">
        <v>314</v>
      </c>
      <c r="D22" s="1" t="s">
        <v>70</v>
      </c>
      <c r="E22" s="2" t="s">
        <v>315</v>
      </c>
      <c r="J22" s="1">
        <v>15.0</v>
      </c>
      <c r="K22" s="1" t="s">
        <v>71</v>
      </c>
      <c r="L22" s="1" t="s">
        <v>72</v>
      </c>
      <c r="M22" s="1" t="s">
        <v>73</v>
      </c>
      <c r="N22" s="1" t="s">
        <v>74</v>
      </c>
      <c r="Q22" s="1" t="s">
        <v>75</v>
      </c>
      <c r="R22" s="1" t="s">
        <v>137</v>
      </c>
      <c r="W22" s="1" t="s">
        <v>316</v>
      </c>
      <c r="X22" s="1" t="s">
        <v>77</v>
      </c>
      <c r="Y22" s="1" t="s">
        <v>78</v>
      </c>
      <c r="Z22" s="1" t="s">
        <v>317</v>
      </c>
      <c r="AA22" s="1" t="s">
        <v>318</v>
      </c>
      <c r="AB22" s="1" t="s">
        <v>319</v>
      </c>
      <c r="AC22" s="1" t="s">
        <v>320</v>
      </c>
      <c r="AE22" s="1" t="s">
        <v>83</v>
      </c>
      <c r="AF22" s="1" t="s">
        <v>85</v>
      </c>
      <c r="AG22" s="1" t="s">
        <v>85</v>
      </c>
      <c r="AM22" s="1" t="s">
        <v>84</v>
      </c>
      <c r="BD22" s="1" t="s">
        <v>84</v>
      </c>
      <c r="BK22" s="1" t="s">
        <v>86</v>
      </c>
      <c r="BL22" s="1" t="s">
        <v>86</v>
      </c>
      <c r="BM22" s="1" t="s">
        <v>86</v>
      </c>
      <c r="BN22" s="1" t="s">
        <v>321</v>
      </c>
      <c r="BO22" s="1" t="s">
        <v>322</v>
      </c>
      <c r="BP22" s="1" t="s">
        <v>323</v>
      </c>
    </row>
    <row r="23">
      <c r="A23" s="1" t="s">
        <v>324</v>
      </c>
      <c r="B23" s="1" t="s">
        <v>325</v>
      </c>
      <c r="C23" s="1" t="s">
        <v>326</v>
      </c>
      <c r="D23" s="1" t="s">
        <v>70</v>
      </c>
      <c r="E23" s="2" t="s">
        <v>246</v>
      </c>
      <c r="J23" s="1">
        <v>20.0</v>
      </c>
      <c r="K23" s="1" t="s">
        <v>71</v>
      </c>
      <c r="L23" s="1" t="s">
        <v>72</v>
      </c>
      <c r="M23" s="1" t="s">
        <v>73</v>
      </c>
      <c r="N23" s="1" t="s">
        <v>191</v>
      </c>
      <c r="O23" s="1">
        <v>2.564102564</v>
      </c>
      <c r="Q23" s="1" t="s">
        <v>75</v>
      </c>
      <c r="R23" s="1" t="s">
        <v>327</v>
      </c>
      <c r="W23" s="1" t="s">
        <v>205</v>
      </c>
      <c r="X23" s="1" t="s">
        <v>77</v>
      </c>
      <c r="Y23" s="1" t="s">
        <v>78</v>
      </c>
      <c r="Z23" s="1" t="s">
        <v>194</v>
      </c>
      <c r="AA23" s="1" t="s">
        <v>328</v>
      </c>
      <c r="AB23" s="1" t="s">
        <v>329</v>
      </c>
      <c r="AC23" s="1" t="s">
        <v>330</v>
      </c>
      <c r="AE23" s="1" t="s">
        <v>83</v>
      </c>
      <c r="AF23" s="1" t="s">
        <v>84</v>
      </c>
      <c r="AG23" s="1" t="s">
        <v>84</v>
      </c>
      <c r="AO23" s="1" t="s">
        <v>85</v>
      </c>
      <c r="AR23" s="1" t="s">
        <v>85</v>
      </c>
      <c r="AS23" s="1" t="s">
        <v>85</v>
      </c>
      <c r="AT23" s="1" t="s">
        <v>85</v>
      </c>
      <c r="AU23" s="1" t="s">
        <v>85</v>
      </c>
      <c r="AV23" s="1" t="s">
        <v>85</v>
      </c>
      <c r="AY23" s="1" t="s">
        <v>84</v>
      </c>
      <c r="BA23" s="1" t="s">
        <v>85</v>
      </c>
      <c r="BD23" s="1" t="s">
        <v>84</v>
      </c>
      <c r="BK23" s="1" t="s">
        <v>86</v>
      </c>
      <c r="BL23" s="1" t="s">
        <v>86</v>
      </c>
      <c r="BN23" s="1" t="s">
        <v>331</v>
      </c>
      <c r="BO23" s="1" t="s">
        <v>332</v>
      </c>
    </row>
    <row r="24">
      <c r="A24" s="1" t="s">
        <v>333</v>
      </c>
      <c r="B24" s="1" t="s">
        <v>334</v>
      </c>
      <c r="C24" s="1" t="s">
        <v>335</v>
      </c>
      <c r="D24" s="1" t="s">
        <v>70</v>
      </c>
      <c r="E24" s="2" t="s">
        <v>122</v>
      </c>
      <c r="J24" s="1">
        <v>15.0</v>
      </c>
      <c r="K24" s="1" t="s">
        <v>336</v>
      </c>
      <c r="L24" s="1" t="s">
        <v>72</v>
      </c>
      <c r="M24" s="1" t="s">
        <v>73</v>
      </c>
      <c r="N24" s="1" t="s">
        <v>74</v>
      </c>
      <c r="O24" s="1">
        <v>-25.10638298</v>
      </c>
      <c r="Q24" s="1" t="s">
        <v>75</v>
      </c>
      <c r="R24" s="1" t="s">
        <v>137</v>
      </c>
      <c r="X24" s="1" t="s">
        <v>77</v>
      </c>
      <c r="Y24" s="1" t="s">
        <v>138</v>
      </c>
      <c r="Z24" s="1" t="s">
        <v>337</v>
      </c>
      <c r="AA24" s="1" t="s">
        <v>338</v>
      </c>
      <c r="AB24" s="1" t="s">
        <v>339</v>
      </c>
      <c r="AC24" s="1" t="s">
        <v>340</v>
      </c>
      <c r="AE24" s="1" t="s">
        <v>83</v>
      </c>
      <c r="AF24" s="1" t="s">
        <v>84</v>
      </c>
      <c r="AG24" s="1" t="s">
        <v>84</v>
      </c>
      <c r="AJ24" s="1" t="s">
        <v>84</v>
      </c>
      <c r="AM24" s="1" t="s">
        <v>84</v>
      </c>
      <c r="AZ24" s="1" t="s">
        <v>84</v>
      </c>
      <c r="BA24" s="1" t="s">
        <v>85</v>
      </c>
      <c r="BD24" s="1" t="s">
        <v>84</v>
      </c>
      <c r="BK24" s="1" t="s">
        <v>86</v>
      </c>
      <c r="BL24" s="1" t="s">
        <v>86</v>
      </c>
      <c r="BN24" s="1" t="s">
        <v>229</v>
      </c>
      <c r="BO24" s="1" t="s">
        <v>230</v>
      </c>
    </row>
    <row r="25">
      <c r="A25" s="1" t="s">
        <v>341</v>
      </c>
      <c r="B25" s="1" t="s">
        <v>342</v>
      </c>
      <c r="C25" s="1" t="s">
        <v>343</v>
      </c>
      <c r="D25" s="1" t="s">
        <v>92</v>
      </c>
      <c r="E25" s="2" t="s">
        <v>344</v>
      </c>
      <c r="J25" s="1">
        <v>22.0</v>
      </c>
      <c r="K25" s="1" t="s">
        <v>171</v>
      </c>
      <c r="L25" s="1" t="s">
        <v>72</v>
      </c>
      <c r="N25" s="1" t="s">
        <v>235</v>
      </c>
      <c r="O25" s="1">
        <v>-7.894736842</v>
      </c>
      <c r="Q25" s="1" t="s">
        <v>75</v>
      </c>
      <c r="R25" s="1" t="s">
        <v>345</v>
      </c>
      <c r="X25" s="1" t="s">
        <v>77</v>
      </c>
      <c r="Y25" s="1" t="s">
        <v>78</v>
      </c>
      <c r="Z25" s="1" t="s">
        <v>346</v>
      </c>
      <c r="AA25" s="1" t="s">
        <v>347</v>
      </c>
      <c r="AB25" s="1" t="s">
        <v>348</v>
      </c>
      <c r="AC25" s="1" t="s">
        <v>349</v>
      </c>
      <c r="AD25" s="1" t="s">
        <v>350</v>
      </c>
      <c r="AE25" s="1" t="s">
        <v>83</v>
      </c>
      <c r="AR25" s="1" t="s">
        <v>129</v>
      </c>
      <c r="AX25" s="1" t="s">
        <v>84</v>
      </c>
      <c r="BF25" s="1" t="s">
        <v>84</v>
      </c>
      <c r="BN25" s="1" t="s">
        <v>351</v>
      </c>
      <c r="BO25" s="1" t="s">
        <v>352</v>
      </c>
    </row>
    <row r="26">
      <c r="A26" s="1" t="s">
        <v>353</v>
      </c>
      <c r="B26" s="1" t="s">
        <v>354</v>
      </c>
      <c r="C26" s="1" t="s">
        <v>355</v>
      </c>
      <c r="D26" s="1" t="s">
        <v>70</v>
      </c>
      <c r="E26" s="2" t="s">
        <v>158</v>
      </c>
      <c r="J26" s="1">
        <v>15.0</v>
      </c>
      <c r="K26" s="1" t="s">
        <v>336</v>
      </c>
      <c r="L26" s="1" t="s">
        <v>72</v>
      </c>
      <c r="M26" s="1" t="s">
        <v>73</v>
      </c>
      <c r="N26" s="1" t="s">
        <v>74</v>
      </c>
      <c r="O26" s="1">
        <v>44.55169455</v>
      </c>
      <c r="Q26" s="1" t="s">
        <v>75</v>
      </c>
      <c r="R26" s="1" t="s">
        <v>137</v>
      </c>
      <c r="X26" s="1" t="s">
        <v>77</v>
      </c>
      <c r="Y26" s="1" t="s">
        <v>138</v>
      </c>
      <c r="Z26" s="1" t="s">
        <v>356</v>
      </c>
      <c r="AA26" s="1" t="s">
        <v>357</v>
      </c>
      <c r="AB26" s="1" t="s">
        <v>358</v>
      </c>
      <c r="AC26" s="1" t="s">
        <v>359</v>
      </c>
      <c r="AE26" s="1" t="s">
        <v>83</v>
      </c>
      <c r="AF26" s="1" t="s">
        <v>84</v>
      </c>
      <c r="AG26" s="1" t="s">
        <v>84</v>
      </c>
      <c r="AJ26" s="1" t="s">
        <v>84</v>
      </c>
      <c r="AM26" s="1" t="s">
        <v>84</v>
      </c>
      <c r="AZ26" s="1" t="s">
        <v>84</v>
      </c>
      <c r="BA26" s="1" t="s">
        <v>85</v>
      </c>
      <c r="BD26" s="1" t="s">
        <v>84</v>
      </c>
      <c r="BK26" s="1" t="s">
        <v>86</v>
      </c>
      <c r="BL26" s="1" t="s">
        <v>86</v>
      </c>
      <c r="BN26" s="1" t="s">
        <v>360</v>
      </c>
      <c r="BO26" s="1" t="s">
        <v>230</v>
      </c>
      <c r="BP26" s="1" t="s">
        <v>162</v>
      </c>
    </row>
    <row r="27">
      <c r="A27" s="1" t="s">
        <v>361</v>
      </c>
      <c r="B27" s="1" t="s">
        <v>362</v>
      </c>
      <c r="C27" s="1" t="s">
        <v>363</v>
      </c>
      <c r="D27" s="1" t="s">
        <v>92</v>
      </c>
      <c r="E27" s="2" t="s">
        <v>364</v>
      </c>
      <c r="F27" s="1" t="s">
        <v>107</v>
      </c>
      <c r="J27" s="1">
        <v>15.0</v>
      </c>
      <c r="K27" s="1" t="s">
        <v>71</v>
      </c>
      <c r="L27" s="1" t="s">
        <v>72</v>
      </c>
      <c r="M27" s="1" t="s">
        <v>73</v>
      </c>
      <c r="N27" s="1" t="s">
        <v>365</v>
      </c>
      <c r="Q27" s="1" t="s">
        <v>110</v>
      </c>
      <c r="R27" s="1" t="s">
        <v>366</v>
      </c>
      <c r="X27" s="1" t="s">
        <v>77</v>
      </c>
      <c r="Y27" s="1" t="s">
        <v>78</v>
      </c>
      <c r="Z27" s="1" t="s">
        <v>113</v>
      </c>
      <c r="AA27" s="1" t="s">
        <v>367</v>
      </c>
      <c r="AB27" s="1" t="s">
        <v>368</v>
      </c>
      <c r="AC27" s="1" t="s">
        <v>369</v>
      </c>
      <c r="AE27" s="1" t="s">
        <v>83</v>
      </c>
      <c r="BD27" s="1" t="s">
        <v>84</v>
      </c>
      <c r="BE27" s="1" t="s">
        <v>85</v>
      </c>
      <c r="BK27" s="1" t="s">
        <v>86</v>
      </c>
      <c r="BN27" s="1" t="s">
        <v>370</v>
      </c>
      <c r="BO27" s="1" t="s">
        <v>371</v>
      </c>
    </row>
    <row r="28">
      <c r="A28" s="1" t="s">
        <v>372</v>
      </c>
      <c r="B28" s="1" t="s">
        <v>373</v>
      </c>
      <c r="C28" s="1" t="s">
        <v>374</v>
      </c>
      <c r="D28" s="1" t="s">
        <v>92</v>
      </c>
      <c r="E28" s="2" t="s">
        <v>375</v>
      </c>
      <c r="J28" s="1">
        <v>50.0</v>
      </c>
      <c r="K28" s="1" t="s">
        <v>71</v>
      </c>
      <c r="L28" s="1" t="s">
        <v>72</v>
      </c>
      <c r="M28" s="1" t="s">
        <v>73</v>
      </c>
      <c r="N28" s="1" t="s">
        <v>248</v>
      </c>
      <c r="O28" s="1">
        <v>-37.5</v>
      </c>
      <c r="Q28" s="1" t="s">
        <v>149</v>
      </c>
      <c r="R28" s="1" t="s">
        <v>137</v>
      </c>
      <c r="W28" s="1" t="s">
        <v>205</v>
      </c>
      <c r="X28" s="1" t="s">
        <v>77</v>
      </c>
      <c r="Y28" s="1" t="s">
        <v>78</v>
      </c>
      <c r="Z28" s="1" t="s">
        <v>376</v>
      </c>
      <c r="AA28" s="1" t="s">
        <v>377</v>
      </c>
      <c r="AB28" s="1" t="s">
        <v>378</v>
      </c>
      <c r="AC28" s="1" t="s">
        <v>379</v>
      </c>
      <c r="AE28" s="1" t="s">
        <v>83</v>
      </c>
      <c r="BA28" s="1" t="s">
        <v>85</v>
      </c>
      <c r="BK28" s="1" t="s">
        <v>86</v>
      </c>
      <c r="BN28" s="1" t="s">
        <v>137</v>
      </c>
      <c r="BO28" s="1" t="s">
        <v>137</v>
      </c>
    </row>
    <row r="29">
      <c r="A29" s="1" t="s">
        <v>380</v>
      </c>
      <c r="B29" s="1" t="s">
        <v>381</v>
      </c>
      <c r="C29" s="1" t="s">
        <v>382</v>
      </c>
      <c r="D29" s="1" t="s">
        <v>92</v>
      </c>
      <c r="E29" s="2" t="s">
        <v>383</v>
      </c>
      <c r="J29" s="1">
        <v>21.0</v>
      </c>
      <c r="K29" s="1" t="s">
        <v>171</v>
      </c>
      <c r="L29" s="1" t="s">
        <v>72</v>
      </c>
      <c r="N29" s="1" t="s">
        <v>235</v>
      </c>
      <c r="Q29" s="1" t="s">
        <v>75</v>
      </c>
      <c r="R29" s="1" t="s">
        <v>345</v>
      </c>
      <c r="Y29" s="1" t="s">
        <v>78</v>
      </c>
      <c r="Z29" s="1" t="s">
        <v>384</v>
      </c>
      <c r="AA29" s="1" t="s">
        <v>385</v>
      </c>
      <c r="AB29" s="1" t="s">
        <v>386</v>
      </c>
      <c r="AC29" s="1" t="s">
        <v>387</v>
      </c>
      <c r="AE29" s="1" t="s">
        <v>83</v>
      </c>
      <c r="AR29" s="1" t="s">
        <v>84</v>
      </c>
      <c r="AX29" s="1" t="s">
        <v>129</v>
      </c>
      <c r="BF29" s="1" t="s">
        <v>129</v>
      </c>
      <c r="BN29" s="1" t="s">
        <v>351</v>
      </c>
      <c r="BO29" s="1" t="s">
        <v>388</v>
      </c>
    </row>
    <row r="30">
      <c r="A30" s="1" t="s">
        <v>389</v>
      </c>
      <c r="B30" s="1" t="s">
        <v>390</v>
      </c>
      <c r="C30" s="1" t="s">
        <v>391</v>
      </c>
      <c r="D30" s="1" t="s">
        <v>70</v>
      </c>
      <c r="E30" s="2" t="s">
        <v>392</v>
      </c>
      <c r="J30" s="1">
        <v>15.0</v>
      </c>
      <c r="K30" s="1" t="s">
        <v>71</v>
      </c>
      <c r="L30" s="1" t="s">
        <v>72</v>
      </c>
      <c r="M30" s="1" t="s">
        <v>73</v>
      </c>
      <c r="N30" s="1" t="s">
        <v>191</v>
      </c>
      <c r="O30" s="1">
        <v>-5.945945946</v>
      </c>
      <c r="Q30" s="1" t="s">
        <v>75</v>
      </c>
      <c r="R30" s="1" t="s">
        <v>393</v>
      </c>
      <c r="X30" s="1" t="s">
        <v>77</v>
      </c>
      <c r="Y30" s="1" t="s">
        <v>78</v>
      </c>
      <c r="Z30" s="1" t="s">
        <v>394</v>
      </c>
      <c r="AA30" s="1" t="s">
        <v>395</v>
      </c>
      <c r="AB30" s="1" t="s">
        <v>396</v>
      </c>
      <c r="AC30" s="1" t="s">
        <v>397</v>
      </c>
      <c r="AE30" s="1" t="s">
        <v>83</v>
      </c>
      <c r="AF30" s="1" t="s">
        <v>85</v>
      </c>
      <c r="AG30" s="1" t="s">
        <v>85</v>
      </c>
      <c r="AO30" s="1" t="s">
        <v>85</v>
      </c>
      <c r="AR30" s="1" t="s">
        <v>85</v>
      </c>
      <c r="AS30" s="1" t="s">
        <v>85</v>
      </c>
      <c r="AT30" s="1" t="s">
        <v>85</v>
      </c>
      <c r="AU30" s="1" t="s">
        <v>85</v>
      </c>
      <c r="AV30" s="1" t="s">
        <v>85</v>
      </c>
      <c r="AW30" s="1" t="s">
        <v>85</v>
      </c>
      <c r="AY30" s="1" t="s">
        <v>84</v>
      </c>
      <c r="BD30" s="1" t="s">
        <v>84</v>
      </c>
      <c r="BK30" s="1" t="s">
        <v>86</v>
      </c>
      <c r="BL30" s="1" t="s">
        <v>86</v>
      </c>
      <c r="BN30" s="1" t="s">
        <v>398</v>
      </c>
      <c r="BO30" s="1" t="s">
        <v>399</v>
      </c>
    </row>
    <row r="31">
      <c r="A31" s="1" t="s">
        <v>400</v>
      </c>
      <c r="B31" s="1" t="s">
        <v>401</v>
      </c>
      <c r="C31" s="1" t="s">
        <v>402</v>
      </c>
      <c r="D31" s="1" t="s">
        <v>92</v>
      </c>
      <c r="E31" s="2" t="s">
        <v>403</v>
      </c>
      <c r="J31" s="1">
        <v>35.0</v>
      </c>
      <c r="K31" s="1" t="s">
        <v>171</v>
      </c>
      <c r="L31" s="1" t="s">
        <v>72</v>
      </c>
      <c r="M31" s="1" t="s">
        <v>73</v>
      </c>
      <c r="N31" s="1" t="s">
        <v>404</v>
      </c>
      <c r="O31" s="1">
        <v>-4.9269085</v>
      </c>
      <c r="Q31" s="1" t="s">
        <v>136</v>
      </c>
      <c r="R31" s="1" t="s">
        <v>137</v>
      </c>
      <c r="X31" s="1" t="s">
        <v>77</v>
      </c>
      <c r="Y31" s="1" t="s">
        <v>78</v>
      </c>
      <c r="Z31" s="1" t="s">
        <v>405</v>
      </c>
      <c r="AA31" s="1" t="s">
        <v>406</v>
      </c>
      <c r="AB31" s="1" t="s">
        <v>407</v>
      </c>
      <c r="AC31" s="1" t="s">
        <v>408</v>
      </c>
      <c r="AD31" s="1" t="s">
        <v>409</v>
      </c>
      <c r="AE31" s="1" t="s">
        <v>83</v>
      </c>
      <c r="AF31" s="1" t="s">
        <v>129</v>
      </c>
      <c r="AG31" s="1" t="s">
        <v>84</v>
      </c>
      <c r="AJ31" s="1" t="s">
        <v>85</v>
      </c>
      <c r="AS31" s="1" t="s">
        <v>85</v>
      </c>
      <c r="BA31" s="1" t="s">
        <v>85</v>
      </c>
      <c r="BD31" s="1" t="s">
        <v>85</v>
      </c>
      <c r="BI31" s="1" t="s">
        <v>84</v>
      </c>
      <c r="BK31" s="1" t="s">
        <v>86</v>
      </c>
      <c r="BN31" s="1" t="s">
        <v>137</v>
      </c>
      <c r="BO31" s="1" t="s">
        <v>137</v>
      </c>
    </row>
    <row r="32">
      <c r="A32" s="1" t="s">
        <v>410</v>
      </c>
      <c r="B32" s="1" t="s">
        <v>411</v>
      </c>
      <c r="C32" s="1" t="s">
        <v>412</v>
      </c>
      <c r="D32" s="1" t="s">
        <v>92</v>
      </c>
      <c r="E32" s="2" t="s">
        <v>413</v>
      </c>
      <c r="J32" s="1">
        <v>16.0</v>
      </c>
      <c r="K32" s="1" t="s">
        <v>171</v>
      </c>
      <c r="L32" s="1" t="s">
        <v>72</v>
      </c>
      <c r="N32" s="1" t="s">
        <v>172</v>
      </c>
      <c r="O32" s="1">
        <v>-25.78313253</v>
      </c>
      <c r="Q32" s="1" t="s">
        <v>110</v>
      </c>
      <c r="R32" s="1" t="s">
        <v>414</v>
      </c>
      <c r="X32" s="1" t="s">
        <v>77</v>
      </c>
      <c r="Y32" s="1" t="s">
        <v>78</v>
      </c>
      <c r="Z32" s="1" t="s">
        <v>415</v>
      </c>
      <c r="AA32" s="1" t="s">
        <v>416</v>
      </c>
      <c r="AB32" s="1" t="s">
        <v>417</v>
      </c>
      <c r="AC32" s="1" t="s">
        <v>418</v>
      </c>
      <c r="AD32" s="1" t="s">
        <v>419</v>
      </c>
      <c r="AE32" s="1" t="s">
        <v>83</v>
      </c>
      <c r="AI32" s="1" t="s">
        <v>85</v>
      </c>
      <c r="BF32" s="1" t="s">
        <v>129</v>
      </c>
      <c r="BN32" s="1" t="s">
        <v>420</v>
      </c>
      <c r="BO32" s="1" t="s">
        <v>421</v>
      </c>
    </row>
    <row r="33">
      <c r="A33" s="1" t="s">
        <v>422</v>
      </c>
      <c r="B33" s="1" t="s">
        <v>423</v>
      </c>
      <c r="C33" s="1" t="s">
        <v>424</v>
      </c>
      <c r="D33" s="1" t="s">
        <v>70</v>
      </c>
      <c r="E33" s="2" t="s">
        <v>425</v>
      </c>
      <c r="J33" s="1">
        <v>15.0</v>
      </c>
      <c r="K33" s="1" t="s">
        <v>71</v>
      </c>
      <c r="L33" s="1" t="s">
        <v>72</v>
      </c>
      <c r="M33" s="1" t="s">
        <v>73</v>
      </c>
      <c r="N33" s="1" t="s">
        <v>74</v>
      </c>
      <c r="O33" s="1">
        <v>-9.133489461</v>
      </c>
      <c r="Q33" s="1" t="s">
        <v>75</v>
      </c>
      <c r="R33" s="1" t="s">
        <v>311</v>
      </c>
      <c r="X33" s="1" t="s">
        <v>77</v>
      </c>
      <c r="Y33" s="1" t="s">
        <v>78</v>
      </c>
      <c r="Z33" s="1" t="s">
        <v>405</v>
      </c>
      <c r="AA33" s="1" t="s">
        <v>426</v>
      </c>
      <c r="AB33" s="1" t="s">
        <v>427</v>
      </c>
      <c r="AC33" s="1" t="s">
        <v>428</v>
      </c>
      <c r="AE33" s="1" t="s">
        <v>83</v>
      </c>
      <c r="AF33" s="1" t="s">
        <v>85</v>
      </c>
      <c r="AG33" s="1" t="s">
        <v>85</v>
      </c>
      <c r="AK33" s="1" t="s">
        <v>85</v>
      </c>
      <c r="AN33" s="1" t="s">
        <v>85</v>
      </c>
      <c r="AU33" s="1" t="s">
        <v>85</v>
      </c>
      <c r="BA33" s="1" t="s">
        <v>85</v>
      </c>
      <c r="BK33" s="1" t="s">
        <v>86</v>
      </c>
      <c r="BL33" s="1" t="s">
        <v>86</v>
      </c>
      <c r="BN33" s="1" t="s">
        <v>311</v>
      </c>
      <c r="BO33" s="1" t="s">
        <v>311</v>
      </c>
    </row>
    <row r="34">
      <c r="A34" s="1" t="s">
        <v>429</v>
      </c>
      <c r="B34" s="1" t="s">
        <v>430</v>
      </c>
      <c r="C34" s="1" t="s">
        <v>431</v>
      </c>
      <c r="D34" s="1" t="s">
        <v>92</v>
      </c>
      <c r="E34" s="2" t="s">
        <v>432</v>
      </c>
      <c r="J34" s="1">
        <v>35.0</v>
      </c>
      <c r="K34" s="1" t="s">
        <v>123</v>
      </c>
      <c r="L34" s="1" t="s">
        <v>72</v>
      </c>
      <c r="N34" s="1" t="s">
        <v>285</v>
      </c>
      <c r="O34" s="1">
        <v>15.24926686</v>
      </c>
      <c r="Q34" s="1" t="s">
        <v>149</v>
      </c>
      <c r="R34" s="1" t="s">
        <v>433</v>
      </c>
      <c r="W34" s="1" t="s">
        <v>287</v>
      </c>
      <c r="X34" s="1" t="s">
        <v>77</v>
      </c>
      <c r="Y34" s="1" t="s">
        <v>78</v>
      </c>
      <c r="Z34" s="1" t="s">
        <v>434</v>
      </c>
      <c r="AA34" s="1" t="s">
        <v>435</v>
      </c>
      <c r="AB34" s="1" t="s">
        <v>436</v>
      </c>
      <c r="AC34" s="1" t="s">
        <v>437</v>
      </c>
      <c r="AE34" s="1" t="s">
        <v>83</v>
      </c>
      <c r="AF34" s="1" t="s">
        <v>84</v>
      </c>
      <c r="AG34" s="1" t="s">
        <v>85</v>
      </c>
      <c r="AP34" s="1" t="s">
        <v>129</v>
      </c>
      <c r="BA34" s="1" t="s">
        <v>129</v>
      </c>
      <c r="BJ34" s="1" t="s">
        <v>84</v>
      </c>
      <c r="BK34" s="1" t="s">
        <v>86</v>
      </c>
      <c r="BN34" s="1" t="s">
        <v>286</v>
      </c>
      <c r="BO34" s="1" t="s">
        <v>286</v>
      </c>
    </row>
    <row r="35">
      <c r="A35" s="1" t="s">
        <v>438</v>
      </c>
      <c r="B35" s="1" t="s">
        <v>439</v>
      </c>
      <c r="C35" s="1" t="s">
        <v>440</v>
      </c>
      <c r="D35" s="1" t="s">
        <v>92</v>
      </c>
      <c r="E35" s="2" t="s">
        <v>441</v>
      </c>
      <c r="J35" s="1">
        <v>50.0</v>
      </c>
      <c r="K35" s="1" t="s">
        <v>71</v>
      </c>
      <c r="L35" s="1" t="s">
        <v>72</v>
      </c>
      <c r="N35" s="1" t="s">
        <v>442</v>
      </c>
      <c r="O35" s="1">
        <v>5.741626794</v>
      </c>
      <c r="Q35" s="1" t="s">
        <v>149</v>
      </c>
      <c r="R35" s="1" t="s">
        <v>137</v>
      </c>
      <c r="W35" s="1" t="s">
        <v>443</v>
      </c>
      <c r="X35" s="1" t="s">
        <v>77</v>
      </c>
      <c r="Y35" s="1" t="s">
        <v>138</v>
      </c>
      <c r="Z35" s="1" t="s">
        <v>444</v>
      </c>
      <c r="AA35" s="1" t="s">
        <v>445</v>
      </c>
      <c r="AB35" s="1" t="s">
        <v>446</v>
      </c>
      <c r="AC35" s="1" t="s">
        <v>447</v>
      </c>
      <c r="AE35" s="1" t="s">
        <v>83</v>
      </c>
      <c r="AR35" s="1" t="s">
        <v>85</v>
      </c>
      <c r="BI35" s="1" t="s">
        <v>85</v>
      </c>
      <c r="BK35" s="1" t="s">
        <v>86</v>
      </c>
      <c r="BN35" s="1" t="s">
        <v>137</v>
      </c>
      <c r="BO35" s="1" t="s">
        <v>137</v>
      </c>
    </row>
    <row r="36">
      <c r="A36" s="1" t="s">
        <v>448</v>
      </c>
      <c r="B36" s="1" t="s">
        <v>449</v>
      </c>
      <c r="C36" s="1" t="s">
        <v>450</v>
      </c>
      <c r="D36" s="1" t="s">
        <v>92</v>
      </c>
      <c r="E36" s="2" t="s">
        <v>451</v>
      </c>
      <c r="J36" s="1">
        <v>14.0</v>
      </c>
      <c r="K36" s="1" t="s">
        <v>452</v>
      </c>
      <c r="L36" s="1" t="s">
        <v>72</v>
      </c>
      <c r="M36" s="1" t="s">
        <v>73</v>
      </c>
      <c r="N36" s="1" t="s">
        <v>453</v>
      </c>
      <c r="O36" s="1">
        <v>-14.55223881</v>
      </c>
      <c r="Q36" s="1" t="s">
        <v>75</v>
      </c>
      <c r="R36" s="1" t="s">
        <v>454</v>
      </c>
      <c r="W36" s="1" t="s">
        <v>455</v>
      </c>
      <c r="X36" s="1" t="s">
        <v>77</v>
      </c>
      <c r="Y36" s="1" t="s">
        <v>78</v>
      </c>
      <c r="Z36" s="1" t="s">
        <v>456</v>
      </c>
      <c r="AA36" s="1" t="s">
        <v>457</v>
      </c>
      <c r="AB36" s="1" t="s">
        <v>458</v>
      </c>
      <c r="AC36" s="1" t="s">
        <v>459</v>
      </c>
      <c r="AE36" s="1" t="s">
        <v>83</v>
      </c>
      <c r="AF36" s="1" t="s">
        <v>84</v>
      </c>
      <c r="AG36" s="1" t="s">
        <v>84</v>
      </c>
      <c r="AJ36" s="1" t="s">
        <v>84</v>
      </c>
      <c r="AM36" s="1" t="s">
        <v>84</v>
      </c>
      <c r="AN36" s="1" t="s">
        <v>84</v>
      </c>
      <c r="AP36" s="1" t="s">
        <v>84</v>
      </c>
      <c r="AS36" s="1" t="s">
        <v>85</v>
      </c>
      <c r="AU36" s="1" t="s">
        <v>85</v>
      </c>
      <c r="AZ36" s="1" t="s">
        <v>84</v>
      </c>
      <c r="BD36" s="1" t="s">
        <v>84</v>
      </c>
      <c r="BK36" s="1" t="s">
        <v>86</v>
      </c>
      <c r="BN36" s="1" t="s">
        <v>460</v>
      </c>
      <c r="BO36" s="1" t="s">
        <v>461</v>
      </c>
    </row>
    <row r="37">
      <c r="A37" s="1" t="s">
        <v>462</v>
      </c>
      <c r="B37" s="1" t="s">
        <v>463</v>
      </c>
      <c r="C37" s="1" t="s">
        <v>464</v>
      </c>
      <c r="D37" s="1" t="s">
        <v>70</v>
      </c>
      <c r="E37" s="2" t="s">
        <v>465</v>
      </c>
      <c r="J37" s="1">
        <v>15.0</v>
      </c>
      <c r="K37" s="1" t="s">
        <v>71</v>
      </c>
      <c r="L37" s="1" t="s">
        <v>72</v>
      </c>
      <c r="M37" s="1" t="s">
        <v>73</v>
      </c>
      <c r="N37" s="1" t="s">
        <v>74</v>
      </c>
      <c r="O37" s="1">
        <v>-12.90322581</v>
      </c>
      <c r="Q37" s="1" t="s">
        <v>75</v>
      </c>
      <c r="R37" s="1" t="s">
        <v>76</v>
      </c>
      <c r="W37" s="1" t="s">
        <v>466</v>
      </c>
      <c r="X37" s="1" t="s">
        <v>77</v>
      </c>
      <c r="Y37" s="1" t="s">
        <v>78</v>
      </c>
      <c r="Z37" s="1" t="s">
        <v>467</v>
      </c>
      <c r="AA37" s="1" t="s">
        <v>468</v>
      </c>
      <c r="AB37" s="1" t="s">
        <v>469</v>
      </c>
      <c r="AC37" s="1" t="s">
        <v>470</v>
      </c>
      <c r="AE37" s="1" t="s">
        <v>83</v>
      </c>
      <c r="AF37" s="1" t="s">
        <v>84</v>
      </c>
      <c r="AG37" s="1" t="s">
        <v>84</v>
      </c>
      <c r="AJ37" s="1" t="s">
        <v>85</v>
      </c>
      <c r="AN37" s="1" t="s">
        <v>84</v>
      </c>
      <c r="AU37" s="1" t="s">
        <v>85</v>
      </c>
      <c r="BA37" s="1" t="s">
        <v>84</v>
      </c>
      <c r="BD37" s="1" t="s">
        <v>84</v>
      </c>
      <c r="BJ37" s="1" t="s">
        <v>84</v>
      </c>
      <c r="BK37" s="1" t="s">
        <v>86</v>
      </c>
      <c r="BL37" s="1" t="s">
        <v>86</v>
      </c>
      <c r="BN37" s="1" t="s">
        <v>87</v>
      </c>
      <c r="BO37" s="1" t="s">
        <v>88</v>
      </c>
    </row>
    <row r="38">
      <c r="A38" s="1" t="s">
        <v>471</v>
      </c>
      <c r="B38" s="1" t="s">
        <v>472</v>
      </c>
      <c r="C38" s="1" t="s">
        <v>473</v>
      </c>
      <c r="D38" s="1" t="s">
        <v>70</v>
      </c>
      <c r="J38" s="1">
        <v>15.0</v>
      </c>
      <c r="K38" s="1" t="s">
        <v>71</v>
      </c>
      <c r="L38" s="1" t="s">
        <v>72</v>
      </c>
      <c r="M38" s="1" t="s">
        <v>73</v>
      </c>
      <c r="N38" s="1" t="s">
        <v>191</v>
      </c>
      <c r="Q38" s="1" t="s">
        <v>75</v>
      </c>
      <c r="R38" s="1" t="s">
        <v>474</v>
      </c>
      <c r="X38" s="1" t="s">
        <v>77</v>
      </c>
      <c r="Y38" s="1" t="s">
        <v>78</v>
      </c>
      <c r="Z38" s="1" t="s">
        <v>394</v>
      </c>
      <c r="AA38" s="1" t="s">
        <v>475</v>
      </c>
      <c r="AB38" s="1" t="s">
        <v>476</v>
      </c>
      <c r="AC38" s="1" t="s">
        <v>477</v>
      </c>
      <c r="AE38" s="1" t="s">
        <v>83</v>
      </c>
      <c r="AF38" s="1" t="s">
        <v>85</v>
      </c>
      <c r="AG38" s="1" t="s">
        <v>85</v>
      </c>
      <c r="AL38" s="1" t="s">
        <v>85</v>
      </c>
      <c r="AO38" s="1" t="s">
        <v>85</v>
      </c>
      <c r="AR38" s="1" t="s">
        <v>85</v>
      </c>
      <c r="AS38" s="1" t="s">
        <v>85</v>
      </c>
      <c r="AT38" s="1" t="s">
        <v>85</v>
      </c>
      <c r="AU38" s="1" t="s">
        <v>85</v>
      </c>
      <c r="AW38" s="1" t="s">
        <v>85</v>
      </c>
      <c r="AY38" s="1" t="s">
        <v>84</v>
      </c>
      <c r="BD38" s="1" t="s">
        <v>85</v>
      </c>
      <c r="BK38" s="1" t="s">
        <v>86</v>
      </c>
      <c r="BL38" s="1" t="s">
        <v>86</v>
      </c>
      <c r="BN38" s="1" t="s">
        <v>398</v>
      </c>
      <c r="BO38" s="1" t="s">
        <v>478</v>
      </c>
    </row>
    <row r="39">
      <c r="A39" s="1" t="s">
        <v>479</v>
      </c>
      <c r="B39" s="1" t="s">
        <v>480</v>
      </c>
      <c r="C39" s="1" t="s">
        <v>481</v>
      </c>
      <c r="D39" s="1" t="s">
        <v>92</v>
      </c>
      <c r="E39" s="2" t="s">
        <v>315</v>
      </c>
      <c r="J39" s="1">
        <v>32.0</v>
      </c>
      <c r="K39" s="1" t="s">
        <v>482</v>
      </c>
      <c r="L39" s="1" t="s">
        <v>72</v>
      </c>
      <c r="M39" s="1" t="s">
        <v>48</v>
      </c>
      <c r="N39" s="1" t="s">
        <v>483</v>
      </c>
      <c r="O39" s="1">
        <v>-35.54216867</v>
      </c>
      <c r="Q39" s="1" t="s">
        <v>149</v>
      </c>
      <c r="R39" s="1" t="s">
        <v>137</v>
      </c>
      <c r="W39" s="1" t="s">
        <v>316</v>
      </c>
      <c r="X39" s="1" t="s">
        <v>77</v>
      </c>
      <c r="Y39" s="1" t="s">
        <v>78</v>
      </c>
      <c r="Z39" s="1" t="s">
        <v>484</v>
      </c>
      <c r="AA39" s="1" t="s">
        <v>485</v>
      </c>
      <c r="AB39" s="1" t="s">
        <v>486</v>
      </c>
      <c r="AC39" s="1" t="s">
        <v>487</v>
      </c>
      <c r="AE39" s="1" t="s">
        <v>83</v>
      </c>
      <c r="AX39" s="1" t="s">
        <v>129</v>
      </c>
      <c r="BN39" s="1" t="s">
        <v>137</v>
      </c>
      <c r="BO39" s="1" t="s">
        <v>137</v>
      </c>
    </row>
    <row r="40">
      <c r="A40" s="1" t="s">
        <v>488</v>
      </c>
      <c r="B40" s="1" t="s">
        <v>489</v>
      </c>
      <c r="C40" s="1" t="s">
        <v>490</v>
      </c>
      <c r="D40" s="1" t="s">
        <v>92</v>
      </c>
      <c r="E40" s="2" t="s">
        <v>491</v>
      </c>
      <c r="J40" s="1">
        <v>23.0</v>
      </c>
      <c r="K40" s="1" t="s">
        <v>71</v>
      </c>
      <c r="L40" s="1" t="s">
        <v>72</v>
      </c>
      <c r="N40" s="1" t="s">
        <v>492</v>
      </c>
      <c r="Q40" s="1" t="s">
        <v>110</v>
      </c>
      <c r="R40" s="1" t="s">
        <v>493</v>
      </c>
      <c r="X40" s="1" t="s">
        <v>77</v>
      </c>
      <c r="Y40" s="1" t="s">
        <v>78</v>
      </c>
      <c r="Z40" s="1" t="s">
        <v>181</v>
      </c>
      <c r="AA40" s="1" t="s">
        <v>494</v>
      </c>
      <c r="AB40" s="1" t="s">
        <v>495</v>
      </c>
      <c r="AC40" s="1" t="s">
        <v>496</v>
      </c>
      <c r="AE40" s="1" t="s">
        <v>83</v>
      </c>
      <c r="AG40" s="1" t="s">
        <v>84</v>
      </c>
      <c r="AJ40" s="1" t="s">
        <v>85</v>
      </c>
      <c r="AO40" s="1" t="s">
        <v>84</v>
      </c>
      <c r="AV40" s="1" t="s">
        <v>84</v>
      </c>
      <c r="AY40" s="1" t="s">
        <v>85</v>
      </c>
      <c r="AZ40" s="1" t="s">
        <v>85</v>
      </c>
      <c r="BD40" s="1" t="s">
        <v>84</v>
      </c>
      <c r="BK40" s="1" t="s">
        <v>86</v>
      </c>
      <c r="BN40" s="1" t="s">
        <v>497</v>
      </c>
      <c r="BO40" s="1" t="s">
        <v>185</v>
      </c>
    </row>
    <row r="41">
      <c r="A41" s="1" t="s">
        <v>498</v>
      </c>
      <c r="B41" s="1" t="s">
        <v>499</v>
      </c>
      <c r="C41" s="1" t="s">
        <v>500</v>
      </c>
      <c r="D41" s="1" t="s">
        <v>92</v>
      </c>
      <c r="E41" s="2" t="s">
        <v>501</v>
      </c>
      <c r="J41" s="1">
        <v>32.0</v>
      </c>
      <c r="K41" s="1" t="s">
        <v>71</v>
      </c>
      <c r="L41" s="1" t="s">
        <v>72</v>
      </c>
      <c r="M41" s="1" t="s">
        <v>73</v>
      </c>
      <c r="N41" s="1" t="s">
        <v>259</v>
      </c>
      <c r="O41" s="1">
        <v>-24.1025641</v>
      </c>
      <c r="Q41" s="1" t="s">
        <v>75</v>
      </c>
      <c r="R41" s="1" t="s">
        <v>137</v>
      </c>
      <c r="Y41" s="1" t="s">
        <v>78</v>
      </c>
      <c r="Z41" s="1" t="s">
        <v>502</v>
      </c>
      <c r="AA41" s="1" t="s">
        <v>503</v>
      </c>
      <c r="AB41" s="1" t="s">
        <v>504</v>
      </c>
      <c r="AC41" s="1" t="s">
        <v>505</v>
      </c>
      <c r="AE41" s="1" t="s">
        <v>83</v>
      </c>
      <c r="AF41" s="1" t="s">
        <v>85</v>
      </c>
      <c r="AN41" s="1" t="s">
        <v>85</v>
      </c>
      <c r="AS41" s="1" t="s">
        <v>85</v>
      </c>
      <c r="AZ41" s="1" t="s">
        <v>84</v>
      </c>
      <c r="BA41" s="1" t="s">
        <v>84</v>
      </c>
      <c r="BJ41" s="1" t="s">
        <v>84</v>
      </c>
      <c r="BN41" s="1" t="s">
        <v>506</v>
      </c>
      <c r="BO41" s="1" t="s">
        <v>137</v>
      </c>
    </row>
    <row r="42">
      <c r="A42" s="1" t="s">
        <v>507</v>
      </c>
      <c r="B42" s="1" t="s">
        <v>508</v>
      </c>
      <c r="C42" s="1" t="s">
        <v>509</v>
      </c>
      <c r="D42" s="1" t="s">
        <v>92</v>
      </c>
      <c r="E42" s="2" t="s">
        <v>510</v>
      </c>
      <c r="J42" s="1">
        <v>45.0</v>
      </c>
      <c r="K42" s="1" t="s">
        <v>171</v>
      </c>
      <c r="L42" s="1" t="s">
        <v>72</v>
      </c>
      <c r="M42" s="1" t="s">
        <v>73</v>
      </c>
      <c r="N42" s="1" t="s">
        <v>74</v>
      </c>
      <c r="O42" s="1">
        <v>-19.70989761</v>
      </c>
      <c r="Q42" s="1" t="s">
        <v>260</v>
      </c>
      <c r="R42" s="1" t="s">
        <v>511</v>
      </c>
      <c r="W42" s="1" t="s">
        <v>112</v>
      </c>
      <c r="X42" s="1" t="s">
        <v>77</v>
      </c>
      <c r="Y42" s="1" t="s">
        <v>138</v>
      </c>
      <c r="Z42" s="1" t="s">
        <v>512</v>
      </c>
      <c r="AA42" s="1" t="s">
        <v>513</v>
      </c>
      <c r="AB42" s="1" t="s">
        <v>514</v>
      </c>
      <c r="AC42" s="1" t="s">
        <v>515</v>
      </c>
      <c r="AE42" s="1" t="s">
        <v>83</v>
      </c>
      <c r="AF42" s="1" t="s">
        <v>84</v>
      </c>
      <c r="AG42" s="1" t="s">
        <v>84</v>
      </c>
      <c r="AK42" s="1" t="s">
        <v>85</v>
      </c>
      <c r="AM42" s="1" t="s">
        <v>85</v>
      </c>
      <c r="AN42" s="1" t="s">
        <v>84</v>
      </c>
      <c r="AS42" s="1" t="s">
        <v>84</v>
      </c>
      <c r="BA42" s="1" t="s">
        <v>84</v>
      </c>
      <c r="BD42" s="1" t="s">
        <v>85</v>
      </c>
      <c r="BJ42" s="1" t="s">
        <v>85</v>
      </c>
      <c r="BK42" s="1" t="s">
        <v>86</v>
      </c>
      <c r="BN42" s="1" t="s">
        <v>516</v>
      </c>
      <c r="BO42" s="1" t="s">
        <v>517</v>
      </c>
    </row>
    <row r="43">
      <c r="A43" s="1" t="s">
        <v>518</v>
      </c>
      <c r="B43" s="1" t="s">
        <v>519</v>
      </c>
      <c r="C43" s="1" t="s">
        <v>520</v>
      </c>
      <c r="D43" s="1" t="s">
        <v>70</v>
      </c>
      <c r="E43" s="2" t="s">
        <v>521</v>
      </c>
      <c r="J43" s="1">
        <v>15.0</v>
      </c>
      <c r="K43" s="1" t="s">
        <v>71</v>
      </c>
      <c r="L43" s="1" t="s">
        <v>72</v>
      </c>
      <c r="M43" s="1" t="s">
        <v>73</v>
      </c>
      <c r="N43" s="1" t="s">
        <v>191</v>
      </c>
      <c r="O43" s="1">
        <v>-23.91304348</v>
      </c>
      <c r="Q43" s="1" t="s">
        <v>149</v>
      </c>
      <c r="R43" s="1" t="s">
        <v>137</v>
      </c>
      <c r="W43" s="1" t="s">
        <v>443</v>
      </c>
      <c r="X43" s="1" t="s">
        <v>77</v>
      </c>
      <c r="Y43" s="1" t="s">
        <v>138</v>
      </c>
      <c r="Z43" s="1" t="s">
        <v>522</v>
      </c>
      <c r="AA43" s="1" t="s">
        <v>523</v>
      </c>
      <c r="AB43" s="1" t="s">
        <v>524</v>
      </c>
      <c r="AC43" s="1" t="s">
        <v>525</v>
      </c>
      <c r="AE43" s="1" t="s">
        <v>83</v>
      </c>
      <c r="AF43" s="1" t="s">
        <v>85</v>
      </c>
      <c r="AG43" s="1" t="s">
        <v>85</v>
      </c>
      <c r="AL43" s="1" t="s">
        <v>85</v>
      </c>
      <c r="AO43" s="1" t="s">
        <v>85</v>
      </c>
      <c r="AR43" s="1" t="s">
        <v>85</v>
      </c>
      <c r="AS43" s="1" t="s">
        <v>85</v>
      </c>
      <c r="AT43" s="1" t="s">
        <v>85</v>
      </c>
      <c r="AU43" s="1" t="s">
        <v>85</v>
      </c>
      <c r="AY43" s="1" t="s">
        <v>84</v>
      </c>
      <c r="BD43" s="1" t="s">
        <v>85</v>
      </c>
      <c r="BK43" s="1" t="s">
        <v>86</v>
      </c>
      <c r="BL43" s="1" t="s">
        <v>86</v>
      </c>
      <c r="BN43" s="1" t="s">
        <v>398</v>
      </c>
      <c r="BO43" s="1" t="s">
        <v>526</v>
      </c>
    </row>
    <row r="44">
      <c r="A44" s="1" t="s">
        <v>527</v>
      </c>
      <c r="B44" s="1" t="s">
        <v>528</v>
      </c>
      <c r="C44" s="1" t="s">
        <v>529</v>
      </c>
      <c r="D44" s="1" t="s">
        <v>92</v>
      </c>
      <c r="E44" s="2" t="s">
        <v>530</v>
      </c>
      <c r="F44" s="1" t="s">
        <v>531</v>
      </c>
      <c r="J44" s="1">
        <v>25.0</v>
      </c>
      <c r="K44" s="1" t="s">
        <v>71</v>
      </c>
      <c r="L44" s="1" t="s">
        <v>72</v>
      </c>
      <c r="M44" s="1" t="s">
        <v>73</v>
      </c>
      <c r="N44" s="1" t="s">
        <v>74</v>
      </c>
      <c r="Q44" s="1" t="s">
        <v>136</v>
      </c>
      <c r="R44" s="1" t="s">
        <v>137</v>
      </c>
      <c r="X44" s="1" t="s">
        <v>77</v>
      </c>
      <c r="Y44" s="1" t="s">
        <v>138</v>
      </c>
      <c r="Z44" s="1" t="s">
        <v>532</v>
      </c>
      <c r="AA44" s="1" t="s">
        <v>533</v>
      </c>
      <c r="AB44" s="1" t="s">
        <v>534</v>
      </c>
      <c r="AC44" s="1" t="s">
        <v>535</v>
      </c>
      <c r="AE44" s="1" t="s">
        <v>83</v>
      </c>
      <c r="AF44" s="1" t="s">
        <v>84</v>
      </c>
      <c r="AG44" s="1" t="s">
        <v>84</v>
      </c>
      <c r="AJ44" s="1" t="s">
        <v>84</v>
      </c>
      <c r="AK44" s="1" t="s">
        <v>84</v>
      </c>
      <c r="AM44" s="1" t="s">
        <v>84</v>
      </c>
      <c r="AN44" s="1" t="s">
        <v>84</v>
      </c>
      <c r="AP44" s="1" t="s">
        <v>85</v>
      </c>
      <c r="AS44" s="1" t="s">
        <v>85</v>
      </c>
      <c r="AU44" s="1" t="s">
        <v>85</v>
      </c>
      <c r="AZ44" s="1" t="s">
        <v>84</v>
      </c>
      <c r="BA44" s="1" t="s">
        <v>84</v>
      </c>
      <c r="BD44" s="1" t="s">
        <v>84</v>
      </c>
      <c r="BI44" s="1" t="s">
        <v>84</v>
      </c>
      <c r="BJ44" s="1" t="s">
        <v>85</v>
      </c>
      <c r="BN44" s="1" t="s">
        <v>137</v>
      </c>
      <c r="BO44" s="1" t="s">
        <v>137</v>
      </c>
      <c r="BP44" s="1" t="s">
        <v>536</v>
      </c>
    </row>
    <row r="45">
      <c r="A45" s="1" t="s">
        <v>537</v>
      </c>
      <c r="B45" s="1" t="s">
        <v>538</v>
      </c>
      <c r="C45" s="1" t="s">
        <v>539</v>
      </c>
      <c r="D45" s="1" t="s">
        <v>92</v>
      </c>
      <c r="E45" s="2" t="s">
        <v>540</v>
      </c>
      <c r="J45" s="1">
        <v>20.0</v>
      </c>
      <c r="K45" s="1" t="s">
        <v>171</v>
      </c>
      <c r="L45" s="1" t="s">
        <v>72</v>
      </c>
      <c r="N45" s="1" t="s">
        <v>172</v>
      </c>
      <c r="O45" s="1">
        <v>-3.966942149</v>
      </c>
      <c r="Q45" s="1" t="s">
        <v>110</v>
      </c>
      <c r="R45" s="1" t="s">
        <v>541</v>
      </c>
      <c r="X45" s="1" t="s">
        <v>77</v>
      </c>
      <c r="Y45" s="1" t="s">
        <v>78</v>
      </c>
      <c r="Z45" s="1" t="s">
        <v>542</v>
      </c>
      <c r="AA45" s="1" t="s">
        <v>543</v>
      </c>
      <c r="AB45" s="1" t="s">
        <v>544</v>
      </c>
      <c r="AC45" s="1" t="s">
        <v>545</v>
      </c>
      <c r="AE45" s="1" t="s">
        <v>83</v>
      </c>
      <c r="AI45" s="1" t="s">
        <v>85</v>
      </c>
      <c r="BF45" s="1" t="s">
        <v>84</v>
      </c>
      <c r="BN45" s="1" t="s">
        <v>546</v>
      </c>
      <c r="BO45" s="1" t="s">
        <v>547</v>
      </c>
    </row>
    <row r="46">
      <c r="A46" s="1" t="s">
        <v>548</v>
      </c>
      <c r="B46" s="1" t="s">
        <v>549</v>
      </c>
      <c r="C46" s="1" t="s">
        <v>550</v>
      </c>
      <c r="D46" s="1" t="s">
        <v>92</v>
      </c>
      <c r="J46" s="1">
        <v>35.0</v>
      </c>
      <c r="K46" s="1" t="s">
        <v>171</v>
      </c>
      <c r="L46" s="1" t="s">
        <v>72</v>
      </c>
      <c r="M46" s="1" t="s">
        <v>73</v>
      </c>
      <c r="N46" s="1" t="s">
        <v>74</v>
      </c>
      <c r="Q46" s="1" t="s">
        <v>149</v>
      </c>
      <c r="R46" s="1" t="s">
        <v>551</v>
      </c>
      <c r="X46" s="1" t="s">
        <v>77</v>
      </c>
      <c r="Y46" s="1" t="s">
        <v>138</v>
      </c>
      <c r="Z46" s="1" t="s">
        <v>552</v>
      </c>
      <c r="AA46" s="1" t="s">
        <v>553</v>
      </c>
      <c r="AB46" s="1" t="s">
        <v>554</v>
      </c>
      <c r="AC46" s="1" t="s">
        <v>555</v>
      </c>
      <c r="AE46" s="1" t="s">
        <v>83</v>
      </c>
      <c r="AF46" s="1" t="s">
        <v>84</v>
      </c>
      <c r="AG46" s="1" t="s">
        <v>84</v>
      </c>
      <c r="AK46" s="1" t="s">
        <v>84</v>
      </c>
      <c r="AL46" s="1" t="s">
        <v>85</v>
      </c>
      <c r="AM46" s="1" t="s">
        <v>84</v>
      </c>
      <c r="AN46" s="1" t="s">
        <v>84</v>
      </c>
      <c r="AS46" s="1" t="s">
        <v>84</v>
      </c>
      <c r="AU46" s="1" t="s">
        <v>85</v>
      </c>
      <c r="AZ46" s="1" t="s">
        <v>85</v>
      </c>
      <c r="BA46" s="1" t="s">
        <v>84</v>
      </c>
      <c r="BK46" s="1" t="s">
        <v>86</v>
      </c>
      <c r="BM46" s="1" t="s">
        <v>86</v>
      </c>
      <c r="BN46" s="1" t="s">
        <v>556</v>
      </c>
      <c r="BO46" s="1" t="s">
        <v>557</v>
      </c>
      <c r="BP46" s="1" t="s">
        <v>144</v>
      </c>
    </row>
    <row r="47">
      <c r="A47" s="1" t="s">
        <v>558</v>
      </c>
      <c r="B47" s="1" t="s">
        <v>559</v>
      </c>
      <c r="C47" s="1" t="s">
        <v>560</v>
      </c>
      <c r="D47" s="1" t="s">
        <v>92</v>
      </c>
      <c r="E47" s="2" t="s">
        <v>561</v>
      </c>
      <c r="J47" s="1">
        <v>18.0</v>
      </c>
      <c r="K47" s="1" t="s">
        <v>562</v>
      </c>
      <c r="L47" s="1" t="s">
        <v>72</v>
      </c>
      <c r="N47" s="1" t="s">
        <v>492</v>
      </c>
      <c r="Q47" s="1" t="s">
        <v>110</v>
      </c>
      <c r="R47" s="1" t="s">
        <v>563</v>
      </c>
      <c r="X47" s="1" t="s">
        <v>77</v>
      </c>
      <c r="Y47" s="1" t="s">
        <v>78</v>
      </c>
      <c r="Z47" s="1" t="s">
        <v>564</v>
      </c>
      <c r="AA47" s="1" t="s">
        <v>565</v>
      </c>
      <c r="AB47" s="1" t="s">
        <v>566</v>
      </c>
      <c r="AC47" s="1" t="s">
        <v>567</v>
      </c>
      <c r="AE47" s="1" t="s">
        <v>83</v>
      </c>
      <c r="AF47" s="1" t="s">
        <v>85</v>
      </c>
      <c r="AG47" s="1" t="s">
        <v>85</v>
      </c>
      <c r="AO47" s="1" t="s">
        <v>85</v>
      </c>
      <c r="AV47" s="1" t="s">
        <v>84</v>
      </c>
      <c r="AY47" s="1" t="s">
        <v>85</v>
      </c>
      <c r="BD47" s="1" t="s">
        <v>84</v>
      </c>
      <c r="BF47" s="1" t="s">
        <v>84</v>
      </c>
      <c r="BK47" s="1" t="s">
        <v>86</v>
      </c>
      <c r="BN47" s="1" t="s">
        <v>568</v>
      </c>
      <c r="BO47" s="1" t="s">
        <v>154</v>
      </c>
    </row>
    <row r="48">
      <c r="A48" s="1" t="s">
        <v>569</v>
      </c>
      <c r="B48" s="1" t="s">
        <v>570</v>
      </c>
      <c r="C48" s="1" t="s">
        <v>571</v>
      </c>
      <c r="D48" s="1" t="s">
        <v>92</v>
      </c>
      <c r="E48" s="2" t="s">
        <v>572</v>
      </c>
      <c r="J48" s="1">
        <v>27.0</v>
      </c>
      <c r="K48" s="1" t="s">
        <v>171</v>
      </c>
      <c r="L48" s="1" t="s">
        <v>72</v>
      </c>
      <c r="N48" s="1" t="s">
        <v>442</v>
      </c>
      <c r="O48" s="1">
        <v>-9.183673469</v>
      </c>
      <c r="Q48" s="1" t="s">
        <v>75</v>
      </c>
      <c r="R48" s="1" t="s">
        <v>573</v>
      </c>
      <c r="Y48" s="1" t="s">
        <v>78</v>
      </c>
      <c r="Z48" s="1" t="s">
        <v>574</v>
      </c>
      <c r="AA48" s="1" t="s">
        <v>575</v>
      </c>
      <c r="AB48" s="1" t="s">
        <v>576</v>
      </c>
      <c r="AC48" s="1" t="s">
        <v>577</v>
      </c>
      <c r="AD48" s="1" t="s">
        <v>578</v>
      </c>
      <c r="AE48" s="1" t="s">
        <v>83</v>
      </c>
      <c r="AR48" s="1" t="s">
        <v>84</v>
      </c>
      <c r="BF48" s="1" t="s">
        <v>85</v>
      </c>
      <c r="BN48" s="1" t="s">
        <v>579</v>
      </c>
      <c r="BO48" s="1" t="s">
        <v>580</v>
      </c>
    </row>
    <row r="49">
      <c r="A49" s="1" t="s">
        <v>581</v>
      </c>
      <c r="B49" s="1" t="s">
        <v>582</v>
      </c>
      <c r="C49" s="1" t="s">
        <v>583</v>
      </c>
      <c r="D49" s="1" t="s">
        <v>92</v>
      </c>
      <c r="E49" s="2" t="s">
        <v>180</v>
      </c>
      <c r="J49" s="1">
        <v>18.0</v>
      </c>
      <c r="K49" s="1" t="s">
        <v>71</v>
      </c>
      <c r="L49" s="1" t="s">
        <v>72</v>
      </c>
      <c r="N49" s="1" t="s">
        <v>492</v>
      </c>
      <c r="O49" s="1">
        <v>-2.278481013</v>
      </c>
      <c r="Q49" s="1" t="s">
        <v>110</v>
      </c>
      <c r="R49" s="1" t="s">
        <v>584</v>
      </c>
      <c r="X49" s="1" t="s">
        <v>77</v>
      </c>
      <c r="Y49" s="1" t="s">
        <v>78</v>
      </c>
      <c r="AA49" s="1" t="s">
        <v>585</v>
      </c>
      <c r="AB49" s="1" t="s">
        <v>586</v>
      </c>
      <c r="AC49" s="1" t="s">
        <v>587</v>
      </c>
      <c r="AE49" s="1" t="s">
        <v>83</v>
      </c>
      <c r="AF49" s="1" t="s">
        <v>84</v>
      </c>
      <c r="AG49" s="1" t="s">
        <v>85</v>
      </c>
      <c r="AO49" s="1" t="s">
        <v>85</v>
      </c>
      <c r="AV49" s="1" t="s">
        <v>85</v>
      </c>
      <c r="BD49" s="1" t="s">
        <v>85</v>
      </c>
      <c r="BK49" s="1" t="s">
        <v>86</v>
      </c>
      <c r="BN49" s="1" t="s">
        <v>370</v>
      </c>
      <c r="BO49" s="1" t="s">
        <v>199</v>
      </c>
    </row>
    <row r="50">
      <c r="A50" s="1" t="s">
        <v>588</v>
      </c>
      <c r="B50" s="1" t="s">
        <v>589</v>
      </c>
      <c r="C50" s="1" t="s">
        <v>590</v>
      </c>
      <c r="D50" s="1" t="s">
        <v>92</v>
      </c>
      <c r="E50" s="2" t="s">
        <v>591</v>
      </c>
      <c r="J50" s="1">
        <v>35.0</v>
      </c>
      <c r="K50" s="1" t="s">
        <v>171</v>
      </c>
      <c r="L50" s="1" t="s">
        <v>72</v>
      </c>
      <c r="M50" s="1" t="s">
        <v>73</v>
      </c>
      <c r="N50" s="1" t="s">
        <v>191</v>
      </c>
      <c r="O50" s="1">
        <v>-13.63636364</v>
      </c>
      <c r="Q50" s="1" t="s">
        <v>75</v>
      </c>
      <c r="R50" s="1" t="s">
        <v>592</v>
      </c>
      <c r="W50" s="1" t="s">
        <v>193</v>
      </c>
      <c r="X50" s="1" t="s">
        <v>77</v>
      </c>
      <c r="Y50" s="1" t="s">
        <v>78</v>
      </c>
      <c r="Z50" s="1" t="s">
        <v>194</v>
      </c>
      <c r="AA50" s="1" t="s">
        <v>593</v>
      </c>
      <c r="AB50" s="1" t="s">
        <v>594</v>
      </c>
      <c r="AC50" s="1" t="s">
        <v>595</v>
      </c>
      <c r="AD50" s="1" t="s">
        <v>596</v>
      </c>
      <c r="AE50" s="1" t="s">
        <v>83</v>
      </c>
      <c r="AF50" s="1" t="s">
        <v>84</v>
      </c>
      <c r="AG50" s="1" t="s">
        <v>84</v>
      </c>
      <c r="AP50" s="1" t="s">
        <v>85</v>
      </c>
      <c r="AY50" s="1" t="s">
        <v>129</v>
      </c>
      <c r="BA50" s="1" t="s">
        <v>85</v>
      </c>
      <c r="BD50" s="1" t="s">
        <v>84</v>
      </c>
      <c r="BK50" s="1" t="s">
        <v>86</v>
      </c>
      <c r="BN50" s="1" t="s">
        <v>597</v>
      </c>
      <c r="BO50" s="1" t="s">
        <v>598</v>
      </c>
    </row>
    <row r="51">
      <c r="A51" s="1" t="s">
        <v>599</v>
      </c>
      <c r="B51" s="1" t="s">
        <v>600</v>
      </c>
      <c r="C51" s="1" t="s">
        <v>601</v>
      </c>
      <c r="D51" s="1" t="s">
        <v>70</v>
      </c>
      <c r="E51" s="2" t="s">
        <v>214</v>
      </c>
      <c r="F51" s="1" t="s">
        <v>215</v>
      </c>
      <c r="J51" s="1">
        <v>15.0</v>
      </c>
      <c r="K51" s="1" t="s">
        <v>71</v>
      </c>
      <c r="L51" s="1" t="s">
        <v>72</v>
      </c>
      <c r="M51" s="1" t="s">
        <v>73</v>
      </c>
      <c r="N51" s="1" t="s">
        <v>74</v>
      </c>
      <c r="Q51" s="1" t="s">
        <v>75</v>
      </c>
      <c r="R51" s="1" t="s">
        <v>76</v>
      </c>
      <c r="X51" s="1" t="s">
        <v>77</v>
      </c>
      <c r="Y51" s="1" t="s">
        <v>78</v>
      </c>
      <c r="AA51" s="1" t="s">
        <v>602</v>
      </c>
      <c r="AB51" s="1" t="s">
        <v>603</v>
      </c>
      <c r="AC51" s="1" t="s">
        <v>604</v>
      </c>
      <c r="AE51" s="1" t="s">
        <v>83</v>
      </c>
      <c r="AF51" s="1" t="s">
        <v>84</v>
      </c>
      <c r="AG51" s="1" t="s">
        <v>84</v>
      </c>
      <c r="AJ51" s="1" t="s">
        <v>85</v>
      </c>
      <c r="AN51" s="1" t="s">
        <v>84</v>
      </c>
      <c r="BA51" s="1" t="s">
        <v>84</v>
      </c>
      <c r="BD51" s="1" t="s">
        <v>84</v>
      </c>
      <c r="BJ51" s="1" t="s">
        <v>84</v>
      </c>
      <c r="BK51" s="1" t="s">
        <v>86</v>
      </c>
      <c r="BL51" s="1" t="s">
        <v>86</v>
      </c>
      <c r="BN51" s="1" t="s">
        <v>87</v>
      </c>
      <c r="BO51" s="1" t="s">
        <v>88</v>
      </c>
      <c r="BP51" s="1" t="s">
        <v>220</v>
      </c>
    </row>
    <row r="52">
      <c r="A52" s="1" t="s">
        <v>605</v>
      </c>
      <c r="B52" s="1" t="s">
        <v>606</v>
      </c>
      <c r="C52" s="1" t="s">
        <v>607</v>
      </c>
      <c r="D52" s="1" t="s">
        <v>92</v>
      </c>
      <c r="E52" s="2" t="s">
        <v>203</v>
      </c>
      <c r="J52" s="1">
        <v>30.0</v>
      </c>
      <c r="K52" s="1" t="s">
        <v>148</v>
      </c>
      <c r="L52" s="1" t="s">
        <v>72</v>
      </c>
      <c r="M52" s="1" t="s">
        <v>73</v>
      </c>
      <c r="N52" s="1" t="s">
        <v>248</v>
      </c>
      <c r="O52" s="1">
        <v>-11.38211382</v>
      </c>
      <c r="Q52" s="1" t="s">
        <v>75</v>
      </c>
      <c r="R52" s="1" t="s">
        <v>608</v>
      </c>
      <c r="W52" s="1" t="s">
        <v>205</v>
      </c>
      <c r="X52" s="1" t="s">
        <v>77</v>
      </c>
      <c r="Y52" s="1" t="s">
        <v>78</v>
      </c>
      <c r="Z52" s="1" t="s">
        <v>609</v>
      </c>
      <c r="AA52" s="1" t="s">
        <v>610</v>
      </c>
      <c r="AB52" s="1" t="s">
        <v>611</v>
      </c>
      <c r="AC52" s="1" t="s">
        <v>612</v>
      </c>
      <c r="AE52" s="1" t="s">
        <v>83</v>
      </c>
      <c r="AF52" s="1" t="s">
        <v>85</v>
      </c>
      <c r="AG52" s="1" t="s">
        <v>85</v>
      </c>
      <c r="AN52" s="1" t="s">
        <v>85</v>
      </c>
      <c r="AP52" s="1" t="s">
        <v>85</v>
      </c>
      <c r="BA52" s="1" t="s">
        <v>84</v>
      </c>
      <c r="BD52" s="1" t="s">
        <v>85</v>
      </c>
      <c r="BJ52" s="1" t="s">
        <v>85</v>
      </c>
      <c r="BK52" s="1" t="s">
        <v>86</v>
      </c>
      <c r="BN52" s="1" t="s">
        <v>613</v>
      </c>
      <c r="BO52" s="1" t="s">
        <v>614</v>
      </c>
    </row>
    <row r="53">
      <c r="A53" s="1" t="s">
        <v>615</v>
      </c>
      <c r="B53" s="1" t="s">
        <v>616</v>
      </c>
      <c r="C53" s="1" t="s">
        <v>617</v>
      </c>
      <c r="D53" s="1" t="s">
        <v>70</v>
      </c>
      <c r="E53" s="2" t="s">
        <v>258</v>
      </c>
      <c r="J53" s="1">
        <v>15.0</v>
      </c>
      <c r="K53" s="1" t="s">
        <v>618</v>
      </c>
      <c r="L53" s="1" t="s">
        <v>72</v>
      </c>
      <c r="M53" s="1" t="s">
        <v>73</v>
      </c>
      <c r="N53" s="1" t="s">
        <v>74</v>
      </c>
      <c r="Q53" s="1" t="s">
        <v>75</v>
      </c>
      <c r="R53" s="1" t="s">
        <v>619</v>
      </c>
      <c r="X53" s="1" t="s">
        <v>77</v>
      </c>
      <c r="Y53" s="1" t="s">
        <v>78</v>
      </c>
      <c r="Z53" s="1" t="s">
        <v>620</v>
      </c>
      <c r="AA53" s="1" t="s">
        <v>621</v>
      </c>
      <c r="AB53" s="1" t="s">
        <v>622</v>
      </c>
      <c r="AC53" s="1" t="s">
        <v>623</v>
      </c>
      <c r="AE53" s="1" t="s">
        <v>83</v>
      </c>
      <c r="AF53" s="1" t="s">
        <v>84</v>
      </c>
      <c r="AG53" s="1" t="s">
        <v>84</v>
      </c>
      <c r="AJ53" s="1" t="s">
        <v>85</v>
      </c>
      <c r="AL53" s="1" t="s">
        <v>85</v>
      </c>
      <c r="AM53" s="1" t="s">
        <v>84</v>
      </c>
      <c r="AN53" s="1" t="s">
        <v>85</v>
      </c>
      <c r="AS53" s="1" t="s">
        <v>84</v>
      </c>
      <c r="AU53" s="1" t="s">
        <v>85</v>
      </c>
      <c r="BA53" s="1" t="s">
        <v>84</v>
      </c>
      <c r="BD53" s="1" t="s">
        <v>85</v>
      </c>
      <c r="BJ53" s="1" t="s">
        <v>84</v>
      </c>
      <c r="BK53" s="1" t="s">
        <v>86</v>
      </c>
      <c r="BL53" s="1" t="s">
        <v>86</v>
      </c>
      <c r="BN53" s="1" t="s">
        <v>624</v>
      </c>
      <c r="BO53" s="1" t="s">
        <v>625</v>
      </c>
    </row>
    <row r="54">
      <c r="A54" s="1" t="s">
        <v>626</v>
      </c>
      <c r="B54" s="1" t="s">
        <v>627</v>
      </c>
      <c r="C54" s="1" t="s">
        <v>628</v>
      </c>
      <c r="D54" s="1" t="s">
        <v>70</v>
      </c>
      <c r="E54" s="2" t="s">
        <v>629</v>
      </c>
      <c r="F54" s="1" t="s">
        <v>247</v>
      </c>
      <c r="J54" s="1">
        <v>17.0</v>
      </c>
      <c r="K54" s="1" t="s">
        <v>630</v>
      </c>
      <c r="L54" s="1" t="s">
        <v>72</v>
      </c>
      <c r="M54" s="1" t="s">
        <v>73</v>
      </c>
      <c r="N54" s="1" t="s">
        <v>631</v>
      </c>
      <c r="O54" s="1">
        <v>-21.09375</v>
      </c>
      <c r="Q54" s="1" t="s">
        <v>149</v>
      </c>
      <c r="R54" s="1" t="s">
        <v>286</v>
      </c>
      <c r="W54" s="1" t="s">
        <v>287</v>
      </c>
      <c r="X54" s="1" t="s">
        <v>77</v>
      </c>
      <c r="Y54" s="1" t="s">
        <v>138</v>
      </c>
      <c r="Z54" s="1" t="s">
        <v>632</v>
      </c>
      <c r="AA54" s="1" t="s">
        <v>633</v>
      </c>
      <c r="AB54" s="1" t="s">
        <v>634</v>
      </c>
      <c r="AC54" s="1" t="s">
        <v>635</v>
      </c>
      <c r="AE54" s="1" t="s">
        <v>83</v>
      </c>
      <c r="AK54" s="1" t="s">
        <v>85</v>
      </c>
      <c r="AM54" s="1" t="s">
        <v>84</v>
      </c>
      <c r="AN54" s="1" t="s">
        <v>84</v>
      </c>
      <c r="AS54" s="1" t="s">
        <v>85</v>
      </c>
      <c r="AU54" s="1" t="s">
        <v>85</v>
      </c>
      <c r="BA54" s="1" t="s">
        <v>84</v>
      </c>
      <c r="BJ54" s="1" t="s">
        <v>84</v>
      </c>
      <c r="BK54" s="1" t="s">
        <v>86</v>
      </c>
      <c r="BL54" s="1" t="s">
        <v>86</v>
      </c>
      <c r="BM54" s="1" t="s">
        <v>86</v>
      </c>
      <c r="BN54" s="1" t="s">
        <v>636</v>
      </c>
      <c r="BO54" s="1" t="s">
        <v>286</v>
      </c>
      <c r="BP54" s="1" t="s">
        <v>254</v>
      </c>
    </row>
    <row r="55">
      <c r="A55" s="1" t="s">
        <v>637</v>
      </c>
      <c r="B55" s="1" t="s">
        <v>638</v>
      </c>
      <c r="C55" s="1" t="s">
        <v>639</v>
      </c>
      <c r="D55" s="1" t="s">
        <v>92</v>
      </c>
      <c r="J55" s="1">
        <v>15.0</v>
      </c>
      <c r="K55" s="1" t="s">
        <v>123</v>
      </c>
      <c r="L55" s="1" t="s">
        <v>72</v>
      </c>
      <c r="M55" s="1" t="s">
        <v>73</v>
      </c>
      <c r="N55" s="1" t="s">
        <v>74</v>
      </c>
      <c r="Q55" s="1" t="s">
        <v>136</v>
      </c>
      <c r="R55" s="1" t="s">
        <v>286</v>
      </c>
      <c r="X55" s="1" t="s">
        <v>77</v>
      </c>
      <c r="Y55" s="1" t="s">
        <v>138</v>
      </c>
      <c r="Z55" s="1" t="s">
        <v>640</v>
      </c>
      <c r="AA55" s="1" t="s">
        <v>641</v>
      </c>
      <c r="AB55" s="1" t="s">
        <v>642</v>
      </c>
      <c r="AC55" s="1" t="s">
        <v>643</v>
      </c>
      <c r="AE55" s="1" t="s">
        <v>83</v>
      </c>
      <c r="AF55" s="1" t="s">
        <v>84</v>
      </c>
      <c r="AG55" s="1" t="s">
        <v>85</v>
      </c>
      <c r="AJ55" s="1" t="s">
        <v>84</v>
      </c>
      <c r="AK55" s="1" t="s">
        <v>84</v>
      </c>
      <c r="AM55" s="1" t="s">
        <v>85</v>
      </c>
      <c r="AN55" s="1" t="s">
        <v>85</v>
      </c>
      <c r="AS55" s="1" t="s">
        <v>84</v>
      </c>
      <c r="AU55" s="1" t="s">
        <v>85</v>
      </c>
      <c r="AZ55" s="1" t="s">
        <v>84</v>
      </c>
      <c r="BA55" s="1" t="s">
        <v>84</v>
      </c>
      <c r="BD55" s="1" t="s">
        <v>85</v>
      </c>
      <c r="BI55" s="1" t="s">
        <v>84</v>
      </c>
      <c r="BJ55" s="1" t="s">
        <v>85</v>
      </c>
      <c r="BK55" s="1" t="s">
        <v>86</v>
      </c>
      <c r="BN55" s="1" t="s">
        <v>286</v>
      </c>
      <c r="BO55" s="1" t="s">
        <v>286</v>
      </c>
    </row>
    <row r="56">
      <c r="A56" s="1" t="s">
        <v>644</v>
      </c>
      <c r="B56" s="1" t="s">
        <v>645</v>
      </c>
      <c r="C56" s="1" t="s">
        <v>646</v>
      </c>
      <c r="D56" s="1" t="s">
        <v>92</v>
      </c>
      <c r="E56" s="2" t="s">
        <v>647</v>
      </c>
      <c r="J56" s="1">
        <v>47.0</v>
      </c>
      <c r="K56" s="1" t="s">
        <v>648</v>
      </c>
      <c r="L56" s="1" t="s">
        <v>72</v>
      </c>
      <c r="M56" s="1" t="s">
        <v>108</v>
      </c>
      <c r="N56" s="1" t="s">
        <v>109</v>
      </c>
      <c r="O56" s="1">
        <v>-45.52941176</v>
      </c>
      <c r="Q56" s="1" t="s">
        <v>136</v>
      </c>
      <c r="R56" s="1" t="s">
        <v>649</v>
      </c>
      <c r="W56" s="1" t="s">
        <v>261</v>
      </c>
      <c r="X56" s="1" t="s">
        <v>77</v>
      </c>
      <c r="Y56" s="1" t="s">
        <v>138</v>
      </c>
      <c r="Z56" s="1" t="s">
        <v>650</v>
      </c>
      <c r="AA56" s="1" t="s">
        <v>651</v>
      </c>
      <c r="AB56" s="1" t="s">
        <v>652</v>
      </c>
      <c r="AC56" s="1" t="s">
        <v>653</v>
      </c>
      <c r="AE56" s="1" t="s">
        <v>83</v>
      </c>
      <c r="AH56" s="1" t="s">
        <v>84</v>
      </c>
      <c r="AI56" s="1" t="s">
        <v>84</v>
      </c>
      <c r="AJ56" s="1" t="s">
        <v>85</v>
      </c>
      <c r="AS56" s="1" t="s">
        <v>85</v>
      </c>
      <c r="AT56" s="1" t="s">
        <v>85</v>
      </c>
      <c r="AZ56" s="1" t="s">
        <v>85</v>
      </c>
      <c r="BE56" s="1" t="s">
        <v>84</v>
      </c>
      <c r="BI56" s="1" t="s">
        <v>84</v>
      </c>
      <c r="BN56" s="1" t="s">
        <v>654</v>
      </c>
      <c r="BO56" s="1" t="s">
        <v>655</v>
      </c>
      <c r="BP56" s="1" t="s">
        <v>144</v>
      </c>
    </row>
    <row r="57">
      <c r="A57" s="1" t="s">
        <v>656</v>
      </c>
      <c r="B57" s="1" t="s">
        <v>657</v>
      </c>
      <c r="C57" s="1" t="s">
        <v>658</v>
      </c>
      <c r="D57" s="1" t="s">
        <v>70</v>
      </c>
      <c r="E57" s="2" t="s">
        <v>659</v>
      </c>
      <c r="F57" s="1" t="s">
        <v>284</v>
      </c>
      <c r="J57" s="1">
        <v>11.0</v>
      </c>
      <c r="K57" s="1" t="s">
        <v>171</v>
      </c>
      <c r="L57" s="1" t="s">
        <v>72</v>
      </c>
      <c r="N57" s="1" t="s">
        <v>660</v>
      </c>
      <c r="Q57" s="1" t="s">
        <v>136</v>
      </c>
      <c r="R57" s="1" t="s">
        <v>305</v>
      </c>
      <c r="X57" s="1" t="s">
        <v>77</v>
      </c>
      <c r="Y57" s="1" t="s">
        <v>138</v>
      </c>
      <c r="Z57" s="1" t="s">
        <v>288</v>
      </c>
      <c r="AA57" s="1" t="s">
        <v>661</v>
      </c>
      <c r="AB57" s="1" t="s">
        <v>662</v>
      </c>
      <c r="AC57" s="1" t="s">
        <v>663</v>
      </c>
      <c r="AE57" s="1" t="s">
        <v>83</v>
      </c>
      <c r="AF57" s="1" t="s">
        <v>85</v>
      </c>
      <c r="AG57" s="1" t="s">
        <v>85</v>
      </c>
      <c r="AH57" s="1" t="s">
        <v>85</v>
      </c>
      <c r="AI57" s="1" t="s">
        <v>85</v>
      </c>
      <c r="AJ57" s="1" t="s">
        <v>85</v>
      </c>
      <c r="AK57" s="1" t="s">
        <v>84</v>
      </c>
      <c r="AL57" s="1" t="s">
        <v>85</v>
      </c>
      <c r="AM57" s="1" t="s">
        <v>85</v>
      </c>
      <c r="AN57" s="1" t="s">
        <v>85</v>
      </c>
      <c r="AO57" s="1" t="s">
        <v>85</v>
      </c>
      <c r="BD57" s="1" t="s">
        <v>84</v>
      </c>
      <c r="BE57" s="1" t="s">
        <v>84</v>
      </c>
      <c r="BF57" s="1" t="s">
        <v>85</v>
      </c>
      <c r="BK57" s="1" t="s">
        <v>86</v>
      </c>
      <c r="BL57" s="1" t="s">
        <v>86</v>
      </c>
      <c r="BM57" s="1" t="s">
        <v>86</v>
      </c>
      <c r="BN57" s="1" t="s">
        <v>310</v>
      </c>
      <c r="BO57" s="1" t="s">
        <v>664</v>
      </c>
      <c r="BP57" s="1" t="s">
        <v>292</v>
      </c>
    </row>
    <row r="58">
      <c r="A58" s="1" t="s">
        <v>665</v>
      </c>
      <c r="B58" s="1" t="s">
        <v>58</v>
      </c>
      <c r="C58" s="1" t="s">
        <v>666</v>
      </c>
      <c r="D58" s="1" t="s">
        <v>92</v>
      </c>
      <c r="E58" s="2" t="s">
        <v>270</v>
      </c>
      <c r="J58" s="1">
        <v>25.0</v>
      </c>
      <c r="K58" s="1" t="s">
        <v>667</v>
      </c>
      <c r="L58" s="1" t="s">
        <v>72</v>
      </c>
      <c r="M58" s="1" t="s">
        <v>668</v>
      </c>
      <c r="N58" s="1" t="s">
        <v>669</v>
      </c>
      <c r="O58" s="1">
        <v>30.75641779</v>
      </c>
      <c r="Q58" s="1" t="s">
        <v>136</v>
      </c>
      <c r="R58" s="1" t="s">
        <v>670</v>
      </c>
      <c r="W58" s="1" t="s">
        <v>274</v>
      </c>
      <c r="X58" s="1" t="s">
        <v>77</v>
      </c>
      <c r="Y58" s="1" t="s">
        <v>138</v>
      </c>
      <c r="Z58" s="1" t="s">
        <v>58</v>
      </c>
      <c r="AA58" s="1" t="s">
        <v>671</v>
      </c>
      <c r="AB58" s="1" t="s">
        <v>672</v>
      </c>
      <c r="AC58" s="1" t="s">
        <v>673</v>
      </c>
      <c r="AD58" s="1" t="s">
        <v>674</v>
      </c>
      <c r="AE58" s="1" t="s">
        <v>83</v>
      </c>
      <c r="AF58" s="1" t="s">
        <v>129</v>
      </c>
      <c r="AG58" s="1" t="s">
        <v>129</v>
      </c>
      <c r="AH58" s="1" t="s">
        <v>84</v>
      </c>
      <c r="AI58" s="1" t="s">
        <v>85</v>
      </c>
      <c r="AJ58" s="1" t="s">
        <v>85</v>
      </c>
      <c r="AS58" s="1" t="s">
        <v>85</v>
      </c>
      <c r="AZ58" s="1" t="s">
        <v>85</v>
      </c>
      <c r="BA58" s="1" t="s">
        <v>84</v>
      </c>
      <c r="BD58" s="1" t="s">
        <v>129</v>
      </c>
      <c r="BE58" s="1" t="s">
        <v>84</v>
      </c>
      <c r="BH58" s="1" t="s">
        <v>129</v>
      </c>
      <c r="BI58" s="1" t="s">
        <v>129</v>
      </c>
      <c r="BJ58" s="1" t="s">
        <v>85</v>
      </c>
      <c r="BK58" s="1" t="s">
        <v>86</v>
      </c>
      <c r="BM58" s="1" t="s">
        <v>86</v>
      </c>
      <c r="BN58" s="1" t="s">
        <v>675</v>
      </c>
      <c r="BO58" s="1" t="s">
        <v>670</v>
      </c>
      <c r="BP58" s="1" t="s">
        <v>144</v>
      </c>
    </row>
    <row r="59">
      <c r="A59" s="1" t="s">
        <v>676</v>
      </c>
      <c r="B59" s="1" t="s">
        <v>677</v>
      </c>
      <c r="C59" s="1" t="s">
        <v>678</v>
      </c>
      <c r="D59" s="1" t="s">
        <v>92</v>
      </c>
      <c r="J59" s="1">
        <v>15.0</v>
      </c>
      <c r="K59" s="1" t="s">
        <v>679</v>
      </c>
      <c r="L59" s="1" t="s">
        <v>72</v>
      </c>
      <c r="N59" s="1" t="s">
        <v>680</v>
      </c>
      <c r="Q59" s="1" t="s">
        <v>110</v>
      </c>
      <c r="R59" s="1" t="s">
        <v>681</v>
      </c>
      <c r="X59" s="1" t="s">
        <v>77</v>
      </c>
      <c r="Y59" s="1" t="s">
        <v>138</v>
      </c>
      <c r="Z59" s="1" t="s">
        <v>275</v>
      </c>
      <c r="AA59" s="1" t="s">
        <v>682</v>
      </c>
      <c r="AB59" s="1" t="s">
        <v>683</v>
      </c>
      <c r="AC59" s="1" t="s">
        <v>684</v>
      </c>
      <c r="AE59" s="1" t="s">
        <v>83</v>
      </c>
      <c r="AF59" s="1" t="s">
        <v>85</v>
      </c>
      <c r="AG59" s="1" t="s">
        <v>84</v>
      </c>
      <c r="AH59" s="1" t="s">
        <v>85</v>
      </c>
      <c r="AI59" s="1" t="s">
        <v>84</v>
      </c>
      <c r="AK59" s="1" t="s">
        <v>85</v>
      </c>
      <c r="AL59" s="1" t="s">
        <v>85</v>
      </c>
      <c r="AM59" s="1" t="s">
        <v>84</v>
      </c>
      <c r="AN59" s="1" t="s">
        <v>84</v>
      </c>
      <c r="AS59" s="1" t="s">
        <v>84</v>
      </c>
      <c r="AT59" s="1" t="s">
        <v>84</v>
      </c>
      <c r="AU59" s="1" t="s">
        <v>85</v>
      </c>
      <c r="AX59" s="1" t="s">
        <v>85</v>
      </c>
      <c r="BA59" s="1" t="s">
        <v>84</v>
      </c>
      <c r="BN59" s="1" t="s">
        <v>310</v>
      </c>
      <c r="BO59" s="1" t="s">
        <v>685</v>
      </c>
    </row>
    <row r="60">
      <c r="A60" s="1" t="s">
        <v>686</v>
      </c>
      <c r="B60" s="1" t="s">
        <v>687</v>
      </c>
      <c r="C60" s="1" t="s">
        <v>688</v>
      </c>
      <c r="D60" s="1" t="s">
        <v>92</v>
      </c>
      <c r="J60" s="1">
        <v>15.0</v>
      </c>
      <c r="K60" s="1" t="s">
        <v>71</v>
      </c>
      <c r="L60" s="1" t="s">
        <v>72</v>
      </c>
      <c r="M60" s="1" t="s">
        <v>108</v>
      </c>
      <c r="N60" s="1" t="s">
        <v>109</v>
      </c>
      <c r="Q60" s="1" t="s">
        <v>136</v>
      </c>
      <c r="R60" s="1" t="s">
        <v>286</v>
      </c>
      <c r="X60" s="1" t="s">
        <v>77</v>
      </c>
      <c r="Y60" s="1" t="s">
        <v>138</v>
      </c>
      <c r="Z60" s="1" t="s">
        <v>384</v>
      </c>
      <c r="AA60" s="1" t="s">
        <v>689</v>
      </c>
      <c r="AB60" s="1" t="s">
        <v>690</v>
      </c>
      <c r="AC60" s="1" t="s">
        <v>691</v>
      </c>
      <c r="AE60" s="1" t="s">
        <v>83</v>
      </c>
      <c r="AH60" s="1" t="s">
        <v>84</v>
      </c>
      <c r="AI60" s="1" t="s">
        <v>84</v>
      </c>
      <c r="AJ60" s="1" t="s">
        <v>84</v>
      </c>
      <c r="AT60" s="1" t="s">
        <v>84</v>
      </c>
      <c r="BE60" s="1" t="s">
        <v>85</v>
      </c>
      <c r="BI60" s="1" t="s">
        <v>84</v>
      </c>
      <c r="BN60" s="1" t="s">
        <v>286</v>
      </c>
      <c r="BO60" s="1" t="s">
        <v>286</v>
      </c>
    </row>
    <row r="61">
      <c r="A61" s="1" t="s">
        <v>692</v>
      </c>
      <c r="B61" s="1" t="s">
        <v>693</v>
      </c>
      <c r="C61" s="1" t="s">
        <v>694</v>
      </c>
      <c r="D61" s="1" t="s">
        <v>92</v>
      </c>
      <c r="E61" s="2" t="s">
        <v>392</v>
      </c>
      <c r="J61" s="1">
        <v>48.0</v>
      </c>
      <c r="K61" s="1" t="s">
        <v>272</v>
      </c>
      <c r="L61" s="1" t="s">
        <v>72</v>
      </c>
      <c r="M61" s="1" t="s">
        <v>73</v>
      </c>
      <c r="N61" s="1" t="s">
        <v>38</v>
      </c>
      <c r="O61" s="1">
        <v>-5.945945946</v>
      </c>
      <c r="Q61" s="1" t="s">
        <v>260</v>
      </c>
      <c r="R61" s="1" t="s">
        <v>137</v>
      </c>
      <c r="W61" s="1" t="s">
        <v>205</v>
      </c>
      <c r="X61" s="1" t="s">
        <v>77</v>
      </c>
      <c r="Y61" s="1" t="s">
        <v>138</v>
      </c>
      <c r="Z61" s="1" t="s">
        <v>693</v>
      </c>
      <c r="AA61" s="1" t="s">
        <v>695</v>
      </c>
      <c r="AB61" s="1" t="s">
        <v>696</v>
      </c>
      <c r="AC61" s="1" t="s">
        <v>697</v>
      </c>
      <c r="AE61" s="1" t="s">
        <v>83</v>
      </c>
      <c r="AF61" s="1" t="s">
        <v>85</v>
      </c>
      <c r="AK61" s="1" t="s">
        <v>84</v>
      </c>
      <c r="AM61" s="1" t="s">
        <v>84</v>
      </c>
      <c r="AN61" s="1" t="s">
        <v>85</v>
      </c>
      <c r="AS61" s="1" t="s">
        <v>84</v>
      </c>
      <c r="BA61" s="1" t="s">
        <v>84</v>
      </c>
      <c r="BI61" s="1" t="s">
        <v>84</v>
      </c>
      <c r="BJ61" s="1" t="s">
        <v>85</v>
      </c>
      <c r="BK61" s="1" t="s">
        <v>86</v>
      </c>
      <c r="BN61" s="1" t="s">
        <v>137</v>
      </c>
      <c r="BO61" s="1" t="s">
        <v>137</v>
      </c>
    </row>
    <row r="62">
      <c r="A62" s="1" t="s">
        <v>698</v>
      </c>
      <c r="B62" s="1" t="s">
        <v>699</v>
      </c>
      <c r="C62" s="1" t="s">
        <v>700</v>
      </c>
      <c r="D62" s="1" t="s">
        <v>92</v>
      </c>
      <c r="E62" s="2" t="s">
        <v>701</v>
      </c>
      <c r="J62" s="1">
        <v>30.0</v>
      </c>
      <c r="K62" s="1" t="s">
        <v>702</v>
      </c>
      <c r="L62" s="1" t="s">
        <v>72</v>
      </c>
      <c r="M62" s="1" t="s">
        <v>73</v>
      </c>
      <c r="N62" s="1" t="s">
        <v>40</v>
      </c>
      <c r="O62" s="1">
        <v>-10.41009464</v>
      </c>
      <c r="Q62" s="1" t="s">
        <v>136</v>
      </c>
      <c r="R62" s="1" t="s">
        <v>703</v>
      </c>
      <c r="W62" s="1" t="s">
        <v>704</v>
      </c>
      <c r="X62" s="1" t="s">
        <v>77</v>
      </c>
      <c r="Y62" s="1" t="s">
        <v>78</v>
      </c>
      <c r="Z62" s="1" t="s">
        <v>705</v>
      </c>
      <c r="AA62" s="1" t="s">
        <v>706</v>
      </c>
      <c r="AB62" s="1" t="s">
        <v>707</v>
      </c>
      <c r="AC62" s="1" t="s">
        <v>708</v>
      </c>
      <c r="AE62" s="1" t="s">
        <v>83</v>
      </c>
      <c r="AG62" s="1" t="s">
        <v>84</v>
      </c>
      <c r="AO62" s="1" t="s">
        <v>84</v>
      </c>
      <c r="AS62" s="1" t="s">
        <v>85</v>
      </c>
      <c r="AV62" s="1" t="s">
        <v>84</v>
      </c>
      <c r="BD62" s="1" t="s">
        <v>85</v>
      </c>
      <c r="BI62" s="1" t="s">
        <v>84</v>
      </c>
      <c r="BN62" s="1" t="s">
        <v>709</v>
      </c>
      <c r="BO62" s="1" t="s">
        <v>710</v>
      </c>
      <c r="BP62" s="1" t="s">
        <v>292</v>
      </c>
    </row>
    <row r="63">
      <c r="A63" s="1" t="s">
        <v>711</v>
      </c>
      <c r="B63" s="1" t="s">
        <v>712</v>
      </c>
      <c r="C63" s="1" t="s">
        <v>713</v>
      </c>
      <c r="D63" s="1" t="s">
        <v>92</v>
      </c>
      <c r="E63" s="2" t="s">
        <v>714</v>
      </c>
      <c r="J63" s="1">
        <v>33.0</v>
      </c>
      <c r="K63" s="1" t="s">
        <v>135</v>
      </c>
      <c r="L63" s="1" t="s">
        <v>72</v>
      </c>
      <c r="M63" s="1" t="s">
        <v>73</v>
      </c>
      <c r="N63" s="1" t="s">
        <v>38</v>
      </c>
      <c r="O63" s="1">
        <v>36.25336927</v>
      </c>
      <c r="Q63" s="1" t="s">
        <v>260</v>
      </c>
      <c r="R63" s="1" t="s">
        <v>137</v>
      </c>
      <c r="X63" s="1" t="s">
        <v>77</v>
      </c>
      <c r="Y63" s="1" t="s">
        <v>138</v>
      </c>
      <c r="Z63" s="1" t="s">
        <v>715</v>
      </c>
      <c r="AA63" s="1" t="s">
        <v>716</v>
      </c>
      <c r="AB63" s="1" t="s">
        <v>717</v>
      </c>
      <c r="AC63" s="1" t="s">
        <v>718</v>
      </c>
      <c r="AE63" s="1" t="s">
        <v>83</v>
      </c>
      <c r="AF63" s="1" t="s">
        <v>85</v>
      </c>
      <c r="AJ63" s="1" t="s">
        <v>85</v>
      </c>
      <c r="AM63" s="1" t="s">
        <v>84</v>
      </c>
      <c r="AN63" s="1" t="s">
        <v>85</v>
      </c>
      <c r="AS63" s="1" t="s">
        <v>84</v>
      </c>
      <c r="AZ63" s="1" t="s">
        <v>85</v>
      </c>
      <c r="BA63" s="1" t="s">
        <v>84</v>
      </c>
      <c r="BI63" s="1" t="s">
        <v>84</v>
      </c>
      <c r="BJ63" s="1" t="s">
        <v>85</v>
      </c>
      <c r="BK63" s="1" t="s">
        <v>86</v>
      </c>
      <c r="BN63" s="1" t="s">
        <v>719</v>
      </c>
      <c r="BO63" s="1" t="s">
        <v>137</v>
      </c>
    </row>
    <row r="64">
      <c r="A64" s="1" t="s">
        <v>720</v>
      </c>
      <c r="B64" s="1" t="s">
        <v>721</v>
      </c>
      <c r="C64" s="1" t="s">
        <v>722</v>
      </c>
      <c r="D64" s="1" t="s">
        <v>92</v>
      </c>
      <c r="E64" s="2" t="s">
        <v>425</v>
      </c>
      <c r="J64" s="1">
        <v>46.0</v>
      </c>
      <c r="K64" s="1" t="s">
        <v>190</v>
      </c>
      <c r="L64" s="1" t="s">
        <v>72</v>
      </c>
      <c r="M64" s="1" t="s">
        <v>73</v>
      </c>
      <c r="N64" s="1" t="s">
        <v>723</v>
      </c>
      <c r="O64" s="1">
        <v>-9.133489461</v>
      </c>
      <c r="Q64" s="1" t="s">
        <v>75</v>
      </c>
      <c r="R64" s="1" t="s">
        <v>724</v>
      </c>
      <c r="X64" s="1" t="s">
        <v>77</v>
      </c>
      <c r="Y64" s="1" t="s">
        <v>78</v>
      </c>
      <c r="Z64" s="1" t="s">
        <v>725</v>
      </c>
      <c r="AA64" s="1" t="s">
        <v>726</v>
      </c>
      <c r="AB64" s="1" t="s">
        <v>727</v>
      </c>
      <c r="AC64" s="1" t="s">
        <v>728</v>
      </c>
      <c r="AD64" s="1" t="s">
        <v>729</v>
      </c>
      <c r="AE64" s="1" t="s">
        <v>83</v>
      </c>
      <c r="AF64" s="1" t="s">
        <v>129</v>
      </c>
      <c r="AG64" s="1" t="s">
        <v>85</v>
      </c>
      <c r="AM64" s="1" t="s">
        <v>85</v>
      </c>
      <c r="AN64" s="1" t="s">
        <v>84</v>
      </c>
      <c r="AP64" s="1" t="s">
        <v>84</v>
      </c>
      <c r="AS64" s="1" t="s">
        <v>85</v>
      </c>
      <c r="AZ64" s="1" t="s">
        <v>85</v>
      </c>
      <c r="BA64" s="1" t="s">
        <v>84</v>
      </c>
      <c r="BD64" s="1" t="s">
        <v>85</v>
      </c>
      <c r="BJ64" s="1" t="s">
        <v>85</v>
      </c>
      <c r="BK64" s="1" t="s">
        <v>86</v>
      </c>
      <c r="BN64" s="1" t="s">
        <v>730</v>
      </c>
      <c r="BO64" s="1" t="s">
        <v>731</v>
      </c>
    </row>
    <row r="65">
      <c r="A65" s="1" t="s">
        <v>732</v>
      </c>
      <c r="B65" s="1" t="s">
        <v>733</v>
      </c>
      <c r="C65" s="1" t="s">
        <v>734</v>
      </c>
      <c r="D65" s="1" t="s">
        <v>92</v>
      </c>
      <c r="E65" s="2" t="s">
        <v>432</v>
      </c>
      <c r="J65" s="1">
        <v>30.0</v>
      </c>
      <c r="K65" s="1" t="s">
        <v>171</v>
      </c>
      <c r="L65" s="1" t="s">
        <v>72</v>
      </c>
      <c r="M65" s="1" t="s">
        <v>73</v>
      </c>
      <c r="N65" s="1" t="s">
        <v>37</v>
      </c>
      <c r="O65" s="1">
        <v>15.24926686</v>
      </c>
      <c r="Q65" s="1" t="s">
        <v>75</v>
      </c>
      <c r="R65" s="1" t="s">
        <v>735</v>
      </c>
      <c r="X65" s="1" t="s">
        <v>77</v>
      </c>
      <c r="Y65" s="1" t="s">
        <v>78</v>
      </c>
      <c r="Z65" s="1" t="s">
        <v>434</v>
      </c>
      <c r="AA65" s="1" t="s">
        <v>736</v>
      </c>
      <c r="AB65" s="1" t="s">
        <v>737</v>
      </c>
      <c r="AC65" s="1" t="s">
        <v>738</v>
      </c>
      <c r="AE65" s="1" t="s">
        <v>83</v>
      </c>
      <c r="AF65" s="1" t="s">
        <v>84</v>
      </c>
      <c r="AG65" s="1" t="s">
        <v>84</v>
      </c>
      <c r="AL65" s="1" t="s">
        <v>129</v>
      </c>
      <c r="AN65" s="1" t="s">
        <v>84</v>
      </c>
      <c r="AS65" s="1" t="s">
        <v>85</v>
      </c>
      <c r="AY65" s="1" t="s">
        <v>84</v>
      </c>
      <c r="BA65" s="1" t="s">
        <v>84</v>
      </c>
      <c r="BD65" s="1" t="s">
        <v>85</v>
      </c>
      <c r="BJ65" s="1" t="s">
        <v>85</v>
      </c>
      <c r="BK65" s="1" t="s">
        <v>86</v>
      </c>
      <c r="BN65" s="1" t="s">
        <v>739</v>
      </c>
      <c r="BO65" s="1" t="s">
        <v>740</v>
      </c>
    </row>
    <row r="66">
      <c r="A66" s="1" t="s">
        <v>741</v>
      </c>
      <c r="B66" s="1" t="s">
        <v>742</v>
      </c>
      <c r="C66" s="1" t="s">
        <v>743</v>
      </c>
      <c r="D66" s="1" t="s">
        <v>92</v>
      </c>
      <c r="E66" s="2" t="s">
        <v>744</v>
      </c>
      <c r="J66" s="1">
        <v>36.0</v>
      </c>
      <c r="K66" s="1" t="s">
        <v>190</v>
      </c>
      <c r="L66" s="1" t="s">
        <v>72</v>
      </c>
      <c r="M66" s="1" t="s">
        <v>73</v>
      </c>
      <c r="N66" s="1" t="s">
        <v>723</v>
      </c>
      <c r="O66" s="1">
        <v>5.741626794</v>
      </c>
      <c r="Q66" s="1" t="s">
        <v>75</v>
      </c>
      <c r="R66" s="1" t="s">
        <v>745</v>
      </c>
      <c r="W66" s="1" t="s">
        <v>287</v>
      </c>
      <c r="X66" s="1" t="s">
        <v>77</v>
      </c>
      <c r="Y66" s="1" t="s">
        <v>78</v>
      </c>
      <c r="Z66" s="1" t="s">
        <v>746</v>
      </c>
      <c r="AA66" s="1" t="s">
        <v>747</v>
      </c>
      <c r="AB66" s="1" t="s">
        <v>748</v>
      </c>
      <c r="AC66" s="1" t="s">
        <v>749</v>
      </c>
      <c r="AE66" s="1" t="s">
        <v>83</v>
      </c>
      <c r="AF66" s="1" t="s">
        <v>84</v>
      </c>
      <c r="AG66" s="1" t="s">
        <v>85</v>
      </c>
      <c r="AM66" s="1" t="s">
        <v>85</v>
      </c>
      <c r="AN66" s="1" t="s">
        <v>84</v>
      </c>
      <c r="AP66" s="1" t="s">
        <v>84</v>
      </c>
      <c r="AS66" s="1" t="s">
        <v>85</v>
      </c>
      <c r="AY66" s="1" t="s">
        <v>84</v>
      </c>
      <c r="AZ66" s="1" t="s">
        <v>85</v>
      </c>
      <c r="BA66" s="1" t="s">
        <v>84</v>
      </c>
      <c r="BD66" s="1" t="s">
        <v>85</v>
      </c>
      <c r="BJ66" s="1" t="s">
        <v>85</v>
      </c>
      <c r="BK66" s="1" t="s">
        <v>86</v>
      </c>
      <c r="BN66" s="1" t="s">
        <v>750</v>
      </c>
      <c r="BO66" s="1" t="s">
        <v>751</v>
      </c>
    </row>
    <row r="67">
      <c r="A67" s="1" t="s">
        <v>752</v>
      </c>
      <c r="B67" s="1" t="s">
        <v>753</v>
      </c>
      <c r="C67" s="1" t="s">
        <v>754</v>
      </c>
      <c r="D67" s="1" t="s">
        <v>92</v>
      </c>
      <c r="E67" s="2" t="s">
        <v>755</v>
      </c>
      <c r="J67" s="1">
        <v>28.0</v>
      </c>
      <c r="K67" s="1" t="s">
        <v>190</v>
      </c>
      <c r="L67" s="1" t="s">
        <v>72</v>
      </c>
      <c r="M67" s="1" t="s">
        <v>73</v>
      </c>
      <c r="N67" s="1" t="s">
        <v>40</v>
      </c>
      <c r="O67" s="1">
        <v>-14.55223881</v>
      </c>
      <c r="Q67" s="1" t="s">
        <v>75</v>
      </c>
      <c r="R67" s="1" t="s">
        <v>756</v>
      </c>
      <c r="W67" s="1" t="s">
        <v>443</v>
      </c>
      <c r="X67" s="1" t="s">
        <v>77</v>
      </c>
      <c r="Y67" s="1" t="s">
        <v>78</v>
      </c>
      <c r="Z67" s="1" t="s">
        <v>757</v>
      </c>
      <c r="AA67" s="1" t="s">
        <v>758</v>
      </c>
      <c r="AB67" s="1" t="s">
        <v>759</v>
      </c>
      <c r="AC67" s="1" t="s">
        <v>760</v>
      </c>
      <c r="AE67" s="1" t="s">
        <v>83</v>
      </c>
      <c r="AG67" s="1" t="s">
        <v>84</v>
      </c>
      <c r="AO67" s="1" t="s">
        <v>84</v>
      </c>
      <c r="AV67" s="1" t="s">
        <v>84</v>
      </c>
      <c r="BD67" s="1" t="s">
        <v>84</v>
      </c>
      <c r="BK67" s="1" t="s">
        <v>86</v>
      </c>
      <c r="BN67" s="1" t="s">
        <v>137</v>
      </c>
      <c r="BO67" s="1" t="s">
        <v>461</v>
      </c>
    </row>
    <row r="68">
      <c r="A68" s="1" t="s">
        <v>761</v>
      </c>
      <c r="B68" s="1" t="s">
        <v>762</v>
      </c>
      <c r="C68" s="1" t="s">
        <v>763</v>
      </c>
      <c r="D68" s="1" t="s">
        <v>92</v>
      </c>
      <c r="E68" s="2" t="s">
        <v>465</v>
      </c>
      <c r="J68" s="1">
        <v>45.0</v>
      </c>
      <c r="K68" s="1" t="s">
        <v>71</v>
      </c>
      <c r="L68" s="1" t="s">
        <v>72</v>
      </c>
      <c r="M68" s="1" t="s">
        <v>108</v>
      </c>
      <c r="N68" s="1" t="s">
        <v>764</v>
      </c>
      <c r="O68" s="1">
        <v>-12.90322581</v>
      </c>
      <c r="Q68" s="1" t="s">
        <v>149</v>
      </c>
      <c r="R68" s="1" t="s">
        <v>765</v>
      </c>
      <c r="W68" s="1" t="s">
        <v>466</v>
      </c>
      <c r="X68" s="1" t="s">
        <v>77</v>
      </c>
      <c r="Y68" s="1" t="s">
        <v>138</v>
      </c>
      <c r="Z68" s="1" t="s">
        <v>467</v>
      </c>
      <c r="AA68" s="1" t="s">
        <v>766</v>
      </c>
      <c r="AB68" s="1" t="s">
        <v>767</v>
      </c>
      <c r="AC68" s="1" t="s">
        <v>768</v>
      </c>
      <c r="AE68" s="1" t="s">
        <v>83</v>
      </c>
      <c r="AH68" s="1" t="s">
        <v>85</v>
      </c>
      <c r="AS68" s="1" t="s">
        <v>85</v>
      </c>
      <c r="AZ68" s="1" t="s">
        <v>84</v>
      </c>
      <c r="BE68" s="1" t="s">
        <v>85</v>
      </c>
      <c r="BI68" s="1" t="s">
        <v>85</v>
      </c>
      <c r="BN68" s="1" t="s">
        <v>769</v>
      </c>
      <c r="BO68" s="1" t="s">
        <v>770</v>
      </c>
    </row>
    <row r="69">
      <c r="A69" s="1" t="s">
        <v>771</v>
      </c>
      <c r="B69" s="1" t="s">
        <v>772</v>
      </c>
      <c r="C69" s="1" t="s">
        <v>773</v>
      </c>
      <c r="D69" s="1" t="s">
        <v>92</v>
      </c>
      <c r="E69" s="2" t="s">
        <v>774</v>
      </c>
      <c r="J69" s="1">
        <v>31.0</v>
      </c>
      <c r="K69" s="1" t="s">
        <v>775</v>
      </c>
      <c r="L69" s="1" t="s">
        <v>72</v>
      </c>
      <c r="M69" s="1" t="s">
        <v>108</v>
      </c>
      <c r="N69" s="1" t="s">
        <v>109</v>
      </c>
      <c r="O69" s="1">
        <v>-35.54216867</v>
      </c>
      <c r="Q69" s="1" t="s">
        <v>75</v>
      </c>
      <c r="R69" s="1" t="s">
        <v>776</v>
      </c>
      <c r="X69" s="1" t="s">
        <v>77</v>
      </c>
      <c r="Y69" s="1" t="s">
        <v>78</v>
      </c>
      <c r="Z69" s="1" t="s">
        <v>502</v>
      </c>
      <c r="AA69" s="1" t="s">
        <v>777</v>
      </c>
      <c r="AB69" s="1" t="s">
        <v>778</v>
      </c>
      <c r="AC69" s="1" t="s">
        <v>779</v>
      </c>
      <c r="AD69" s="1" t="s">
        <v>780</v>
      </c>
      <c r="AE69" s="1" t="s">
        <v>83</v>
      </c>
      <c r="AH69" s="1" t="s">
        <v>129</v>
      </c>
      <c r="AI69" s="1" t="s">
        <v>84</v>
      </c>
      <c r="AJ69" s="1" t="s">
        <v>84</v>
      </c>
      <c r="AM69" s="1" t="s">
        <v>85</v>
      </c>
      <c r="AS69" s="1" t="s">
        <v>85</v>
      </c>
      <c r="AT69" s="1" t="s">
        <v>85</v>
      </c>
      <c r="AZ69" s="1" t="s">
        <v>85</v>
      </c>
      <c r="BA69" s="1" t="s">
        <v>85</v>
      </c>
      <c r="BE69" s="1" t="s">
        <v>84</v>
      </c>
      <c r="BK69" s="1" t="s">
        <v>86</v>
      </c>
      <c r="BN69" s="1" t="s">
        <v>781</v>
      </c>
      <c r="BO69" s="1" t="s">
        <v>782</v>
      </c>
    </row>
    <row r="70">
      <c r="A70" s="1" t="s">
        <v>783</v>
      </c>
      <c r="B70" s="1" t="s">
        <v>784</v>
      </c>
      <c r="C70" s="1" t="s">
        <v>785</v>
      </c>
      <c r="D70" s="1" t="s">
        <v>92</v>
      </c>
      <c r="E70" s="2" t="s">
        <v>786</v>
      </c>
      <c r="J70" s="1">
        <v>54.0</v>
      </c>
      <c r="K70" s="1" t="s">
        <v>272</v>
      </c>
      <c r="L70" s="1" t="s">
        <v>72</v>
      </c>
      <c r="M70" s="1" t="s">
        <v>73</v>
      </c>
      <c r="N70" s="1" t="s">
        <v>36</v>
      </c>
      <c r="O70" s="1">
        <v>-18.24175824</v>
      </c>
      <c r="Q70" s="1" t="s">
        <v>260</v>
      </c>
      <c r="R70" s="1" t="s">
        <v>137</v>
      </c>
      <c r="W70" s="1" t="s">
        <v>787</v>
      </c>
      <c r="Y70" s="1" t="s">
        <v>138</v>
      </c>
      <c r="Z70" s="1" t="s">
        <v>788</v>
      </c>
      <c r="AA70" s="1" t="s">
        <v>789</v>
      </c>
      <c r="AB70" s="1" t="s">
        <v>790</v>
      </c>
      <c r="AC70" s="1" t="s">
        <v>791</v>
      </c>
      <c r="AE70" s="1" t="s">
        <v>83</v>
      </c>
      <c r="AK70" s="1" t="s">
        <v>84</v>
      </c>
      <c r="AZ70" s="1" t="s">
        <v>84</v>
      </c>
      <c r="BA70" s="1" t="s">
        <v>84</v>
      </c>
      <c r="BI70" s="1" t="s">
        <v>84</v>
      </c>
      <c r="BJ70" s="1" t="s">
        <v>84</v>
      </c>
      <c r="BN70" s="1" t="s">
        <v>143</v>
      </c>
      <c r="BO70" s="1" t="s">
        <v>137</v>
      </c>
    </row>
    <row r="71">
      <c r="A71" s="1" t="s">
        <v>792</v>
      </c>
      <c r="B71" s="1" t="s">
        <v>793</v>
      </c>
      <c r="C71" s="1" t="s">
        <v>794</v>
      </c>
      <c r="D71" s="1" t="s">
        <v>92</v>
      </c>
      <c r="E71" s="2" t="s">
        <v>521</v>
      </c>
      <c r="J71" s="1">
        <v>53.0</v>
      </c>
      <c r="K71" s="1" t="s">
        <v>795</v>
      </c>
      <c r="L71" s="1" t="s">
        <v>72</v>
      </c>
      <c r="M71" s="1" t="s">
        <v>73</v>
      </c>
      <c r="N71" s="1" t="s">
        <v>37</v>
      </c>
      <c r="O71" s="1">
        <v>-23.91304348</v>
      </c>
      <c r="Q71" s="1" t="s">
        <v>149</v>
      </c>
      <c r="R71" s="1" t="s">
        <v>796</v>
      </c>
      <c r="W71" s="1" t="s">
        <v>443</v>
      </c>
      <c r="X71" s="1" t="s">
        <v>77</v>
      </c>
      <c r="Y71" s="1" t="s">
        <v>78</v>
      </c>
      <c r="Z71" s="1" t="s">
        <v>797</v>
      </c>
      <c r="AA71" s="1" t="s">
        <v>798</v>
      </c>
      <c r="AB71" s="1" t="s">
        <v>799</v>
      </c>
      <c r="AC71" s="1" t="s">
        <v>800</v>
      </c>
      <c r="AE71" s="1" t="s">
        <v>83</v>
      </c>
      <c r="AF71" s="1" t="s">
        <v>84</v>
      </c>
      <c r="AL71" s="1" t="s">
        <v>85</v>
      </c>
      <c r="AN71" s="1" t="s">
        <v>85</v>
      </c>
      <c r="BD71" s="1" t="s">
        <v>85</v>
      </c>
      <c r="BK71" s="1" t="s">
        <v>86</v>
      </c>
      <c r="BN71" s="1" t="s">
        <v>801</v>
      </c>
      <c r="BO71" s="1" t="s">
        <v>802</v>
      </c>
    </row>
    <row r="72">
      <c r="A72" s="1" t="s">
        <v>803</v>
      </c>
      <c r="B72" s="1" t="s">
        <v>804</v>
      </c>
      <c r="C72" s="1" t="s">
        <v>805</v>
      </c>
      <c r="D72" s="1" t="s">
        <v>70</v>
      </c>
      <c r="E72" s="2" t="s">
        <v>530</v>
      </c>
      <c r="F72" s="1" t="s">
        <v>531</v>
      </c>
      <c r="J72" s="1">
        <v>29.0</v>
      </c>
      <c r="K72" s="1" t="s">
        <v>94</v>
      </c>
      <c r="L72" s="1" t="s">
        <v>72</v>
      </c>
      <c r="M72" s="1" t="s">
        <v>73</v>
      </c>
      <c r="N72" s="1" t="s">
        <v>36</v>
      </c>
      <c r="O72" s="1">
        <v>5.339805825</v>
      </c>
      <c r="Q72" s="1" t="s">
        <v>149</v>
      </c>
      <c r="R72" s="1" t="s">
        <v>806</v>
      </c>
      <c r="X72" s="1" t="s">
        <v>77</v>
      </c>
      <c r="Y72" s="1" t="s">
        <v>138</v>
      </c>
      <c r="Z72" s="1" t="s">
        <v>807</v>
      </c>
      <c r="AA72" s="1" t="s">
        <v>808</v>
      </c>
      <c r="AB72" s="1" t="s">
        <v>809</v>
      </c>
      <c r="AC72" s="1" t="s">
        <v>810</v>
      </c>
      <c r="AE72" s="1" t="s">
        <v>83</v>
      </c>
      <c r="AF72" s="1" t="s">
        <v>85</v>
      </c>
      <c r="AG72" s="1" t="s">
        <v>85</v>
      </c>
      <c r="AK72" s="1" t="s">
        <v>85</v>
      </c>
      <c r="BD72" s="1" t="s">
        <v>85</v>
      </c>
      <c r="BK72" s="1" t="s">
        <v>86</v>
      </c>
      <c r="BL72" s="1" t="s">
        <v>86</v>
      </c>
      <c r="BM72" s="1" t="s">
        <v>86</v>
      </c>
      <c r="BN72" s="1" t="s">
        <v>811</v>
      </c>
      <c r="BO72" s="1" t="s">
        <v>517</v>
      </c>
      <c r="BP72" s="1" t="s">
        <v>536</v>
      </c>
    </row>
    <row r="73">
      <c r="A73" s="1" t="s">
        <v>812</v>
      </c>
      <c r="B73" s="1" t="s">
        <v>284</v>
      </c>
      <c r="C73" s="1" t="s">
        <v>813</v>
      </c>
      <c r="D73" s="1" t="s">
        <v>92</v>
      </c>
      <c r="E73" s="2" t="s">
        <v>814</v>
      </c>
      <c r="J73" s="1">
        <v>34.0</v>
      </c>
      <c r="K73" s="1" t="s">
        <v>171</v>
      </c>
      <c r="L73" s="1" t="s">
        <v>72</v>
      </c>
      <c r="N73" s="1" t="s">
        <v>660</v>
      </c>
      <c r="O73" s="1">
        <v>-7.34870317</v>
      </c>
      <c r="Q73" s="1" t="s">
        <v>136</v>
      </c>
      <c r="R73" s="1" t="s">
        <v>305</v>
      </c>
      <c r="W73" s="1" t="s">
        <v>704</v>
      </c>
      <c r="X73" s="1" t="s">
        <v>77</v>
      </c>
      <c r="Y73" s="1" t="s">
        <v>138</v>
      </c>
      <c r="Z73" s="1" t="s">
        <v>815</v>
      </c>
      <c r="AA73" s="1" t="s">
        <v>816</v>
      </c>
      <c r="AB73" s="1" t="s">
        <v>817</v>
      </c>
      <c r="AC73" s="1" t="s">
        <v>818</v>
      </c>
      <c r="AE73" s="1" t="s">
        <v>83</v>
      </c>
      <c r="AF73" s="1" t="s">
        <v>85</v>
      </c>
      <c r="AG73" s="1" t="s">
        <v>85</v>
      </c>
      <c r="AH73" s="1" t="s">
        <v>85</v>
      </c>
      <c r="AI73" s="1" t="s">
        <v>85</v>
      </c>
      <c r="AJ73" s="1" t="s">
        <v>85</v>
      </c>
      <c r="AK73" s="1" t="s">
        <v>84</v>
      </c>
      <c r="AL73" s="1" t="s">
        <v>85</v>
      </c>
      <c r="AM73" s="1" t="s">
        <v>85</v>
      </c>
      <c r="AN73" s="1" t="s">
        <v>85</v>
      </c>
      <c r="AO73" s="1" t="s">
        <v>85</v>
      </c>
      <c r="BD73" s="1" t="s">
        <v>84</v>
      </c>
      <c r="BE73" s="1" t="s">
        <v>84</v>
      </c>
      <c r="BF73" s="1" t="s">
        <v>85</v>
      </c>
      <c r="BK73" s="1" t="s">
        <v>86</v>
      </c>
      <c r="BM73" s="1" t="s">
        <v>86</v>
      </c>
      <c r="BN73" s="1" t="s">
        <v>310</v>
      </c>
      <c r="BO73" s="1" t="s">
        <v>664</v>
      </c>
      <c r="BP73" s="1" t="s">
        <v>292</v>
      </c>
    </row>
    <row r="74">
      <c r="A74" s="1" t="s">
        <v>819</v>
      </c>
      <c r="B74" s="1" t="s">
        <v>820</v>
      </c>
      <c r="C74" s="1" t="s">
        <v>821</v>
      </c>
      <c r="D74" s="1" t="s">
        <v>92</v>
      </c>
      <c r="E74" s="2" t="s">
        <v>822</v>
      </c>
      <c r="J74" s="1">
        <v>30.0</v>
      </c>
      <c r="K74" s="1" t="s">
        <v>823</v>
      </c>
      <c r="L74" s="1" t="s">
        <v>72</v>
      </c>
      <c r="M74" s="1" t="s">
        <v>108</v>
      </c>
      <c r="N74" s="1" t="s">
        <v>109</v>
      </c>
      <c r="O74" s="1">
        <v>1.882352941</v>
      </c>
      <c r="Q74" s="1" t="s">
        <v>75</v>
      </c>
      <c r="R74" s="1" t="s">
        <v>824</v>
      </c>
      <c r="W74" s="1" t="s">
        <v>787</v>
      </c>
      <c r="X74" s="1" t="s">
        <v>77</v>
      </c>
      <c r="Y74" s="1" t="s">
        <v>78</v>
      </c>
      <c r="Z74" s="1" t="s">
        <v>825</v>
      </c>
      <c r="AA74" s="1" t="s">
        <v>826</v>
      </c>
      <c r="AB74" s="1" t="s">
        <v>827</v>
      </c>
      <c r="AC74" s="1" t="s">
        <v>828</v>
      </c>
      <c r="AE74" s="1" t="s">
        <v>83</v>
      </c>
      <c r="AH74" s="1" t="s">
        <v>84</v>
      </c>
      <c r="AI74" s="1" t="s">
        <v>84</v>
      </c>
      <c r="AJ74" s="1" t="s">
        <v>84</v>
      </c>
      <c r="AP74" s="1" t="s">
        <v>85</v>
      </c>
      <c r="AT74" s="1" t="s">
        <v>85</v>
      </c>
      <c r="AZ74" s="1" t="s">
        <v>85</v>
      </c>
      <c r="BA74" s="1" t="s">
        <v>85</v>
      </c>
      <c r="BE74" s="1" t="s">
        <v>85</v>
      </c>
      <c r="BN74" s="1" t="s">
        <v>829</v>
      </c>
      <c r="BO74" s="1" t="s">
        <v>830</v>
      </c>
      <c r="BP74" s="1" t="s">
        <v>831</v>
      </c>
    </row>
    <row r="75">
      <c r="A75" s="1" t="s">
        <v>832</v>
      </c>
      <c r="B75" s="1" t="s">
        <v>833</v>
      </c>
      <c r="C75" s="1" t="s">
        <v>834</v>
      </c>
      <c r="D75" s="1" t="s">
        <v>70</v>
      </c>
      <c r="E75" s="2" t="s">
        <v>835</v>
      </c>
      <c r="F75" s="1" t="s">
        <v>836</v>
      </c>
      <c r="J75" s="1">
        <v>15.0</v>
      </c>
      <c r="K75" s="1" t="s">
        <v>71</v>
      </c>
      <c r="L75" s="1" t="s">
        <v>72</v>
      </c>
      <c r="M75" s="1" t="s">
        <v>73</v>
      </c>
      <c r="N75" s="1" t="s">
        <v>837</v>
      </c>
      <c r="Q75" s="1" t="s">
        <v>75</v>
      </c>
      <c r="R75" s="1" t="s">
        <v>137</v>
      </c>
      <c r="X75" s="1" t="s">
        <v>77</v>
      </c>
      <c r="Y75" s="1" t="s">
        <v>138</v>
      </c>
      <c r="Z75" s="1" t="s">
        <v>838</v>
      </c>
      <c r="AA75" s="1" t="s">
        <v>839</v>
      </c>
      <c r="AB75" s="1" t="s">
        <v>840</v>
      </c>
      <c r="AC75" s="1" t="s">
        <v>841</v>
      </c>
      <c r="AE75" s="1" t="s">
        <v>83</v>
      </c>
      <c r="AF75" s="1" t="s">
        <v>85</v>
      </c>
      <c r="AG75" s="1" t="s">
        <v>85</v>
      </c>
      <c r="AM75" s="1" t="s">
        <v>84</v>
      </c>
      <c r="BD75" s="1" t="s">
        <v>85</v>
      </c>
      <c r="BE75" s="1" t="s">
        <v>85</v>
      </c>
      <c r="BK75" s="1" t="s">
        <v>86</v>
      </c>
      <c r="BL75" s="1" t="s">
        <v>86</v>
      </c>
      <c r="BN75" s="1" t="s">
        <v>321</v>
      </c>
      <c r="BO75" s="1" t="s">
        <v>842</v>
      </c>
      <c r="BP75" s="1" t="s">
        <v>843</v>
      </c>
    </row>
    <row r="76">
      <c r="A76" s="1" t="s">
        <v>844</v>
      </c>
      <c r="B76" s="1" t="s">
        <v>845</v>
      </c>
      <c r="C76" s="1" t="s">
        <v>846</v>
      </c>
      <c r="D76" s="1" t="s">
        <v>92</v>
      </c>
      <c r="E76" s="2" t="s">
        <v>847</v>
      </c>
      <c r="J76" s="1">
        <v>25.0</v>
      </c>
      <c r="K76" s="1" t="s">
        <v>71</v>
      </c>
      <c r="L76" s="1" t="s">
        <v>72</v>
      </c>
      <c r="M76" s="1" t="s">
        <v>108</v>
      </c>
      <c r="N76" s="1" t="s">
        <v>109</v>
      </c>
      <c r="O76" s="1">
        <v>5.339805825</v>
      </c>
      <c r="Q76" s="1" t="s">
        <v>75</v>
      </c>
      <c r="R76" s="1" t="s">
        <v>824</v>
      </c>
      <c r="X76" s="1" t="s">
        <v>77</v>
      </c>
      <c r="Y76" s="1" t="s">
        <v>78</v>
      </c>
      <c r="Z76" s="1" t="s">
        <v>848</v>
      </c>
      <c r="AA76" s="1" t="s">
        <v>849</v>
      </c>
      <c r="AB76" s="1" t="s">
        <v>850</v>
      </c>
      <c r="AC76" s="1" t="s">
        <v>851</v>
      </c>
      <c r="AE76" s="1" t="s">
        <v>83</v>
      </c>
      <c r="AI76" s="1" t="s">
        <v>84</v>
      </c>
      <c r="BE76" s="1" t="s">
        <v>84</v>
      </c>
      <c r="BJ76" s="1" t="s">
        <v>85</v>
      </c>
      <c r="BK76" s="1" t="s">
        <v>86</v>
      </c>
      <c r="BN76" s="1" t="s">
        <v>852</v>
      </c>
      <c r="BO76" s="1" t="s">
        <v>853</v>
      </c>
    </row>
    <row r="77">
      <c r="A77" s="1" t="s">
        <v>854</v>
      </c>
      <c r="B77" s="1" t="s">
        <v>855</v>
      </c>
      <c r="C77" s="1" t="s">
        <v>856</v>
      </c>
      <c r="D77" s="1" t="s">
        <v>92</v>
      </c>
      <c r="E77" s="2" t="s">
        <v>857</v>
      </c>
      <c r="J77" s="1">
        <v>37.0</v>
      </c>
      <c r="K77" s="1" t="s">
        <v>71</v>
      </c>
      <c r="L77" s="1" t="s">
        <v>72</v>
      </c>
      <c r="M77" s="1" t="s">
        <v>73</v>
      </c>
      <c r="N77" s="1" t="s">
        <v>43</v>
      </c>
      <c r="O77" s="1">
        <v>46.96969697</v>
      </c>
      <c r="Q77" s="1" t="s">
        <v>149</v>
      </c>
      <c r="R77" s="1" t="s">
        <v>137</v>
      </c>
      <c r="W77" s="1" t="s">
        <v>858</v>
      </c>
      <c r="Y77" s="1" t="s">
        <v>78</v>
      </c>
      <c r="Z77" s="1" t="s">
        <v>859</v>
      </c>
      <c r="AA77" s="1" t="s">
        <v>860</v>
      </c>
      <c r="AB77" s="1" t="s">
        <v>861</v>
      </c>
      <c r="AC77" s="1" t="s">
        <v>862</v>
      </c>
      <c r="AE77" s="1" t="s">
        <v>83</v>
      </c>
      <c r="AF77" s="1" t="s">
        <v>85</v>
      </c>
      <c r="AN77" s="1" t="s">
        <v>85</v>
      </c>
      <c r="AS77" s="1" t="s">
        <v>85</v>
      </c>
      <c r="BA77" s="1" t="s">
        <v>85</v>
      </c>
      <c r="BJ77" s="1" t="s">
        <v>85</v>
      </c>
      <c r="BN77" s="1" t="s">
        <v>863</v>
      </c>
      <c r="BO77" s="1" t="s">
        <v>137</v>
      </c>
    </row>
    <row r="78">
      <c r="A78" s="1" t="s">
        <v>864</v>
      </c>
      <c r="B78" s="1" t="s">
        <v>865</v>
      </c>
      <c r="C78" s="1" t="s">
        <v>866</v>
      </c>
      <c r="D78" s="1" t="s">
        <v>92</v>
      </c>
      <c r="E78" s="2" t="s">
        <v>867</v>
      </c>
      <c r="J78" s="1">
        <v>18.0</v>
      </c>
      <c r="K78" s="1" t="s">
        <v>868</v>
      </c>
      <c r="L78" s="1" t="s">
        <v>72</v>
      </c>
      <c r="M78" s="1" t="s">
        <v>108</v>
      </c>
      <c r="N78" s="1" t="s">
        <v>869</v>
      </c>
      <c r="O78" s="1">
        <v>-21.73913043</v>
      </c>
      <c r="Q78" s="1" t="s">
        <v>149</v>
      </c>
      <c r="R78" s="1" t="s">
        <v>870</v>
      </c>
      <c r="W78" s="1" t="s">
        <v>858</v>
      </c>
      <c r="X78" s="1" t="s">
        <v>77</v>
      </c>
      <c r="Y78" s="1" t="s">
        <v>78</v>
      </c>
      <c r="Z78" s="1" t="s">
        <v>871</v>
      </c>
      <c r="AA78" s="1" t="s">
        <v>872</v>
      </c>
      <c r="AB78" s="1" t="s">
        <v>873</v>
      </c>
      <c r="AC78" s="1" t="s">
        <v>874</v>
      </c>
      <c r="AE78" s="1" t="s">
        <v>83</v>
      </c>
      <c r="AH78" s="1" t="s">
        <v>84</v>
      </c>
      <c r="AI78" s="1" t="s">
        <v>84</v>
      </c>
      <c r="AM78" s="1" t="s">
        <v>85</v>
      </c>
      <c r="AT78" s="1" t="s">
        <v>84</v>
      </c>
      <c r="BE78" s="1" t="s">
        <v>85</v>
      </c>
      <c r="BK78" s="1" t="s">
        <v>86</v>
      </c>
      <c r="BM78" s="1" t="s">
        <v>86</v>
      </c>
      <c r="BN78" s="1" t="s">
        <v>875</v>
      </c>
      <c r="BO78" s="1" t="s">
        <v>876</v>
      </c>
      <c r="BP78" s="1" t="s">
        <v>831</v>
      </c>
    </row>
    <row r="79">
      <c r="A79" s="1" t="s">
        <v>877</v>
      </c>
      <c r="B79" s="1" t="s">
        <v>878</v>
      </c>
      <c r="C79" s="1" t="s">
        <v>879</v>
      </c>
      <c r="D79" s="1" t="s">
        <v>70</v>
      </c>
      <c r="E79" s="2" t="s">
        <v>835</v>
      </c>
      <c r="F79" s="1" t="s">
        <v>836</v>
      </c>
      <c r="J79" s="1">
        <v>15.0</v>
      </c>
      <c r="K79" s="1" t="s">
        <v>630</v>
      </c>
      <c r="L79" s="1" t="s">
        <v>72</v>
      </c>
      <c r="N79" s="1" t="s">
        <v>880</v>
      </c>
      <c r="Q79" s="1" t="s">
        <v>149</v>
      </c>
      <c r="R79" s="1" t="s">
        <v>881</v>
      </c>
      <c r="X79" s="1" t="s">
        <v>77</v>
      </c>
      <c r="Y79" s="1" t="s">
        <v>138</v>
      </c>
      <c r="Z79" s="1" t="s">
        <v>882</v>
      </c>
      <c r="AA79" s="1" t="s">
        <v>883</v>
      </c>
      <c r="AB79" s="1" t="s">
        <v>884</v>
      </c>
      <c r="AC79" s="1" t="s">
        <v>885</v>
      </c>
      <c r="AE79" s="1" t="s">
        <v>83</v>
      </c>
      <c r="AH79" s="1" t="s">
        <v>84</v>
      </c>
      <c r="AI79" s="1" t="s">
        <v>85</v>
      </c>
      <c r="AJ79" s="1" t="s">
        <v>84</v>
      </c>
      <c r="AK79" s="1" t="s">
        <v>85</v>
      </c>
      <c r="AM79" s="1" t="s">
        <v>84</v>
      </c>
      <c r="AT79" s="1" t="s">
        <v>85</v>
      </c>
      <c r="BK79" s="1" t="s">
        <v>86</v>
      </c>
      <c r="BL79" s="1" t="s">
        <v>86</v>
      </c>
      <c r="BM79" s="1" t="s">
        <v>86</v>
      </c>
      <c r="BN79" s="1" t="s">
        <v>886</v>
      </c>
      <c r="BO79" s="1" t="s">
        <v>887</v>
      </c>
      <c r="BP79" s="1" t="s">
        <v>843</v>
      </c>
    </row>
    <row r="80">
      <c r="A80" s="1" t="s">
        <v>888</v>
      </c>
      <c r="B80" s="1" t="s">
        <v>889</v>
      </c>
      <c r="C80" s="1" t="s">
        <v>890</v>
      </c>
      <c r="D80" s="1" t="s">
        <v>92</v>
      </c>
      <c r="E80" s="2" t="s">
        <v>891</v>
      </c>
      <c r="J80" s="1">
        <v>35.0</v>
      </c>
      <c r="K80" s="1" t="s">
        <v>71</v>
      </c>
      <c r="L80" s="1" t="s">
        <v>72</v>
      </c>
      <c r="M80" s="1" t="s">
        <v>73</v>
      </c>
      <c r="N80" s="1" t="s">
        <v>38</v>
      </c>
      <c r="O80" s="1">
        <v>14.28571429</v>
      </c>
      <c r="Q80" s="1" t="s">
        <v>75</v>
      </c>
      <c r="R80" s="1" t="s">
        <v>137</v>
      </c>
      <c r="W80" s="1" t="s">
        <v>858</v>
      </c>
      <c r="X80" s="1" t="s">
        <v>77</v>
      </c>
      <c r="Y80" s="1" t="s">
        <v>138</v>
      </c>
      <c r="Z80" s="1" t="s">
        <v>892</v>
      </c>
      <c r="AA80" s="1" t="s">
        <v>893</v>
      </c>
      <c r="AB80" s="1" t="s">
        <v>894</v>
      </c>
      <c r="AC80" s="1" t="s">
        <v>895</v>
      </c>
      <c r="AE80" s="1" t="s">
        <v>83</v>
      </c>
      <c r="AG80" s="1" t="s">
        <v>85</v>
      </c>
      <c r="AM80" s="1" t="s">
        <v>85</v>
      </c>
      <c r="AN80" s="1" t="s">
        <v>85</v>
      </c>
      <c r="AS80" s="1" t="s">
        <v>84</v>
      </c>
      <c r="AU80" s="1" t="s">
        <v>84</v>
      </c>
      <c r="AZ80" s="1" t="s">
        <v>85</v>
      </c>
      <c r="BA80" s="1" t="s">
        <v>84</v>
      </c>
      <c r="BI80" s="1" t="s">
        <v>85</v>
      </c>
      <c r="BN80" s="1" t="s">
        <v>137</v>
      </c>
      <c r="BO80" s="1" t="s">
        <v>137</v>
      </c>
    </row>
    <row r="81">
      <c r="A81" s="1" t="s">
        <v>896</v>
      </c>
      <c r="B81" s="1" t="s">
        <v>897</v>
      </c>
      <c r="C81" s="1" t="s">
        <v>898</v>
      </c>
      <c r="D81" s="1" t="s">
        <v>92</v>
      </c>
      <c r="E81" s="2" t="s">
        <v>899</v>
      </c>
      <c r="J81" s="1">
        <v>42.0</v>
      </c>
      <c r="K81" s="1" t="s">
        <v>171</v>
      </c>
      <c r="L81" s="1" t="s">
        <v>72</v>
      </c>
      <c r="M81" s="1" t="s">
        <v>73</v>
      </c>
      <c r="N81" s="1" t="s">
        <v>39</v>
      </c>
      <c r="O81" s="1">
        <v>-21.73913043</v>
      </c>
      <c r="Q81" s="1" t="s">
        <v>75</v>
      </c>
      <c r="R81" s="1" t="s">
        <v>900</v>
      </c>
      <c r="W81" s="1" t="s">
        <v>858</v>
      </c>
      <c r="X81" s="1" t="s">
        <v>77</v>
      </c>
      <c r="Y81" s="1" t="s">
        <v>138</v>
      </c>
      <c r="Z81" s="1" t="s">
        <v>871</v>
      </c>
      <c r="AA81" s="1" t="s">
        <v>901</v>
      </c>
      <c r="AB81" s="1" t="s">
        <v>902</v>
      </c>
      <c r="AC81" s="1" t="s">
        <v>903</v>
      </c>
      <c r="AE81" s="1" t="s">
        <v>83</v>
      </c>
      <c r="AF81" s="1" t="s">
        <v>85</v>
      </c>
      <c r="AG81" s="1" t="s">
        <v>85</v>
      </c>
      <c r="AM81" s="1" t="s">
        <v>85</v>
      </c>
      <c r="AN81" s="1" t="s">
        <v>85</v>
      </c>
      <c r="AS81" s="1" t="s">
        <v>84</v>
      </c>
      <c r="AU81" s="1" t="s">
        <v>84</v>
      </c>
      <c r="AZ81" s="1" t="s">
        <v>84</v>
      </c>
      <c r="BD81" s="1" t="s">
        <v>85</v>
      </c>
      <c r="BK81" s="1" t="s">
        <v>86</v>
      </c>
      <c r="BN81" s="1" t="s">
        <v>904</v>
      </c>
      <c r="BO81" s="1" t="s">
        <v>905</v>
      </c>
    </row>
    <row r="82">
      <c r="A82" s="1" t="s">
        <v>906</v>
      </c>
      <c r="B82" s="1" t="s">
        <v>907</v>
      </c>
      <c r="C82" s="1" t="s">
        <v>908</v>
      </c>
      <c r="D82" s="1" t="s">
        <v>92</v>
      </c>
      <c r="E82" s="2" t="s">
        <v>909</v>
      </c>
      <c r="F82" s="1" t="s">
        <v>910</v>
      </c>
      <c r="J82" s="1">
        <v>25.0</v>
      </c>
      <c r="K82" s="1" t="s">
        <v>71</v>
      </c>
      <c r="L82" s="1" t="s">
        <v>72</v>
      </c>
      <c r="M82" s="1" t="s">
        <v>108</v>
      </c>
      <c r="N82" s="1" t="s">
        <v>911</v>
      </c>
      <c r="Q82" s="1" t="s">
        <v>75</v>
      </c>
      <c r="R82" s="1" t="s">
        <v>881</v>
      </c>
      <c r="X82" s="1" t="s">
        <v>77</v>
      </c>
      <c r="Y82" s="1" t="s">
        <v>78</v>
      </c>
      <c r="Z82" s="1" t="s">
        <v>912</v>
      </c>
      <c r="AA82" s="1" t="s">
        <v>913</v>
      </c>
      <c r="AB82" s="1" t="s">
        <v>914</v>
      </c>
      <c r="AC82" s="1" t="s">
        <v>915</v>
      </c>
      <c r="AE82" s="1" t="s">
        <v>83</v>
      </c>
      <c r="AH82" s="1" t="s">
        <v>84</v>
      </c>
      <c r="AI82" s="1" t="s">
        <v>84</v>
      </c>
      <c r="AR82" s="1" t="s">
        <v>84</v>
      </c>
      <c r="BE82" s="1" t="s">
        <v>84</v>
      </c>
      <c r="BF82" s="1" t="s">
        <v>84</v>
      </c>
      <c r="BK82" s="1" t="s">
        <v>86</v>
      </c>
      <c r="BM82" s="1" t="s">
        <v>86</v>
      </c>
      <c r="BN82" s="1" t="s">
        <v>117</v>
      </c>
      <c r="BO82" s="1" t="s">
        <v>916</v>
      </c>
      <c r="BP82" s="1" t="s">
        <v>323</v>
      </c>
    </row>
    <row r="83">
      <c r="A83" s="1" t="s">
        <v>917</v>
      </c>
      <c r="B83" s="1" t="s">
        <v>918</v>
      </c>
      <c r="C83" s="1" t="s">
        <v>919</v>
      </c>
      <c r="D83" s="1" t="s">
        <v>92</v>
      </c>
      <c r="E83" s="2" t="s">
        <v>920</v>
      </c>
      <c r="F83" s="1" t="s">
        <v>921</v>
      </c>
      <c r="J83" s="1">
        <v>57.0</v>
      </c>
      <c r="K83" s="1" t="s">
        <v>922</v>
      </c>
      <c r="L83" s="1" t="s">
        <v>72</v>
      </c>
      <c r="M83" s="1" t="s">
        <v>73</v>
      </c>
      <c r="N83" s="1" t="s">
        <v>923</v>
      </c>
      <c r="O83" s="1">
        <v>-4.866180049</v>
      </c>
      <c r="Q83" s="1" t="s">
        <v>149</v>
      </c>
      <c r="R83" s="1" t="s">
        <v>137</v>
      </c>
      <c r="X83" s="1" t="s">
        <v>77</v>
      </c>
      <c r="Y83" s="1" t="s">
        <v>78</v>
      </c>
      <c r="Z83" s="1" t="s">
        <v>924</v>
      </c>
      <c r="AA83" s="1" t="s">
        <v>925</v>
      </c>
      <c r="AB83" s="1" t="s">
        <v>926</v>
      </c>
      <c r="AC83" s="1" t="s">
        <v>927</v>
      </c>
      <c r="AE83" s="1" t="s">
        <v>83</v>
      </c>
      <c r="AK83" s="1" t="s">
        <v>129</v>
      </c>
      <c r="AN83" s="1" t="s">
        <v>85</v>
      </c>
      <c r="AP83" s="1" t="s">
        <v>84</v>
      </c>
      <c r="AZ83" s="1" t="s">
        <v>85</v>
      </c>
      <c r="BA83" s="1" t="s">
        <v>84</v>
      </c>
      <c r="BJ83" s="1" t="s">
        <v>84</v>
      </c>
      <c r="BK83" s="1" t="s">
        <v>86</v>
      </c>
      <c r="BN83" s="1" t="s">
        <v>928</v>
      </c>
      <c r="BO83" s="1" t="s">
        <v>137</v>
      </c>
      <c r="BP83" s="1" t="s">
        <v>929</v>
      </c>
    </row>
    <row r="84">
      <c r="A84" s="1" t="s">
        <v>930</v>
      </c>
      <c r="B84" s="1" t="s">
        <v>931</v>
      </c>
      <c r="C84" s="1" t="s">
        <v>932</v>
      </c>
      <c r="D84" s="1" t="s">
        <v>92</v>
      </c>
      <c r="E84" s="2" t="s">
        <v>933</v>
      </c>
      <c r="J84" s="1">
        <v>49.0</v>
      </c>
      <c r="K84" s="1" t="s">
        <v>171</v>
      </c>
      <c r="L84" s="1" t="s">
        <v>72</v>
      </c>
      <c r="M84" s="1" t="s">
        <v>73</v>
      </c>
      <c r="N84" s="1" t="s">
        <v>38</v>
      </c>
      <c r="O84" s="1">
        <v>-35.35564854</v>
      </c>
      <c r="Q84" s="1" t="s">
        <v>75</v>
      </c>
      <c r="R84" s="1" t="s">
        <v>76</v>
      </c>
      <c r="W84" s="1" t="s">
        <v>858</v>
      </c>
      <c r="X84" s="1" t="s">
        <v>77</v>
      </c>
      <c r="Y84" s="1" t="s">
        <v>78</v>
      </c>
      <c r="Z84" s="1" t="s">
        <v>934</v>
      </c>
      <c r="AA84" s="1" t="s">
        <v>935</v>
      </c>
      <c r="AB84" s="1" t="s">
        <v>936</v>
      </c>
      <c r="AC84" s="1" t="s">
        <v>937</v>
      </c>
      <c r="AD84" s="1" t="s">
        <v>938</v>
      </c>
      <c r="AE84" s="1" t="s">
        <v>83</v>
      </c>
      <c r="AF84" s="1" t="s">
        <v>84</v>
      </c>
      <c r="AG84" s="1" t="s">
        <v>84</v>
      </c>
      <c r="AH84" s="1" t="s">
        <v>85</v>
      </c>
      <c r="AI84" s="1" t="s">
        <v>85</v>
      </c>
      <c r="AJ84" s="1" t="s">
        <v>85</v>
      </c>
      <c r="AM84" s="1" t="s">
        <v>129</v>
      </c>
      <c r="AS84" s="1" t="s">
        <v>85</v>
      </c>
      <c r="AZ84" s="1" t="s">
        <v>84</v>
      </c>
      <c r="BA84" s="1" t="s">
        <v>85</v>
      </c>
      <c r="BD84" s="1" t="s">
        <v>85</v>
      </c>
      <c r="BJ84" s="1" t="s">
        <v>85</v>
      </c>
      <c r="BK84" s="1" t="s">
        <v>86</v>
      </c>
      <c r="BN84" s="1" t="s">
        <v>939</v>
      </c>
      <c r="BO84" s="1" t="s">
        <v>230</v>
      </c>
    </row>
    <row r="85">
      <c r="A85" s="1" t="s">
        <v>940</v>
      </c>
      <c r="B85" s="1" t="s">
        <v>941</v>
      </c>
      <c r="C85" s="1" t="s">
        <v>942</v>
      </c>
      <c r="D85" s="1" t="s">
        <v>70</v>
      </c>
      <c r="E85" s="2" t="s">
        <v>943</v>
      </c>
      <c r="F85" s="1" t="s">
        <v>910</v>
      </c>
      <c r="J85" s="1">
        <v>15.0</v>
      </c>
      <c r="K85" s="1" t="s">
        <v>71</v>
      </c>
      <c r="L85" s="1" t="s">
        <v>72</v>
      </c>
      <c r="M85" s="1" t="s">
        <v>108</v>
      </c>
      <c r="N85" s="1" t="s">
        <v>109</v>
      </c>
      <c r="Q85" s="1" t="s">
        <v>944</v>
      </c>
      <c r="R85" s="1" t="s">
        <v>945</v>
      </c>
      <c r="X85" s="1" t="s">
        <v>77</v>
      </c>
      <c r="Y85" s="1" t="s">
        <v>78</v>
      </c>
      <c r="Z85" s="1" t="s">
        <v>912</v>
      </c>
      <c r="AA85" s="1" t="s">
        <v>946</v>
      </c>
      <c r="AB85" s="1" t="s">
        <v>947</v>
      </c>
      <c r="AC85" s="1" t="s">
        <v>948</v>
      </c>
      <c r="AE85" s="1" t="s">
        <v>83</v>
      </c>
      <c r="AH85" s="1" t="s">
        <v>84</v>
      </c>
      <c r="AI85" s="1" t="s">
        <v>84</v>
      </c>
      <c r="AJ85" s="1" t="s">
        <v>84</v>
      </c>
      <c r="BE85" s="1" t="s">
        <v>84</v>
      </c>
      <c r="BF85" s="1" t="s">
        <v>84</v>
      </c>
      <c r="BK85" s="1" t="s">
        <v>86</v>
      </c>
      <c r="BL85" s="1" t="s">
        <v>86</v>
      </c>
      <c r="BM85" s="1" t="s">
        <v>86</v>
      </c>
      <c r="BN85" s="1" t="s">
        <v>117</v>
      </c>
      <c r="BO85" s="1" t="s">
        <v>949</v>
      </c>
      <c r="BP85" s="1" t="s">
        <v>950</v>
      </c>
    </row>
    <row r="86">
      <c r="A86" s="1" t="s">
        <v>951</v>
      </c>
      <c r="B86" s="1" t="s">
        <v>952</v>
      </c>
      <c r="C86" s="1" t="s">
        <v>953</v>
      </c>
      <c r="D86" s="1" t="s">
        <v>70</v>
      </c>
      <c r="E86" s="2" t="s">
        <v>954</v>
      </c>
      <c r="F86" s="1" t="s">
        <v>921</v>
      </c>
      <c r="J86" s="1">
        <v>10.0</v>
      </c>
      <c r="K86" s="1" t="s">
        <v>955</v>
      </c>
      <c r="L86" s="1" t="s">
        <v>72</v>
      </c>
      <c r="M86" s="1" t="s">
        <v>73</v>
      </c>
      <c r="N86" s="1" t="s">
        <v>36</v>
      </c>
      <c r="Q86" s="1" t="s">
        <v>75</v>
      </c>
      <c r="R86" s="1" t="s">
        <v>956</v>
      </c>
      <c r="X86" s="1" t="s">
        <v>77</v>
      </c>
      <c r="Y86" s="1" t="s">
        <v>78</v>
      </c>
      <c r="Z86" s="1" t="s">
        <v>957</v>
      </c>
      <c r="AA86" s="1" t="s">
        <v>958</v>
      </c>
      <c r="AB86" s="1" t="s">
        <v>959</v>
      </c>
      <c r="AC86" s="1" t="s">
        <v>960</v>
      </c>
      <c r="AE86" s="1" t="s">
        <v>83</v>
      </c>
      <c r="AF86" s="1" t="s">
        <v>84</v>
      </c>
      <c r="AG86" s="1" t="s">
        <v>84</v>
      </c>
      <c r="AK86" s="1" t="s">
        <v>84</v>
      </c>
      <c r="BD86" s="1" t="s">
        <v>84</v>
      </c>
      <c r="BK86" s="1" t="s">
        <v>86</v>
      </c>
      <c r="BL86" s="1" t="s">
        <v>86</v>
      </c>
      <c r="BM86" s="1" t="s">
        <v>86</v>
      </c>
      <c r="BN86" s="1" t="s">
        <v>811</v>
      </c>
      <c r="BO86" s="1" t="s">
        <v>517</v>
      </c>
      <c r="BP86" s="1" t="s">
        <v>929</v>
      </c>
    </row>
    <row r="87">
      <c r="A87" s="1" t="s">
        <v>961</v>
      </c>
      <c r="B87" s="1" t="s">
        <v>962</v>
      </c>
      <c r="C87" s="1" t="s">
        <v>963</v>
      </c>
      <c r="D87" s="1" t="s">
        <v>92</v>
      </c>
      <c r="E87" s="2" t="s">
        <v>964</v>
      </c>
      <c r="J87" s="1">
        <v>74.0</v>
      </c>
      <c r="K87" s="1" t="s">
        <v>224</v>
      </c>
      <c r="L87" s="1" t="s">
        <v>72</v>
      </c>
      <c r="M87" s="1" t="s">
        <v>73</v>
      </c>
      <c r="N87" s="1" t="s">
        <v>37</v>
      </c>
      <c r="O87" s="1">
        <v>-21.67832168</v>
      </c>
      <c r="Q87" s="1" t="s">
        <v>75</v>
      </c>
      <c r="R87" s="1" t="s">
        <v>965</v>
      </c>
      <c r="W87" s="1" t="s">
        <v>858</v>
      </c>
      <c r="Y87" s="1" t="s">
        <v>78</v>
      </c>
      <c r="Z87" s="1" t="s">
        <v>966</v>
      </c>
      <c r="AA87" s="1" t="s">
        <v>967</v>
      </c>
      <c r="AB87" s="1" t="s">
        <v>968</v>
      </c>
      <c r="AC87" s="1" t="s">
        <v>969</v>
      </c>
      <c r="AE87" s="1" t="s">
        <v>83</v>
      </c>
      <c r="AF87" s="1" t="s">
        <v>85</v>
      </c>
      <c r="AL87" s="1" t="s">
        <v>84</v>
      </c>
      <c r="AN87" s="1" t="s">
        <v>84</v>
      </c>
      <c r="AS87" s="1" t="s">
        <v>84</v>
      </c>
      <c r="AU87" s="1" t="s">
        <v>84</v>
      </c>
      <c r="BA87" s="1" t="s">
        <v>84</v>
      </c>
      <c r="BD87" s="1" t="s">
        <v>85</v>
      </c>
      <c r="BN87" s="1" t="s">
        <v>970</v>
      </c>
      <c r="BO87" s="1" t="s">
        <v>971</v>
      </c>
    </row>
    <row r="88">
      <c r="A88" s="1" t="s">
        <v>972</v>
      </c>
      <c r="B88" s="1" t="s">
        <v>973</v>
      </c>
      <c r="C88" s="1" t="s">
        <v>974</v>
      </c>
      <c r="D88" s="1" t="s">
        <v>92</v>
      </c>
      <c r="E88" s="2" t="s">
        <v>975</v>
      </c>
      <c r="J88" s="1">
        <v>25.0</v>
      </c>
      <c r="K88" s="1" t="s">
        <v>123</v>
      </c>
      <c r="L88" s="1" t="s">
        <v>72</v>
      </c>
      <c r="M88" s="1" t="s">
        <v>73</v>
      </c>
      <c r="N88" s="1" t="s">
        <v>38</v>
      </c>
      <c r="Q88" s="1" t="s">
        <v>136</v>
      </c>
      <c r="R88" s="1" t="s">
        <v>137</v>
      </c>
      <c r="Y88" s="1" t="s">
        <v>138</v>
      </c>
      <c r="Z88" s="1" t="s">
        <v>976</v>
      </c>
      <c r="AA88" s="1" t="s">
        <v>977</v>
      </c>
      <c r="AB88" s="1" t="s">
        <v>978</v>
      </c>
      <c r="AC88" s="1" t="s">
        <v>979</v>
      </c>
      <c r="AE88" s="1" t="s">
        <v>83</v>
      </c>
      <c r="AF88" s="1" t="s">
        <v>84</v>
      </c>
      <c r="AG88" s="1" t="s">
        <v>85</v>
      </c>
      <c r="AH88" s="1" t="s">
        <v>85</v>
      </c>
      <c r="AJ88" s="1" t="s">
        <v>84</v>
      </c>
      <c r="AK88" s="1" t="s">
        <v>85</v>
      </c>
      <c r="AL88" s="1" t="s">
        <v>85</v>
      </c>
      <c r="AM88" s="1" t="s">
        <v>84</v>
      </c>
      <c r="AN88" s="1" t="s">
        <v>84</v>
      </c>
      <c r="AS88" s="1" t="s">
        <v>84</v>
      </c>
      <c r="AU88" s="1" t="s">
        <v>85</v>
      </c>
      <c r="AZ88" s="1" t="s">
        <v>85</v>
      </c>
      <c r="BD88" s="1" t="s">
        <v>85</v>
      </c>
      <c r="BI88" s="1" t="s">
        <v>84</v>
      </c>
      <c r="BN88" s="1" t="s">
        <v>137</v>
      </c>
      <c r="BO88" s="1" t="s">
        <v>137</v>
      </c>
    </row>
    <row r="89">
      <c r="A89" s="1" t="s">
        <v>980</v>
      </c>
      <c r="B89" s="1" t="s">
        <v>981</v>
      </c>
      <c r="C89" s="1" t="s">
        <v>982</v>
      </c>
      <c r="D89" s="1" t="s">
        <v>70</v>
      </c>
      <c r="E89" s="2" t="s">
        <v>983</v>
      </c>
      <c r="J89" s="1">
        <v>15.0</v>
      </c>
      <c r="K89" s="1" t="s">
        <v>452</v>
      </c>
      <c r="L89" s="1" t="s">
        <v>72</v>
      </c>
      <c r="M89" s="1" t="s">
        <v>108</v>
      </c>
      <c r="N89" s="1" t="s">
        <v>109</v>
      </c>
      <c r="Q89" s="1" t="s">
        <v>149</v>
      </c>
      <c r="R89" s="1" t="s">
        <v>305</v>
      </c>
      <c r="X89" s="1" t="s">
        <v>77</v>
      </c>
      <c r="Y89" s="1" t="s">
        <v>78</v>
      </c>
      <c r="Z89" s="1" t="s">
        <v>984</v>
      </c>
      <c r="AA89" s="1" t="s">
        <v>985</v>
      </c>
      <c r="AB89" s="1" t="s">
        <v>986</v>
      </c>
      <c r="AC89" s="1" t="s">
        <v>987</v>
      </c>
      <c r="AE89" s="1" t="s">
        <v>83</v>
      </c>
      <c r="AH89" s="1" t="s">
        <v>85</v>
      </c>
      <c r="AI89" s="1" t="s">
        <v>85</v>
      </c>
      <c r="AJ89" s="1" t="s">
        <v>85</v>
      </c>
      <c r="AN89" s="1" t="s">
        <v>85</v>
      </c>
      <c r="AO89" s="1" t="s">
        <v>85</v>
      </c>
      <c r="AR89" s="1" t="s">
        <v>85</v>
      </c>
      <c r="AS89" s="1" t="s">
        <v>85</v>
      </c>
      <c r="AT89" s="1" t="s">
        <v>85</v>
      </c>
      <c r="AU89" s="1" t="s">
        <v>85</v>
      </c>
      <c r="AV89" s="1" t="s">
        <v>85</v>
      </c>
      <c r="BH89" s="1" t="s">
        <v>84</v>
      </c>
      <c r="BK89" s="1" t="s">
        <v>86</v>
      </c>
      <c r="BL89" s="1" t="s">
        <v>86</v>
      </c>
      <c r="BN89" s="1" t="s">
        <v>675</v>
      </c>
      <c r="BO89" s="1" t="s">
        <v>988</v>
      </c>
      <c r="BP89" s="1" t="s">
        <v>989</v>
      </c>
    </row>
    <row r="90">
      <c r="A90" s="1" t="s">
        <v>990</v>
      </c>
      <c r="B90" s="1" t="s">
        <v>991</v>
      </c>
      <c r="C90" s="1" t="s">
        <v>992</v>
      </c>
      <c r="D90" s="1" t="s">
        <v>92</v>
      </c>
      <c r="E90" s="2" t="s">
        <v>993</v>
      </c>
      <c r="J90" s="1">
        <v>35.0</v>
      </c>
      <c r="K90" s="1" t="s">
        <v>71</v>
      </c>
      <c r="L90" s="1" t="s">
        <v>72</v>
      </c>
      <c r="M90" s="1" t="s">
        <v>73</v>
      </c>
      <c r="N90" s="1" t="s">
        <v>37</v>
      </c>
      <c r="O90" s="1">
        <v>14.60674157</v>
      </c>
      <c r="Q90" s="1" t="s">
        <v>149</v>
      </c>
      <c r="R90" s="1" t="s">
        <v>137</v>
      </c>
      <c r="W90" s="1" t="s">
        <v>994</v>
      </c>
      <c r="X90" s="1" t="s">
        <v>77</v>
      </c>
      <c r="Y90" s="1" t="s">
        <v>78</v>
      </c>
      <c r="Z90" s="1" t="s">
        <v>995</v>
      </c>
      <c r="AA90" s="1" t="s">
        <v>996</v>
      </c>
      <c r="AB90" s="1" t="s">
        <v>997</v>
      </c>
      <c r="AC90" s="1" t="s">
        <v>998</v>
      </c>
      <c r="AE90" s="1" t="s">
        <v>83</v>
      </c>
      <c r="AF90" s="1" t="s">
        <v>85</v>
      </c>
      <c r="AL90" s="1" t="s">
        <v>84</v>
      </c>
      <c r="BA90" s="1" t="s">
        <v>84</v>
      </c>
      <c r="BJ90" s="1" t="s">
        <v>85</v>
      </c>
      <c r="BN90" s="1" t="s">
        <v>137</v>
      </c>
      <c r="BO90" s="1" t="s">
        <v>137</v>
      </c>
    </row>
    <row r="91">
      <c r="A91" s="1" t="s">
        <v>999</v>
      </c>
      <c r="B91" s="1" t="s">
        <v>1000</v>
      </c>
      <c r="C91" s="1" t="s">
        <v>1001</v>
      </c>
      <c r="D91" s="1" t="s">
        <v>92</v>
      </c>
      <c r="E91" s="2" t="s">
        <v>975</v>
      </c>
      <c r="J91" s="1">
        <v>50.0</v>
      </c>
      <c r="K91" s="1" t="s">
        <v>171</v>
      </c>
      <c r="L91" s="1" t="s">
        <v>72</v>
      </c>
      <c r="M91" s="1" t="s">
        <v>48</v>
      </c>
      <c r="N91" s="1" t="s">
        <v>483</v>
      </c>
      <c r="O91" s="1">
        <v>6.507731959</v>
      </c>
      <c r="Q91" s="1" t="s">
        <v>149</v>
      </c>
      <c r="R91" s="1" t="s">
        <v>137</v>
      </c>
      <c r="W91" s="1" t="s">
        <v>1002</v>
      </c>
      <c r="Y91" s="1" t="s">
        <v>138</v>
      </c>
      <c r="Z91" s="1" t="s">
        <v>1003</v>
      </c>
      <c r="AA91" s="1" t="s">
        <v>1004</v>
      </c>
      <c r="AB91" s="1" t="s">
        <v>1005</v>
      </c>
      <c r="AC91" s="1" t="s">
        <v>1006</v>
      </c>
      <c r="AE91" s="1" t="s">
        <v>83</v>
      </c>
      <c r="AX91" s="1" t="s">
        <v>84</v>
      </c>
      <c r="BI91" s="1" t="s">
        <v>85</v>
      </c>
      <c r="BN91" s="1" t="s">
        <v>137</v>
      </c>
      <c r="BO91" s="1" t="s">
        <v>137</v>
      </c>
    </row>
    <row r="92">
      <c r="A92" s="1" t="s">
        <v>1007</v>
      </c>
      <c r="B92" s="1" t="s">
        <v>1008</v>
      </c>
      <c r="C92" s="1" t="s">
        <v>1009</v>
      </c>
      <c r="D92" s="1" t="s">
        <v>92</v>
      </c>
      <c r="E92" s="2" t="s">
        <v>983</v>
      </c>
      <c r="J92" s="1">
        <v>18.0</v>
      </c>
      <c r="K92" s="1" t="s">
        <v>71</v>
      </c>
      <c r="L92" s="1" t="s">
        <v>72</v>
      </c>
      <c r="M92" s="1" t="s">
        <v>108</v>
      </c>
      <c r="N92" s="1" t="s">
        <v>1010</v>
      </c>
      <c r="Q92" s="1" t="s">
        <v>149</v>
      </c>
      <c r="X92" s="1" t="s">
        <v>77</v>
      </c>
      <c r="Y92" s="1" t="s">
        <v>138</v>
      </c>
      <c r="Z92" s="1" t="s">
        <v>1011</v>
      </c>
      <c r="AA92" s="1" t="s">
        <v>1012</v>
      </c>
      <c r="AB92" s="1" t="s">
        <v>1013</v>
      </c>
      <c r="AC92" s="1" t="s">
        <v>1014</v>
      </c>
      <c r="AE92" s="1" t="s">
        <v>83</v>
      </c>
      <c r="AH92" s="1" t="s">
        <v>84</v>
      </c>
      <c r="AI92" s="1" t="s">
        <v>84</v>
      </c>
      <c r="AJ92" s="1" t="s">
        <v>84</v>
      </c>
      <c r="AM92" s="1" t="s">
        <v>85</v>
      </c>
      <c r="AT92" s="1" t="s">
        <v>84</v>
      </c>
      <c r="BK92" s="1" t="s">
        <v>86</v>
      </c>
      <c r="BM92" s="1" t="s">
        <v>86</v>
      </c>
      <c r="BP92" s="1" t="s">
        <v>989</v>
      </c>
    </row>
    <row r="93">
      <c r="A93" s="1" t="s">
        <v>1015</v>
      </c>
      <c r="B93" s="1" t="s">
        <v>1016</v>
      </c>
      <c r="C93" s="1" t="s">
        <v>1017</v>
      </c>
      <c r="D93" s="1" t="s">
        <v>92</v>
      </c>
      <c r="E93" s="2" t="s">
        <v>1018</v>
      </c>
      <c r="F93" s="1" t="s">
        <v>1019</v>
      </c>
      <c r="J93" s="1">
        <v>30.0</v>
      </c>
      <c r="K93" s="1" t="s">
        <v>1020</v>
      </c>
      <c r="L93" s="1" t="s">
        <v>72</v>
      </c>
      <c r="M93" s="1" t="s">
        <v>73</v>
      </c>
      <c r="N93" s="1" t="s">
        <v>38</v>
      </c>
      <c r="O93" s="1">
        <v>5.447470817</v>
      </c>
      <c r="Q93" s="1" t="s">
        <v>75</v>
      </c>
      <c r="R93" s="1" t="s">
        <v>1021</v>
      </c>
      <c r="X93" s="1" t="s">
        <v>77</v>
      </c>
      <c r="Y93" s="1" t="s">
        <v>78</v>
      </c>
      <c r="Z93" s="1" t="s">
        <v>1022</v>
      </c>
      <c r="AA93" s="1" t="s">
        <v>1023</v>
      </c>
      <c r="AB93" s="1" t="s">
        <v>1024</v>
      </c>
      <c r="AC93" s="1" t="s">
        <v>1025</v>
      </c>
      <c r="AD93" s="1" t="s">
        <v>1026</v>
      </c>
      <c r="AE93" s="1" t="s">
        <v>83</v>
      </c>
      <c r="AF93" s="1" t="s">
        <v>84</v>
      </c>
      <c r="AG93" s="1" t="s">
        <v>85</v>
      </c>
      <c r="AH93" s="1" t="s">
        <v>85</v>
      </c>
      <c r="AJ93" s="1" t="s">
        <v>129</v>
      </c>
      <c r="AK93" s="1" t="s">
        <v>85</v>
      </c>
      <c r="AM93" s="1" t="s">
        <v>129</v>
      </c>
      <c r="AN93" s="1" t="s">
        <v>129</v>
      </c>
      <c r="AS93" s="1" t="s">
        <v>84</v>
      </c>
      <c r="AZ93" s="1" t="s">
        <v>84</v>
      </c>
      <c r="BA93" s="1" t="s">
        <v>84</v>
      </c>
      <c r="BC93" s="1" t="s">
        <v>1027</v>
      </c>
      <c r="BD93" s="1" t="s">
        <v>129</v>
      </c>
      <c r="BJ93" s="1" t="s">
        <v>84</v>
      </c>
      <c r="BN93" s="1" t="s">
        <v>1028</v>
      </c>
      <c r="BO93" s="1" t="s">
        <v>1029</v>
      </c>
    </row>
    <row r="94">
      <c r="A94" s="1" t="s">
        <v>1030</v>
      </c>
      <c r="B94" s="1" t="s">
        <v>1031</v>
      </c>
      <c r="C94" s="1" t="s">
        <v>1032</v>
      </c>
      <c r="D94" s="1" t="s">
        <v>92</v>
      </c>
      <c r="E94" s="2" t="s">
        <v>1033</v>
      </c>
      <c r="F94" s="1" t="s">
        <v>1034</v>
      </c>
      <c r="J94" s="1">
        <v>48.0</v>
      </c>
      <c r="K94" s="1" t="s">
        <v>71</v>
      </c>
      <c r="L94" s="1" t="s">
        <v>72</v>
      </c>
      <c r="M94" s="1" t="s">
        <v>73</v>
      </c>
      <c r="N94" s="1" t="s">
        <v>36</v>
      </c>
      <c r="O94" s="1">
        <v>6.507731959</v>
      </c>
      <c r="Q94" s="1" t="s">
        <v>260</v>
      </c>
      <c r="R94" s="1" t="s">
        <v>670</v>
      </c>
      <c r="W94" s="1" t="s">
        <v>1002</v>
      </c>
      <c r="X94" s="1" t="s">
        <v>77</v>
      </c>
      <c r="Y94" s="1" t="s">
        <v>138</v>
      </c>
      <c r="Z94" s="1" t="s">
        <v>1035</v>
      </c>
      <c r="AA94" s="1" t="s">
        <v>1036</v>
      </c>
      <c r="AB94" s="1" t="s">
        <v>1037</v>
      </c>
      <c r="AC94" s="1" t="s">
        <v>1038</v>
      </c>
      <c r="AE94" s="1" t="s">
        <v>83</v>
      </c>
      <c r="AK94" s="1" t="s">
        <v>84</v>
      </c>
      <c r="BA94" s="1" t="s">
        <v>84</v>
      </c>
      <c r="BH94" s="1" t="s">
        <v>84</v>
      </c>
      <c r="BI94" s="1" t="s">
        <v>84</v>
      </c>
      <c r="BJ94" s="1" t="s">
        <v>85</v>
      </c>
      <c r="BN94" s="1" t="s">
        <v>675</v>
      </c>
      <c r="BO94" s="1" t="s">
        <v>1039</v>
      </c>
      <c r="BP94" s="1" t="s">
        <v>1040</v>
      </c>
    </row>
    <row r="95">
      <c r="A95" s="1" t="s">
        <v>1041</v>
      </c>
      <c r="B95" s="1" t="s">
        <v>1042</v>
      </c>
      <c r="C95" s="1" t="s">
        <v>1043</v>
      </c>
      <c r="D95" s="1" t="s">
        <v>70</v>
      </c>
      <c r="E95" s="2" t="s">
        <v>1044</v>
      </c>
      <c r="F95" s="1" t="s">
        <v>1019</v>
      </c>
      <c r="J95" s="1">
        <v>8.0</v>
      </c>
      <c r="K95" s="1" t="s">
        <v>71</v>
      </c>
      <c r="L95" s="1" t="s">
        <v>72</v>
      </c>
      <c r="M95" s="1" t="s">
        <v>108</v>
      </c>
      <c r="N95" s="1" t="s">
        <v>109</v>
      </c>
      <c r="Q95" s="1" t="s">
        <v>110</v>
      </c>
      <c r="R95" s="1" t="s">
        <v>1045</v>
      </c>
      <c r="X95" s="1" t="s">
        <v>77</v>
      </c>
      <c r="Y95" s="1" t="s">
        <v>78</v>
      </c>
      <c r="Z95" s="1" t="s">
        <v>1046</v>
      </c>
      <c r="AA95" s="1" t="s">
        <v>1047</v>
      </c>
      <c r="AB95" s="1" t="s">
        <v>1048</v>
      </c>
      <c r="AC95" s="1" t="s">
        <v>1049</v>
      </c>
      <c r="AE95" s="1" t="s">
        <v>83</v>
      </c>
      <c r="AH95" s="1" t="s">
        <v>84</v>
      </c>
      <c r="AI95" s="1" t="s">
        <v>84</v>
      </c>
      <c r="AJ95" s="1" t="s">
        <v>84</v>
      </c>
      <c r="BE95" s="1" t="s">
        <v>84</v>
      </c>
      <c r="BK95" s="1" t="s">
        <v>86</v>
      </c>
      <c r="BL95" s="1" t="s">
        <v>86</v>
      </c>
      <c r="BN95" s="1" t="s">
        <v>1050</v>
      </c>
      <c r="BO95" s="1" t="s">
        <v>1051</v>
      </c>
      <c r="BP95" s="1" t="s">
        <v>1052</v>
      </c>
    </row>
    <row r="96">
      <c r="A96" s="1" t="s">
        <v>1053</v>
      </c>
      <c r="B96" s="1" t="s">
        <v>1054</v>
      </c>
      <c r="C96" s="1" t="s">
        <v>1055</v>
      </c>
      <c r="D96" s="1" t="s">
        <v>70</v>
      </c>
      <c r="E96" s="2" t="s">
        <v>106</v>
      </c>
      <c r="F96" s="1" t="s">
        <v>1034</v>
      </c>
      <c r="J96" s="1">
        <v>16.0</v>
      </c>
      <c r="K96" s="1" t="s">
        <v>71</v>
      </c>
      <c r="L96" s="1" t="s">
        <v>72</v>
      </c>
      <c r="M96" s="1" t="s">
        <v>108</v>
      </c>
      <c r="N96" s="1" t="s">
        <v>109</v>
      </c>
      <c r="Q96" s="1" t="s">
        <v>944</v>
      </c>
      <c r="R96" s="1" t="s">
        <v>1056</v>
      </c>
      <c r="X96" s="1" t="s">
        <v>77</v>
      </c>
      <c r="Y96" s="1" t="s">
        <v>138</v>
      </c>
      <c r="Z96" s="1" t="s">
        <v>1057</v>
      </c>
      <c r="AA96" s="1" t="s">
        <v>1058</v>
      </c>
      <c r="AB96" s="1" t="s">
        <v>1059</v>
      </c>
      <c r="AC96" s="1" t="s">
        <v>1060</v>
      </c>
      <c r="AE96" s="1" t="s">
        <v>83</v>
      </c>
      <c r="AH96" s="1" t="s">
        <v>84</v>
      </c>
      <c r="AI96" s="1" t="s">
        <v>84</v>
      </c>
      <c r="AJ96" s="1" t="s">
        <v>84</v>
      </c>
      <c r="BE96" s="1" t="s">
        <v>84</v>
      </c>
      <c r="BK96" s="1" t="s">
        <v>86</v>
      </c>
      <c r="BL96" s="1" t="s">
        <v>86</v>
      </c>
      <c r="BM96" s="1" t="s">
        <v>86</v>
      </c>
      <c r="BN96" s="1" t="s">
        <v>117</v>
      </c>
      <c r="BO96" s="1" t="s">
        <v>1061</v>
      </c>
      <c r="BP96" s="1" t="s">
        <v>1040</v>
      </c>
    </row>
    <row r="97">
      <c r="A97" s="1" t="s">
        <v>1062</v>
      </c>
      <c r="B97" s="1" t="s">
        <v>1063</v>
      </c>
      <c r="C97" s="1" t="s">
        <v>1064</v>
      </c>
      <c r="D97" s="1" t="s">
        <v>70</v>
      </c>
      <c r="E97" s="2" t="s">
        <v>1065</v>
      </c>
      <c r="F97" s="1" t="s">
        <v>1066</v>
      </c>
      <c r="J97" s="1">
        <v>21.0</v>
      </c>
      <c r="K97" s="1" t="s">
        <v>71</v>
      </c>
      <c r="L97" s="1" t="s">
        <v>72</v>
      </c>
      <c r="M97" s="1" t="s">
        <v>108</v>
      </c>
      <c r="N97" s="1" t="s">
        <v>109</v>
      </c>
      <c r="Q97" s="1" t="s">
        <v>75</v>
      </c>
      <c r="R97" s="1" t="s">
        <v>1067</v>
      </c>
      <c r="X97" s="1" t="s">
        <v>77</v>
      </c>
      <c r="Y97" s="1" t="s">
        <v>78</v>
      </c>
      <c r="Z97" s="1" t="s">
        <v>1046</v>
      </c>
      <c r="AA97" s="1" t="s">
        <v>1068</v>
      </c>
      <c r="AB97" s="1" t="s">
        <v>1069</v>
      </c>
      <c r="AC97" s="1" t="s">
        <v>1070</v>
      </c>
      <c r="AE97" s="1" t="s">
        <v>83</v>
      </c>
      <c r="AH97" s="1" t="s">
        <v>84</v>
      </c>
      <c r="AI97" s="1" t="s">
        <v>84</v>
      </c>
      <c r="AJ97" s="1" t="s">
        <v>84</v>
      </c>
      <c r="BE97" s="1" t="s">
        <v>84</v>
      </c>
      <c r="BK97" s="1" t="s">
        <v>86</v>
      </c>
      <c r="BL97" s="1" t="s">
        <v>86</v>
      </c>
      <c r="BM97" s="1" t="s">
        <v>86</v>
      </c>
      <c r="BN97" s="1" t="s">
        <v>1071</v>
      </c>
      <c r="BO97" s="1" t="s">
        <v>1072</v>
      </c>
      <c r="BP97" s="1" t="s">
        <v>1052</v>
      </c>
    </row>
    <row r="98">
      <c r="A98" s="1" t="s">
        <v>1073</v>
      </c>
      <c r="B98" s="1" t="s">
        <v>1074</v>
      </c>
      <c r="C98" s="1" t="s">
        <v>1075</v>
      </c>
      <c r="D98" s="1" t="s">
        <v>70</v>
      </c>
      <c r="E98" s="2" t="s">
        <v>1076</v>
      </c>
      <c r="F98" s="1" t="s">
        <v>1077</v>
      </c>
      <c r="J98" s="1">
        <v>13.0</v>
      </c>
      <c r="K98" s="1" t="s">
        <v>94</v>
      </c>
      <c r="L98" s="1" t="s">
        <v>72</v>
      </c>
      <c r="M98" s="1" t="s">
        <v>73</v>
      </c>
      <c r="N98" s="1" t="s">
        <v>39</v>
      </c>
      <c r="O98" s="1">
        <v>-34.79532164</v>
      </c>
      <c r="Q98" s="1" t="s">
        <v>75</v>
      </c>
      <c r="R98" s="1" t="s">
        <v>1078</v>
      </c>
      <c r="W98" s="1" t="s">
        <v>1079</v>
      </c>
      <c r="X98" s="1" t="s">
        <v>77</v>
      </c>
      <c r="Y98" s="1" t="s">
        <v>78</v>
      </c>
      <c r="Z98" s="1" t="s">
        <v>1080</v>
      </c>
      <c r="AA98" s="1" t="s">
        <v>1081</v>
      </c>
      <c r="AB98" s="1" t="s">
        <v>1082</v>
      </c>
      <c r="AC98" s="1" t="s">
        <v>1083</v>
      </c>
      <c r="AE98" s="1" t="s">
        <v>83</v>
      </c>
      <c r="AF98" s="1" t="s">
        <v>84</v>
      </c>
      <c r="AG98" s="1" t="s">
        <v>84</v>
      </c>
      <c r="AL98" s="1" t="s">
        <v>84</v>
      </c>
      <c r="AY98" s="1" t="s">
        <v>85</v>
      </c>
      <c r="BD98" s="1" t="s">
        <v>84</v>
      </c>
      <c r="BK98" s="1" t="s">
        <v>86</v>
      </c>
      <c r="BL98" s="1" t="s">
        <v>86</v>
      </c>
      <c r="BM98" s="1" t="s">
        <v>86</v>
      </c>
      <c r="BN98" s="1" t="s">
        <v>1084</v>
      </c>
      <c r="BO98" s="1" t="s">
        <v>1085</v>
      </c>
      <c r="BP98" s="1" t="s">
        <v>1086</v>
      </c>
    </row>
    <row r="99">
      <c r="A99" s="1" t="s">
        <v>1087</v>
      </c>
      <c r="B99" s="1" t="s">
        <v>1088</v>
      </c>
      <c r="C99" s="1" t="s">
        <v>1089</v>
      </c>
      <c r="D99" s="1" t="s">
        <v>70</v>
      </c>
      <c r="E99" s="2" t="s">
        <v>1090</v>
      </c>
      <c r="F99" s="1" t="s">
        <v>1091</v>
      </c>
      <c r="J99" s="1">
        <v>12.0</v>
      </c>
      <c r="K99" s="1" t="s">
        <v>71</v>
      </c>
      <c r="L99" s="1" t="s">
        <v>72</v>
      </c>
      <c r="M99" s="1" t="s">
        <v>108</v>
      </c>
      <c r="N99" s="1" t="s">
        <v>109</v>
      </c>
      <c r="Q99" s="1" t="s">
        <v>75</v>
      </c>
      <c r="R99" s="1" t="s">
        <v>305</v>
      </c>
      <c r="X99" s="1" t="s">
        <v>77</v>
      </c>
      <c r="Y99" s="1" t="s">
        <v>138</v>
      </c>
      <c r="Z99" s="1" t="s">
        <v>1057</v>
      </c>
      <c r="AA99" s="1" t="s">
        <v>1092</v>
      </c>
      <c r="AB99" s="1" t="s">
        <v>1093</v>
      </c>
      <c r="AC99" s="1" t="s">
        <v>1094</v>
      </c>
      <c r="AE99" s="1" t="s">
        <v>83</v>
      </c>
      <c r="AH99" s="1" t="s">
        <v>84</v>
      </c>
      <c r="AI99" s="1" t="s">
        <v>84</v>
      </c>
      <c r="AJ99" s="1" t="s">
        <v>84</v>
      </c>
      <c r="BE99" s="1" t="s">
        <v>84</v>
      </c>
      <c r="BF99" s="1" t="s">
        <v>85</v>
      </c>
      <c r="BK99" s="1" t="s">
        <v>86</v>
      </c>
      <c r="BL99" s="1" t="s">
        <v>86</v>
      </c>
      <c r="BM99" s="1" t="s">
        <v>86</v>
      </c>
      <c r="BN99" s="1" t="s">
        <v>310</v>
      </c>
      <c r="BO99" s="1" t="s">
        <v>664</v>
      </c>
      <c r="BP99" s="1" t="s">
        <v>144</v>
      </c>
    </row>
    <row r="100">
      <c r="A100" s="1" t="s">
        <v>1095</v>
      </c>
      <c r="B100" s="1" t="s">
        <v>271</v>
      </c>
      <c r="C100" s="1" t="s">
        <v>1096</v>
      </c>
      <c r="D100" s="1" t="s">
        <v>92</v>
      </c>
      <c r="E100" s="2" t="s">
        <v>1097</v>
      </c>
      <c r="F100" s="1" t="s">
        <v>1098</v>
      </c>
      <c r="J100" s="1">
        <v>50.0</v>
      </c>
      <c r="K100" s="1" t="s">
        <v>71</v>
      </c>
      <c r="L100" s="1" t="s">
        <v>72</v>
      </c>
      <c r="M100" s="1" t="s">
        <v>73</v>
      </c>
      <c r="N100" s="1" t="s">
        <v>39</v>
      </c>
      <c r="O100" s="1">
        <v>-34.79532164</v>
      </c>
      <c r="Q100" s="1" t="s">
        <v>149</v>
      </c>
      <c r="R100" s="1" t="s">
        <v>137</v>
      </c>
      <c r="W100" s="1" t="s">
        <v>1079</v>
      </c>
      <c r="X100" s="1" t="s">
        <v>77</v>
      </c>
      <c r="Y100" s="1" t="s">
        <v>78</v>
      </c>
      <c r="Z100" s="1" t="s">
        <v>1099</v>
      </c>
      <c r="AA100" s="1" t="s">
        <v>1100</v>
      </c>
      <c r="AB100" s="1" t="s">
        <v>1101</v>
      </c>
      <c r="AC100" s="1" t="s">
        <v>1102</v>
      </c>
      <c r="AE100" s="1" t="s">
        <v>83</v>
      </c>
      <c r="AF100" s="1" t="s">
        <v>84</v>
      </c>
      <c r="AG100" s="1" t="s">
        <v>85</v>
      </c>
      <c r="AJ100" s="1" t="s">
        <v>84</v>
      </c>
      <c r="AM100" s="1" t="s">
        <v>84</v>
      </c>
      <c r="AN100" s="1" t="s">
        <v>85</v>
      </c>
      <c r="AS100" s="1" t="s">
        <v>84</v>
      </c>
      <c r="AZ100" s="1" t="s">
        <v>85</v>
      </c>
      <c r="BA100" s="1" t="s">
        <v>85</v>
      </c>
      <c r="BK100" s="1" t="s">
        <v>86</v>
      </c>
      <c r="BM100" s="1" t="s">
        <v>86</v>
      </c>
      <c r="BN100" s="1" t="s">
        <v>137</v>
      </c>
      <c r="BO100" s="1" t="s">
        <v>137</v>
      </c>
      <c r="BP100" s="1" t="s">
        <v>1103</v>
      </c>
    </row>
    <row r="101">
      <c r="A101" s="1" t="s">
        <v>1104</v>
      </c>
      <c r="B101" s="1" t="s">
        <v>1105</v>
      </c>
      <c r="C101" s="1" t="s">
        <v>1106</v>
      </c>
      <c r="D101" s="1" t="s">
        <v>70</v>
      </c>
      <c r="E101" s="2" t="s">
        <v>1107</v>
      </c>
      <c r="F101" s="1" t="s">
        <v>1108</v>
      </c>
      <c r="J101" s="1">
        <v>15.0</v>
      </c>
      <c r="K101" s="1" t="s">
        <v>1109</v>
      </c>
      <c r="L101" s="1" t="s">
        <v>72</v>
      </c>
      <c r="M101" s="1" t="s">
        <v>73</v>
      </c>
      <c r="N101" s="1" t="s">
        <v>36</v>
      </c>
      <c r="Q101" s="1" t="s">
        <v>75</v>
      </c>
      <c r="R101" s="1" t="s">
        <v>956</v>
      </c>
      <c r="X101" s="1" t="s">
        <v>77</v>
      </c>
      <c r="Y101" s="1" t="s">
        <v>78</v>
      </c>
      <c r="Z101" s="1" t="s">
        <v>1110</v>
      </c>
      <c r="AA101" s="1" t="s">
        <v>1111</v>
      </c>
      <c r="AB101" s="1" t="s">
        <v>1112</v>
      </c>
      <c r="AC101" s="1" t="s">
        <v>1113</v>
      </c>
      <c r="AE101" s="1" t="s">
        <v>83</v>
      </c>
      <c r="AF101" s="1" t="s">
        <v>84</v>
      </c>
      <c r="AG101" s="1" t="s">
        <v>84</v>
      </c>
      <c r="AK101" s="1" t="s">
        <v>84</v>
      </c>
      <c r="BD101" s="1" t="s">
        <v>84</v>
      </c>
      <c r="BK101" s="1" t="s">
        <v>86</v>
      </c>
      <c r="BL101" s="1" t="s">
        <v>86</v>
      </c>
      <c r="BM101" s="1" t="s">
        <v>86</v>
      </c>
      <c r="BN101" s="1" t="s">
        <v>811</v>
      </c>
      <c r="BO101" s="1" t="s">
        <v>517</v>
      </c>
      <c r="BP101" s="1" t="s">
        <v>929</v>
      </c>
    </row>
    <row r="102">
      <c r="A102" s="1" t="s">
        <v>1114</v>
      </c>
      <c r="B102" s="1" t="s">
        <v>1115</v>
      </c>
      <c r="C102" s="1" t="s">
        <v>1116</v>
      </c>
      <c r="D102" s="1" t="s">
        <v>70</v>
      </c>
      <c r="E102" s="2" t="s">
        <v>1117</v>
      </c>
      <c r="F102" s="1" t="s">
        <v>1098</v>
      </c>
      <c r="J102" s="1">
        <v>20.0</v>
      </c>
      <c r="K102" s="1" t="s">
        <v>630</v>
      </c>
      <c r="L102" s="1" t="s">
        <v>72</v>
      </c>
      <c r="M102" s="1" t="s">
        <v>73</v>
      </c>
      <c r="N102" s="1" t="s">
        <v>39</v>
      </c>
      <c r="Q102" s="1" t="s">
        <v>149</v>
      </c>
      <c r="R102" s="1" t="s">
        <v>1045</v>
      </c>
      <c r="X102" s="1" t="s">
        <v>77</v>
      </c>
      <c r="Y102" s="1" t="s">
        <v>78</v>
      </c>
      <c r="Z102" s="1" t="s">
        <v>1118</v>
      </c>
      <c r="AA102" s="1" t="s">
        <v>1119</v>
      </c>
      <c r="AB102" s="1" t="s">
        <v>1120</v>
      </c>
      <c r="AC102" s="1" t="s">
        <v>1121</v>
      </c>
      <c r="AE102" s="1" t="s">
        <v>83</v>
      </c>
      <c r="AM102" s="1" t="s">
        <v>85</v>
      </c>
      <c r="AN102" s="1" t="s">
        <v>84</v>
      </c>
      <c r="AU102" s="1" t="s">
        <v>84</v>
      </c>
      <c r="BA102" s="1" t="s">
        <v>84</v>
      </c>
      <c r="BJ102" s="1" t="s">
        <v>84</v>
      </c>
      <c r="BK102" s="1" t="s">
        <v>86</v>
      </c>
      <c r="BL102" s="1" t="s">
        <v>86</v>
      </c>
      <c r="BM102" s="1" t="s">
        <v>86</v>
      </c>
      <c r="BN102" s="1" t="s">
        <v>1050</v>
      </c>
      <c r="BO102" s="1" t="s">
        <v>1122</v>
      </c>
      <c r="BP102" s="1" t="s">
        <v>1123</v>
      </c>
    </row>
    <row r="103">
      <c r="A103" s="1" t="s">
        <v>1124</v>
      </c>
      <c r="B103" s="1" t="s">
        <v>1125</v>
      </c>
      <c r="C103" s="1" t="s">
        <v>1126</v>
      </c>
      <c r="D103" s="1" t="s">
        <v>70</v>
      </c>
      <c r="E103" s="2" t="s">
        <v>1127</v>
      </c>
      <c r="F103" s="1" t="s">
        <v>1128</v>
      </c>
      <c r="J103" s="1">
        <v>15.0</v>
      </c>
      <c r="K103" s="1" t="s">
        <v>94</v>
      </c>
      <c r="L103" s="1" t="s">
        <v>72</v>
      </c>
      <c r="M103" s="1" t="s">
        <v>73</v>
      </c>
      <c r="N103" s="1" t="s">
        <v>39</v>
      </c>
      <c r="Q103" s="1" t="s">
        <v>75</v>
      </c>
      <c r="R103" s="1" t="s">
        <v>1129</v>
      </c>
      <c r="W103" s="1" t="s">
        <v>1130</v>
      </c>
      <c r="X103" s="1" t="s">
        <v>77</v>
      </c>
      <c r="Y103" s="1" t="s">
        <v>78</v>
      </c>
      <c r="Z103" s="1" t="s">
        <v>1110</v>
      </c>
      <c r="AA103" s="1" t="s">
        <v>1131</v>
      </c>
      <c r="AB103" s="1" t="s">
        <v>1132</v>
      </c>
      <c r="AC103" s="1" t="s">
        <v>1133</v>
      </c>
      <c r="AE103" s="1" t="s">
        <v>83</v>
      </c>
      <c r="AF103" s="1" t="s">
        <v>84</v>
      </c>
      <c r="AG103" s="1" t="s">
        <v>84</v>
      </c>
      <c r="BD103" s="1" t="s">
        <v>84</v>
      </c>
      <c r="BK103" s="1" t="s">
        <v>86</v>
      </c>
      <c r="BL103" s="1" t="s">
        <v>86</v>
      </c>
      <c r="BM103" s="1" t="s">
        <v>86</v>
      </c>
      <c r="BN103" s="1" t="s">
        <v>1134</v>
      </c>
      <c r="BO103" s="1" t="s">
        <v>517</v>
      </c>
      <c r="BP103" s="1" t="s">
        <v>1135</v>
      </c>
    </row>
    <row r="104">
      <c r="A104" s="1" t="s">
        <v>1136</v>
      </c>
      <c r="B104" s="1" t="s">
        <v>1137</v>
      </c>
      <c r="C104" s="1" t="s">
        <v>1138</v>
      </c>
      <c r="D104" s="1" t="s">
        <v>70</v>
      </c>
      <c r="E104" s="2" t="s">
        <v>1139</v>
      </c>
      <c r="F104" s="1" t="s">
        <v>1140</v>
      </c>
      <c r="J104" s="1">
        <v>22.0</v>
      </c>
      <c r="K104" s="1" t="s">
        <v>71</v>
      </c>
      <c r="L104" s="1" t="s">
        <v>72</v>
      </c>
      <c r="M104" s="1" t="s">
        <v>108</v>
      </c>
      <c r="N104" s="1" t="s">
        <v>109</v>
      </c>
      <c r="Q104" s="1" t="s">
        <v>110</v>
      </c>
      <c r="R104" s="1" t="s">
        <v>1045</v>
      </c>
      <c r="X104" s="1" t="s">
        <v>77</v>
      </c>
      <c r="Y104" s="1" t="s">
        <v>78</v>
      </c>
      <c r="Z104" s="1" t="s">
        <v>1118</v>
      </c>
      <c r="AA104" s="1" t="s">
        <v>1141</v>
      </c>
      <c r="AB104" s="1" t="s">
        <v>1142</v>
      </c>
      <c r="AC104" s="1" t="s">
        <v>1143</v>
      </c>
      <c r="AE104" s="1" t="s">
        <v>83</v>
      </c>
      <c r="AH104" s="1" t="s">
        <v>84</v>
      </c>
      <c r="AI104" s="1" t="s">
        <v>84</v>
      </c>
      <c r="AJ104" s="1" t="s">
        <v>84</v>
      </c>
      <c r="BE104" s="1" t="s">
        <v>84</v>
      </c>
      <c r="BK104" s="1" t="s">
        <v>86</v>
      </c>
      <c r="BL104" s="1" t="s">
        <v>86</v>
      </c>
      <c r="BN104" s="1" t="s">
        <v>1050</v>
      </c>
      <c r="BO104" s="1" t="s">
        <v>1051</v>
      </c>
      <c r="BP104" s="1" t="s">
        <v>536</v>
      </c>
    </row>
    <row r="105">
      <c r="A105" s="1" t="s">
        <v>1144</v>
      </c>
      <c r="B105" s="1" t="s">
        <v>1145</v>
      </c>
      <c r="C105" s="1" t="s">
        <v>1146</v>
      </c>
      <c r="D105" s="1" t="s">
        <v>92</v>
      </c>
      <c r="E105" s="2" t="s">
        <v>1147</v>
      </c>
      <c r="J105" s="1">
        <v>30.0</v>
      </c>
      <c r="K105" s="1" t="s">
        <v>71</v>
      </c>
      <c r="L105" s="1" t="s">
        <v>72</v>
      </c>
      <c r="M105" s="1" t="s">
        <v>73</v>
      </c>
      <c r="N105" s="1" t="s">
        <v>74</v>
      </c>
      <c r="Q105" s="1" t="s">
        <v>149</v>
      </c>
      <c r="W105" s="1" t="s">
        <v>1130</v>
      </c>
      <c r="X105" s="1" t="s">
        <v>77</v>
      </c>
      <c r="Y105" s="1" t="s">
        <v>138</v>
      </c>
      <c r="Z105" s="1" t="s">
        <v>1148</v>
      </c>
      <c r="AA105" s="1" t="s">
        <v>1149</v>
      </c>
      <c r="AB105" s="1" t="s">
        <v>1150</v>
      </c>
      <c r="AC105" s="1" t="s">
        <v>1151</v>
      </c>
      <c r="AE105" s="1" t="s">
        <v>83</v>
      </c>
      <c r="AF105" s="1" t="s">
        <v>85</v>
      </c>
      <c r="AK105" s="1" t="s">
        <v>85</v>
      </c>
      <c r="AN105" s="1" t="s">
        <v>1152</v>
      </c>
      <c r="AS105" s="1" t="s">
        <v>84</v>
      </c>
      <c r="AT105" s="1" t="s">
        <v>85</v>
      </c>
      <c r="AW105" s="1" t="s">
        <v>84</v>
      </c>
      <c r="BA105" s="1" t="s">
        <v>84</v>
      </c>
      <c r="BC105" s="1" t="s">
        <v>85</v>
      </c>
      <c r="BM105" s="1" t="s">
        <v>86</v>
      </c>
      <c r="BP105" s="1" t="s">
        <v>1153</v>
      </c>
    </row>
    <row r="106">
      <c r="A106" s="1" t="s">
        <v>1154</v>
      </c>
      <c r="B106" s="1" t="s">
        <v>1155</v>
      </c>
      <c r="C106" s="1" t="s">
        <v>1156</v>
      </c>
      <c r="D106" s="1" t="s">
        <v>70</v>
      </c>
      <c r="E106" s="2" t="s">
        <v>1157</v>
      </c>
      <c r="F106" s="1" t="s">
        <v>1158</v>
      </c>
      <c r="J106" s="1">
        <v>13.0</v>
      </c>
      <c r="K106" s="1" t="s">
        <v>94</v>
      </c>
      <c r="L106" s="1" t="s">
        <v>72</v>
      </c>
      <c r="M106" s="1" t="s">
        <v>73</v>
      </c>
      <c r="N106" s="1" t="s">
        <v>36</v>
      </c>
      <c r="O106" s="1">
        <v>-23.36244541</v>
      </c>
      <c r="Q106" s="1" t="s">
        <v>75</v>
      </c>
      <c r="R106" s="1" t="s">
        <v>806</v>
      </c>
      <c r="X106" s="1" t="s">
        <v>77</v>
      </c>
      <c r="Y106" s="1" t="s">
        <v>78</v>
      </c>
      <c r="Z106" s="1" t="s">
        <v>1159</v>
      </c>
      <c r="AA106" s="1" t="s">
        <v>1160</v>
      </c>
      <c r="AB106" s="1" t="s">
        <v>1161</v>
      </c>
      <c r="AC106" s="1" t="s">
        <v>1162</v>
      </c>
      <c r="AE106" s="1" t="s">
        <v>83</v>
      </c>
      <c r="AF106" s="1" t="s">
        <v>84</v>
      </c>
      <c r="AG106" s="1" t="s">
        <v>84</v>
      </c>
      <c r="AK106" s="1" t="s">
        <v>84</v>
      </c>
      <c r="BD106" s="1" t="s">
        <v>84</v>
      </c>
      <c r="BK106" s="1" t="s">
        <v>86</v>
      </c>
      <c r="BL106" s="1" t="s">
        <v>86</v>
      </c>
      <c r="BM106" s="1" t="s">
        <v>86</v>
      </c>
      <c r="BN106" s="1" t="s">
        <v>811</v>
      </c>
      <c r="BO106" s="1" t="s">
        <v>517</v>
      </c>
      <c r="BP106" s="1" t="s">
        <v>536</v>
      </c>
    </row>
    <row r="107">
      <c r="A107" s="1" t="s">
        <v>1163</v>
      </c>
      <c r="B107" s="1" t="s">
        <v>1164</v>
      </c>
      <c r="C107" s="1" t="s">
        <v>1165</v>
      </c>
      <c r="D107" s="1" t="s">
        <v>92</v>
      </c>
      <c r="E107" s="2" t="s">
        <v>1166</v>
      </c>
      <c r="J107" s="1">
        <v>25.0</v>
      </c>
      <c r="K107" s="1" t="s">
        <v>272</v>
      </c>
      <c r="L107" s="1" t="s">
        <v>72</v>
      </c>
      <c r="M107" s="1" t="s">
        <v>108</v>
      </c>
      <c r="N107" s="1" t="s">
        <v>1167</v>
      </c>
      <c r="O107" s="1">
        <v>8.849557522</v>
      </c>
      <c r="Q107" s="1" t="s">
        <v>149</v>
      </c>
      <c r="R107" s="1" t="s">
        <v>137</v>
      </c>
      <c r="W107" s="1" t="s">
        <v>1168</v>
      </c>
      <c r="X107" s="1" t="s">
        <v>77</v>
      </c>
      <c r="Y107" s="1" t="s">
        <v>138</v>
      </c>
      <c r="Z107" s="1" t="s">
        <v>1169</v>
      </c>
      <c r="AA107" s="1" t="s">
        <v>1170</v>
      </c>
      <c r="AB107" s="1" t="s">
        <v>1171</v>
      </c>
      <c r="AC107" s="1" t="s">
        <v>1172</v>
      </c>
      <c r="AE107" s="1" t="s">
        <v>83</v>
      </c>
      <c r="AH107" s="1" t="s">
        <v>84</v>
      </c>
      <c r="AI107" s="1" t="s">
        <v>84</v>
      </c>
      <c r="AJ107" s="1" t="s">
        <v>85</v>
      </c>
      <c r="AS107" s="1" t="s">
        <v>85</v>
      </c>
      <c r="AT107" s="1" t="s">
        <v>84</v>
      </c>
      <c r="BE107" s="1" t="s">
        <v>85</v>
      </c>
      <c r="BK107" s="1" t="s">
        <v>86</v>
      </c>
      <c r="BN107" s="1" t="s">
        <v>137</v>
      </c>
      <c r="BO107" s="1" t="s">
        <v>137</v>
      </c>
      <c r="BP107" s="1" t="s">
        <v>254</v>
      </c>
    </row>
    <row r="108">
      <c r="A108" s="1" t="s">
        <v>1173</v>
      </c>
      <c r="B108" s="1" t="s">
        <v>1174</v>
      </c>
      <c r="C108" s="1" t="s">
        <v>1175</v>
      </c>
      <c r="D108" s="1" t="s">
        <v>92</v>
      </c>
      <c r="E108" s="2" t="s">
        <v>1176</v>
      </c>
      <c r="F108" s="1" t="s">
        <v>1177</v>
      </c>
      <c r="J108" s="1">
        <v>47.0</v>
      </c>
      <c r="K108" s="1" t="s">
        <v>123</v>
      </c>
      <c r="L108" s="1" t="s">
        <v>72</v>
      </c>
      <c r="M108" s="1" t="s">
        <v>73</v>
      </c>
      <c r="N108" s="1" t="s">
        <v>1178</v>
      </c>
      <c r="O108" s="1">
        <v>-23.36244541</v>
      </c>
      <c r="Q108" s="1" t="s">
        <v>75</v>
      </c>
      <c r="R108" s="1" t="s">
        <v>1179</v>
      </c>
      <c r="X108" s="1" t="s">
        <v>77</v>
      </c>
      <c r="Y108" s="1" t="s">
        <v>78</v>
      </c>
      <c r="Z108" s="1" t="s">
        <v>1180</v>
      </c>
      <c r="AA108" s="1" t="s">
        <v>1181</v>
      </c>
      <c r="AB108" s="1" t="s">
        <v>1182</v>
      </c>
      <c r="AC108" s="1" t="s">
        <v>1183</v>
      </c>
      <c r="AE108" s="1" t="s">
        <v>83</v>
      </c>
      <c r="AF108" s="1" t="s">
        <v>84</v>
      </c>
      <c r="AG108" s="1" t="s">
        <v>84</v>
      </c>
      <c r="AJ108" s="1" t="s">
        <v>84</v>
      </c>
      <c r="AM108" s="1" t="s">
        <v>84</v>
      </c>
      <c r="AN108" s="1" t="s">
        <v>84</v>
      </c>
      <c r="AP108" s="1" t="s">
        <v>84</v>
      </c>
      <c r="AS108" s="1" t="s">
        <v>84</v>
      </c>
      <c r="AZ108" s="1" t="s">
        <v>84</v>
      </c>
      <c r="BA108" s="1" t="s">
        <v>84</v>
      </c>
      <c r="BD108" s="1" t="s">
        <v>85</v>
      </c>
      <c r="BI108" s="1" t="s">
        <v>84</v>
      </c>
      <c r="BK108" s="1" t="s">
        <v>86</v>
      </c>
      <c r="BN108" s="1" t="s">
        <v>1184</v>
      </c>
      <c r="BO108" s="1" t="s">
        <v>1185</v>
      </c>
      <c r="BP108" s="1" t="s">
        <v>1186</v>
      </c>
    </row>
    <row r="109">
      <c r="A109" s="1" t="s">
        <v>1187</v>
      </c>
      <c r="B109" s="1" t="s">
        <v>1188</v>
      </c>
      <c r="C109" s="1" t="s">
        <v>1189</v>
      </c>
      <c r="D109" s="1" t="s">
        <v>92</v>
      </c>
      <c r="E109" s="2" t="s">
        <v>1190</v>
      </c>
      <c r="F109" s="1" t="s">
        <v>1191</v>
      </c>
      <c r="J109" s="1">
        <v>57.0</v>
      </c>
      <c r="K109" s="1" t="s">
        <v>71</v>
      </c>
      <c r="L109" s="1" t="s">
        <v>72</v>
      </c>
      <c r="M109" s="1" t="s">
        <v>73</v>
      </c>
      <c r="N109" s="1" t="s">
        <v>43</v>
      </c>
      <c r="O109" s="1">
        <v>8.849557522</v>
      </c>
      <c r="Q109" s="1" t="s">
        <v>260</v>
      </c>
      <c r="R109" s="1" t="s">
        <v>137</v>
      </c>
      <c r="W109" s="1" t="s">
        <v>1168</v>
      </c>
      <c r="X109" s="1" t="s">
        <v>77</v>
      </c>
      <c r="Y109" s="1" t="s">
        <v>138</v>
      </c>
      <c r="Z109" s="1" t="s">
        <v>1192</v>
      </c>
      <c r="AA109" s="1" t="s">
        <v>1193</v>
      </c>
      <c r="AB109" s="1" t="s">
        <v>1194</v>
      </c>
      <c r="AC109" s="1" t="s">
        <v>1195</v>
      </c>
      <c r="AE109" s="1" t="s">
        <v>83</v>
      </c>
      <c r="AF109" s="1" t="s">
        <v>85</v>
      </c>
      <c r="AN109" s="1" t="s">
        <v>85</v>
      </c>
      <c r="AS109" s="1" t="s">
        <v>84</v>
      </c>
      <c r="BA109" s="1" t="s">
        <v>85</v>
      </c>
      <c r="BI109" s="1" t="s">
        <v>84</v>
      </c>
      <c r="BK109" s="1" t="s">
        <v>86</v>
      </c>
      <c r="BM109" s="1" t="s">
        <v>86</v>
      </c>
      <c r="BN109" s="1" t="s">
        <v>137</v>
      </c>
      <c r="BO109" s="1" t="s">
        <v>137</v>
      </c>
      <c r="BP109" s="1" t="s">
        <v>254</v>
      </c>
    </row>
    <row r="110">
      <c r="A110" s="1" t="s">
        <v>1196</v>
      </c>
      <c r="B110" s="1" t="s">
        <v>1197</v>
      </c>
      <c r="C110" s="1" t="s">
        <v>1198</v>
      </c>
      <c r="D110" s="1" t="s">
        <v>70</v>
      </c>
      <c r="E110" s="2" t="s">
        <v>1199</v>
      </c>
      <c r="F110" s="1" t="s">
        <v>1200</v>
      </c>
      <c r="J110" s="1">
        <v>10.0</v>
      </c>
      <c r="K110" s="1" t="s">
        <v>1201</v>
      </c>
      <c r="L110" s="1" t="s">
        <v>72</v>
      </c>
      <c r="M110" s="1" t="s">
        <v>73</v>
      </c>
      <c r="N110" s="1" t="s">
        <v>39</v>
      </c>
      <c r="Q110" s="1" t="s">
        <v>75</v>
      </c>
      <c r="R110" s="1" t="s">
        <v>1078</v>
      </c>
      <c r="X110" s="1" t="s">
        <v>77</v>
      </c>
      <c r="Y110" s="1" t="s">
        <v>78</v>
      </c>
      <c r="Z110" s="1" t="s">
        <v>1080</v>
      </c>
      <c r="AA110" s="1" t="s">
        <v>1202</v>
      </c>
      <c r="AB110" s="1" t="s">
        <v>1203</v>
      </c>
      <c r="AC110" s="1" t="s">
        <v>1204</v>
      </c>
      <c r="AE110" s="1" t="s">
        <v>83</v>
      </c>
      <c r="AF110" s="1" t="s">
        <v>84</v>
      </c>
      <c r="AG110" s="1" t="s">
        <v>84</v>
      </c>
      <c r="AL110" s="1" t="s">
        <v>84</v>
      </c>
      <c r="AY110" s="1" t="s">
        <v>85</v>
      </c>
      <c r="BD110" s="1" t="s">
        <v>84</v>
      </c>
      <c r="BK110" s="1" t="s">
        <v>86</v>
      </c>
      <c r="BL110" s="1" t="s">
        <v>86</v>
      </c>
      <c r="BM110" s="1" t="s">
        <v>86</v>
      </c>
      <c r="BN110" s="1" t="s">
        <v>1205</v>
      </c>
      <c r="BO110" s="1" t="s">
        <v>1206</v>
      </c>
      <c r="BP110" s="1" t="s">
        <v>1186</v>
      </c>
    </row>
    <row r="111">
      <c r="A111" s="1" t="s">
        <v>1207</v>
      </c>
      <c r="B111" s="1" t="s">
        <v>1208</v>
      </c>
      <c r="C111" s="1" t="s">
        <v>1209</v>
      </c>
      <c r="D111" s="1" t="s">
        <v>70</v>
      </c>
      <c r="E111" s="2" t="s">
        <v>1210</v>
      </c>
      <c r="F111" s="1" t="s">
        <v>1191</v>
      </c>
      <c r="J111" s="1">
        <v>16.0</v>
      </c>
      <c r="K111" s="1" t="s">
        <v>71</v>
      </c>
      <c r="L111" s="1" t="s">
        <v>72</v>
      </c>
      <c r="M111" s="1" t="s">
        <v>108</v>
      </c>
      <c r="N111" s="1" t="s">
        <v>109</v>
      </c>
      <c r="Q111" s="1" t="s">
        <v>75</v>
      </c>
      <c r="R111" s="1" t="s">
        <v>1067</v>
      </c>
      <c r="X111" s="1" t="s">
        <v>77</v>
      </c>
      <c r="Y111" s="1" t="s">
        <v>78</v>
      </c>
      <c r="Z111" s="1" t="s">
        <v>1211</v>
      </c>
      <c r="AA111" s="1" t="s">
        <v>1212</v>
      </c>
      <c r="AB111" s="1" t="s">
        <v>1213</v>
      </c>
      <c r="AC111" s="1" t="s">
        <v>1214</v>
      </c>
      <c r="AE111" s="1" t="s">
        <v>83</v>
      </c>
      <c r="AH111" s="1" t="s">
        <v>84</v>
      </c>
      <c r="AI111" s="1" t="s">
        <v>84</v>
      </c>
      <c r="AJ111" s="1" t="s">
        <v>84</v>
      </c>
      <c r="BE111" s="1" t="s">
        <v>84</v>
      </c>
      <c r="BK111" s="1" t="s">
        <v>86</v>
      </c>
      <c r="BL111" s="1" t="s">
        <v>86</v>
      </c>
      <c r="BM111" s="1" t="s">
        <v>86</v>
      </c>
      <c r="BN111" s="1" t="s">
        <v>1071</v>
      </c>
      <c r="BO111" s="1" t="s">
        <v>1072</v>
      </c>
      <c r="BP111" s="1" t="s">
        <v>1052</v>
      </c>
    </row>
    <row r="112">
      <c r="A112" s="1" t="s">
        <v>1215</v>
      </c>
      <c r="B112" s="1" t="s">
        <v>1216</v>
      </c>
      <c r="C112" s="1" t="s">
        <v>1217</v>
      </c>
      <c r="D112" s="1" t="s">
        <v>92</v>
      </c>
      <c r="E112" s="2" t="s">
        <v>1218</v>
      </c>
      <c r="J112" s="1">
        <v>30.0</v>
      </c>
      <c r="K112" s="1" t="s">
        <v>630</v>
      </c>
      <c r="L112" s="1" t="s">
        <v>72</v>
      </c>
      <c r="M112" s="1" t="s">
        <v>108</v>
      </c>
      <c r="N112" s="1" t="s">
        <v>1219</v>
      </c>
      <c r="Q112" s="1" t="s">
        <v>149</v>
      </c>
      <c r="X112" s="1" t="s">
        <v>77</v>
      </c>
      <c r="Y112" s="1" t="s">
        <v>78</v>
      </c>
      <c r="AA112" s="1" t="s">
        <v>1220</v>
      </c>
      <c r="AB112" s="1" t="s">
        <v>1221</v>
      </c>
      <c r="AC112" s="1" t="s">
        <v>1222</v>
      </c>
      <c r="AE112" s="1" t="s">
        <v>83</v>
      </c>
      <c r="AH112" s="1" t="s">
        <v>84</v>
      </c>
      <c r="AJ112" s="1" t="s">
        <v>84</v>
      </c>
      <c r="AM112" s="1" t="s">
        <v>85</v>
      </c>
      <c r="AT112" s="1" t="s">
        <v>85</v>
      </c>
      <c r="BK112" s="1" t="s">
        <v>86</v>
      </c>
      <c r="BM112" s="1" t="s">
        <v>86</v>
      </c>
      <c r="BO112" s="1" t="s">
        <v>1223</v>
      </c>
      <c r="BP112" s="1" t="s">
        <v>1224</v>
      </c>
    </row>
    <row r="113">
      <c r="A113" s="1" t="s">
        <v>1225</v>
      </c>
      <c r="B113" s="1" t="s">
        <v>1226</v>
      </c>
      <c r="C113" s="1" t="s">
        <v>1227</v>
      </c>
      <c r="D113" s="1" t="s">
        <v>70</v>
      </c>
      <c r="E113" s="2" t="s">
        <v>1228</v>
      </c>
      <c r="F113" s="1" t="s">
        <v>1229</v>
      </c>
      <c r="J113" s="1">
        <v>15.0</v>
      </c>
      <c r="K113" s="1" t="s">
        <v>630</v>
      </c>
      <c r="L113" s="1" t="s">
        <v>72</v>
      </c>
      <c r="M113" s="1" t="s">
        <v>73</v>
      </c>
      <c r="N113" s="1" t="s">
        <v>37</v>
      </c>
      <c r="Q113" s="1" t="s">
        <v>149</v>
      </c>
      <c r="X113" s="1" t="s">
        <v>77</v>
      </c>
      <c r="Y113" s="1" t="s">
        <v>138</v>
      </c>
      <c r="Z113" s="1" t="s">
        <v>1230</v>
      </c>
      <c r="AA113" s="1" t="s">
        <v>1231</v>
      </c>
      <c r="AB113" s="1" t="s">
        <v>1232</v>
      </c>
      <c r="AC113" s="1" t="s">
        <v>1233</v>
      </c>
      <c r="AE113" s="1" t="s">
        <v>83</v>
      </c>
      <c r="AF113" s="1" t="s">
        <v>84</v>
      </c>
      <c r="AG113" s="1" t="s">
        <v>84</v>
      </c>
      <c r="AL113" s="1" t="s">
        <v>84</v>
      </c>
      <c r="AN113" s="1" t="s">
        <v>84</v>
      </c>
      <c r="AS113" s="1" t="s">
        <v>85</v>
      </c>
      <c r="AU113" s="1" t="s">
        <v>85</v>
      </c>
      <c r="AY113" s="1" t="s">
        <v>85</v>
      </c>
      <c r="BA113" s="1" t="s">
        <v>84</v>
      </c>
      <c r="BJ113" s="1" t="s">
        <v>85</v>
      </c>
      <c r="BK113" s="1" t="s">
        <v>86</v>
      </c>
      <c r="BL113" s="1" t="s">
        <v>86</v>
      </c>
      <c r="BM113" s="1" t="s">
        <v>86</v>
      </c>
      <c r="BN113" s="1" t="s">
        <v>1234</v>
      </c>
      <c r="BO113" s="1" t="s">
        <v>1235</v>
      </c>
      <c r="BP113" s="1" t="s">
        <v>1236</v>
      </c>
    </row>
    <row r="114">
      <c r="A114" s="1" t="s">
        <v>1237</v>
      </c>
      <c r="B114" s="1" t="s">
        <v>1238</v>
      </c>
      <c r="C114" s="1" t="s">
        <v>1239</v>
      </c>
      <c r="D114" s="1" t="s">
        <v>70</v>
      </c>
      <c r="E114" s="2" t="s">
        <v>1240</v>
      </c>
      <c r="F114" s="1" t="s">
        <v>1241</v>
      </c>
      <c r="J114" s="1">
        <v>13.0</v>
      </c>
      <c r="K114" s="1" t="s">
        <v>630</v>
      </c>
      <c r="L114" s="1" t="s">
        <v>72</v>
      </c>
      <c r="N114" s="1" t="s">
        <v>880</v>
      </c>
      <c r="Q114" s="1" t="s">
        <v>149</v>
      </c>
      <c r="X114" s="1" t="s">
        <v>77</v>
      </c>
      <c r="Y114" s="1" t="s">
        <v>138</v>
      </c>
      <c r="Z114" s="1" t="s">
        <v>1242</v>
      </c>
      <c r="AA114" s="1" t="s">
        <v>883</v>
      </c>
      <c r="AB114" s="1" t="s">
        <v>1243</v>
      </c>
      <c r="AC114" s="1" t="s">
        <v>1244</v>
      </c>
      <c r="AE114" s="1" t="s">
        <v>83</v>
      </c>
      <c r="BK114" s="1" t="s">
        <v>86</v>
      </c>
      <c r="BL114" s="1" t="s">
        <v>86</v>
      </c>
      <c r="BM114" s="1" t="s">
        <v>86</v>
      </c>
      <c r="BN114" s="1" t="s">
        <v>886</v>
      </c>
      <c r="BO114" s="1" t="s">
        <v>887</v>
      </c>
      <c r="BP114" s="1" t="s">
        <v>1245</v>
      </c>
    </row>
    <row r="115">
      <c r="A115" s="1" t="s">
        <v>1246</v>
      </c>
      <c r="B115" s="1" t="s">
        <v>1247</v>
      </c>
      <c r="C115" s="1" t="s">
        <v>1248</v>
      </c>
      <c r="D115" s="1" t="s">
        <v>92</v>
      </c>
      <c r="E115" s="2" t="s">
        <v>1249</v>
      </c>
      <c r="J115" s="1">
        <v>20.0</v>
      </c>
      <c r="K115" s="1" t="s">
        <v>71</v>
      </c>
      <c r="L115" s="1" t="s">
        <v>72</v>
      </c>
      <c r="N115" s="1" t="s">
        <v>1250</v>
      </c>
      <c r="Q115" s="1" t="s">
        <v>110</v>
      </c>
      <c r="R115" s="1" t="s">
        <v>1251</v>
      </c>
      <c r="W115" s="1" t="s">
        <v>1252</v>
      </c>
      <c r="X115" s="1" t="s">
        <v>77</v>
      </c>
      <c r="Y115" s="1" t="s">
        <v>78</v>
      </c>
      <c r="AA115" s="1" t="s">
        <v>1253</v>
      </c>
      <c r="AB115" s="1" t="s">
        <v>1254</v>
      </c>
      <c r="AC115" s="1" t="s">
        <v>1255</v>
      </c>
      <c r="AE115" s="1" t="s">
        <v>83</v>
      </c>
      <c r="AR115" s="1" t="s">
        <v>85</v>
      </c>
      <c r="BF115" s="1" t="s">
        <v>84</v>
      </c>
      <c r="BK115" s="1" t="s">
        <v>86</v>
      </c>
      <c r="BM115" s="1" t="s">
        <v>86</v>
      </c>
      <c r="BN115" s="1" t="s">
        <v>1256</v>
      </c>
      <c r="BO115" s="1" t="s">
        <v>1257</v>
      </c>
      <c r="BP115" s="1" t="s">
        <v>1258</v>
      </c>
    </row>
    <row r="116">
      <c r="A116" s="1" t="s">
        <v>1259</v>
      </c>
      <c r="B116" s="1" t="s">
        <v>1260</v>
      </c>
      <c r="C116" s="1" t="s">
        <v>1261</v>
      </c>
      <c r="D116" s="1" t="s">
        <v>92</v>
      </c>
      <c r="E116" s="2" t="s">
        <v>1262</v>
      </c>
      <c r="J116" s="1">
        <v>22.0</v>
      </c>
      <c r="K116" s="1" t="s">
        <v>71</v>
      </c>
      <c r="L116" s="1" t="s">
        <v>72</v>
      </c>
      <c r="M116" s="1" t="s">
        <v>108</v>
      </c>
      <c r="N116" s="1" t="s">
        <v>869</v>
      </c>
      <c r="Q116" s="1" t="s">
        <v>75</v>
      </c>
      <c r="R116" s="1" t="s">
        <v>1263</v>
      </c>
      <c r="X116" s="1" t="s">
        <v>77</v>
      </c>
      <c r="Y116" s="1" t="s">
        <v>138</v>
      </c>
      <c r="Z116" s="1" t="s">
        <v>1264</v>
      </c>
      <c r="AA116" s="1" t="s">
        <v>1265</v>
      </c>
      <c r="AB116" s="1" t="s">
        <v>1266</v>
      </c>
      <c r="AC116" s="1" t="s">
        <v>1267</v>
      </c>
      <c r="AE116" s="1" t="s">
        <v>83</v>
      </c>
      <c r="AH116" s="1" t="s">
        <v>84</v>
      </c>
      <c r="AI116" s="1" t="s">
        <v>84</v>
      </c>
      <c r="AM116" s="1" t="s">
        <v>85</v>
      </c>
      <c r="AT116" s="1" t="s">
        <v>84</v>
      </c>
      <c r="BE116" s="1" t="s">
        <v>84</v>
      </c>
      <c r="BK116" s="1" t="s">
        <v>86</v>
      </c>
      <c r="BM116" s="1" t="s">
        <v>86</v>
      </c>
      <c r="BN116" s="1" t="s">
        <v>1268</v>
      </c>
      <c r="BP116" s="1" t="s">
        <v>1269</v>
      </c>
    </row>
    <row r="117">
      <c r="A117" s="1" t="s">
        <v>1270</v>
      </c>
      <c r="B117" s="1" t="s">
        <v>1271</v>
      </c>
      <c r="C117" s="1" t="s">
        <v>1272</v>
      </c>
      <c r="D117" s="1" t="s">
        <v>70</v>
      </c>
      <c r="E117" s="2" t="s">
        <v>1262</v>
      </c>
      <c r="J117" s="1">
        <v>15.0</v>
      </c>
      <c r="K117" s="1" t="s">
        <v>71</v>
      </c>
      <c r="L117" s="1" t="s">
        <v>72</v>
      </c>
      <c r="M117" s="1" t="s">
        <v>73</v>
      </c>
      <c r="N117" s="1" t="s">
        <v>36</v>
      </c>
      <c r="Q117" s="1" t="s">
        <v>75</v>
      </c>
      <c r="R117" s="1" t="s">
        <v>137</v>
      </c>
      <c r="X117" s="1" t="s">
        <v>77</v>
      </c>
      <c r="Y117" s="1" t="s">
        <v>78</v>
      </c>
      <c r="Z117" s="1" t="s">
        <v>1264</v>
      </c>
      <c r="AA117" s="1" t="s">
        <v>1273</v>
      </c>
      <c r="AB117" s="1" t="s">
        <v>1274</v>
      </c>
      <c r="AC117" s="1" t="s">
        <v>1275</v>
      </c>
      <c r="AE117" s="1" t="s">
        <v>83</v>
      </c>
      <c r="AF117" s="1" t="s">
        <v>85</v>
      </c>
      <c r="AG117" s="1" t="s">
        <v>85</v>
      </c>
      <c r="AK117" s="1" t="s">
        <v>84</v>
      </c>
      <c r="BA117" s="1" t="s">
        <v>85</v>
      </c>
      <c r="BD117" s="1" t="s">
        <v>85</v>
      </c>
      <c r="BJ117" s="1" t="s">
        <v>84</v>
      </c>
      <c r="BK117" s="1" t="s">
        <v>86</v>
      </c>
      <c r="BL117" s="1" t="s">
        <v>86</v>
      </c>
      <c r="BN117" s="1" t="s">
        <v>1276</v>
      </c>
      <c r="BO117" s="1" t="s">
        <v>1277</v>
      </c>
      <c r="BP117" s="1" t="s">
        <v>1269</v>
      </c>
    </row>
    <row r="118">
      <c r="A118" s="1" t="s">
        <v>1278</v>
      </c>
      <c r="B118" s="1" t="s">
        <v>1279</v>
      </c>
      <c r="C118" s="1" t="s">
        <v>1280</v>
      </c>
      <c r="D118" s="1" t="s">
        <v>70</v>
      </c>
      <c r="J118" s="1">
        <v>25.0</v>
      </c>
      <c r="K118" s="1" t="s">
        <v>71</v>
      </c>
      <c r="L118" s="1" t="s">
        <v>72</v>
      </c>
      <c r="M118" s="1" t="s">
        <v>73</v>
      </c>
      <c r="N118" s="1" t="s">
        <v>1281</v>
      </c>
      <c r="Q118" s="1" t="s">
        <v>75</v>
      </c>
      <c r="R118" s="1" t="s">
        <v>137</v>
      </c>
      <c r="X118" s="1" t="s">
        <v>77</v>
      </c>
      <c r="Y118" s="1" t="s">
        <v>138</v>
      </c>
      <c r="Z118" s="1" t="s">
        <v>1180</v>
      </c>
      <c r="AA118" s="1" t="s">
        <v>1282</v>
      </c>
      <c r="AB118" s="1" t="s">
        <v>1283</v>
      </c>
      <c r="AC118" s="1" t="s">
        <v>1284</v>
      </c>
      <c r="AE118" s="1" t="s">
        <v>83</v>
      </c>
      <c r="AM118" s="1" t="s">
        <v>85</v>
      </c>
      <c r="AN118" s="1" t="s">
        <v>85</v>
      </c>
      <c r="AS118" s="1" t="s">
        <v>85</v>
      </c>
      <c r="AU118" s="1" t="s">
        <v>85</v>
      </c>
      <c r="BK118" s="1" t="s">
        <v>86</v>
      </c>
      <c r="BL118" s="1" t="s">
        <v>86</v>
      </c>
      <c r="BM118" s="1" t="s">
        <v>86</v>
      </c>
      <c r="BN118" s="1" t="s">
        <v>1285</v>
      </c>
      <c r="BO118" s="1" t="s">
        <v>137</v>
      </c>
      <c r="BP118" s="1" t="s">
        <v>1286</v>
      </c>
    </row>
    <row r="119">
      <c r="A119" s="1" t="s">
        <v>1287</v>
      </c>
      <c r="B119" s="1" t="s">
        <v>1288</v>
      </c>
      <c r="C119" s="1" t="s">
        <v>1289</v>
      </c>
      <c r="D119" s="1" t="s">
        <v>70</v>
      </c>
      <c r="J119" s="1">
        <v>25.0</v>
      </c>
      <c r="K119" s="1" t="s">
        <v>71</v>
      </c>
      <c r="L119" s="1" t="s">
        <v>72</v>
      </c>
      <c r="M119" s="1" t="s">
        <v>73</v>
      </c>
      <c r="N119" s="1" t="s">
        <v>39</v>
      </c>
      <c r="Q119" s="1" t="s">
        <v>149</v>
      </c>
      <c r="R119" s="1" t="s">
        <v>1290</v>
      </c>
      <c r="X119" s="1" t="s">
        <v>77</v>
      </c>
      <c r="Y119" s="1" t="s">
        <v>78</v>
      </c>
      <c r="Z119" s="1" t="s">
        <v>1291</v>
      </c>
      <c r="AA119" s="1" t="s">
        <v>1292</v>
      </c>
      <c r="AB119" s="1" t="s">
        <v>1293</v>
      </c>
      <c r="AC119" s="1" t="s">
        <v>1294</v>
      </c>
      <c r="AE119" s="1" t="s">
        <v>83</v>
      </c>
      <c r="AF119" s="1" t="s">
        <v>85</v>
      </c>
      <c r="AG119" s="1" t="s">
        <v>85</v>
      </c>
      <c r="AK119" s="1" t="s">
        <v>85</v>
      </c>
      <c r="AM119" s="1" t="s">
        <v>85</v>
      </c>
      <c r="AU119" s="1" t="s">
        <v>85</v>
      </c>
      <c r="BA119" s="1" t="s">
        <v>85</v>
      </c>
      <c r="BD119" s="1" t="s">
        <v>85</v>
      </c>
      <c r="BK119" s="1" t="s">
        <v>86</v>
      </c>
      <c r="BL119" s="1" t="s">
        <v>86</v>
      </c>
      <c r="BN119" s="1" t="s">
        <v>1295</v>
      </c>
      <c r="BO119" s="1" t="s">
        <v>1296</v>
      </c>
      <c r="BP119" s="1" t="s">
        <v>1286</v>
      </c>
    </row>
    <row r="120">
      <c r="A120" s="1" t="s">
        <v>1297</v>
      </c>
      <c r="B120" s="1" t="s">
        <v>1298</v>
      </c>
      <c r="C120" s="1" t="s">
        <v>1299</v>
      </c>
      <c r="D120" s="1" t="s">
        <v>70</v>
      </c>
      <c r="J120" s="1">
        <v>25.0</v>
      </c>
      <c r="K120" s="1" t="s">
        <v>71</v>
      </c>
      <c r="L120" s="1" t="s">
        <v>72</v>
      </c>
      <c r="M120" s="1" t="s">
        <v>73</v>
      </c>
      <c r="N120" s="1" t="s">
        <v>39</v>
      </c>
      <c r="Q120" s="1" t="s">
        <v>149</v>
      </c>
      <c r="R120" s="1" t="s">
        <v>1290</v>
      </c>
      <c r="X120" s="1" t="s">
        <v>77</v>
      </c>
      <c r="Y120" s="1" t="s">
        <v>78</v>
      </c>
      <c r="Z120" s="1" t="s">
        <v>1291</v>
      </c>
      <c r="AA120" s="1" t="s">
        <v>1300</v>
      </c>
      <c r="AB120" s="1" t="s">
        <v>1301</v>
      </c>
      <c r="AC120" s="1" t="s">
        <v>1302</v>
      </c>
      <c r="AE120" s="1" t="s">
        <v>83</v>
      </c>
      <c r="AF120" s="1" t="s">
        <v>84</v>
      </c>
      <c r="AG120" s="1" t="s">
        <v>84</v>
      </c>
      <c r="AK120" s="1" t="s">
        <v>85</v>
      </c>
      <c r="AM120" s="1" t="s">
        <v>85</v>
      </c>
      <c r="BA120" s="1" t="s">
        <v>84</v>
      </c>
      <c r="BD120" s="1" t="s">
        <v>85</v>
      </c>
      <c r="BJ120" s="1" t="s">
        <v>85</v>
      </c>
      <c r="BK120" s="1" t="s">
        <v>86</v>
      </c>
      <c r="BL120" s="1" t="s">
        <v>86</v>
      </c>
      <c r="BN120" s="1" t="s">
        <v>1295</v>
      </c>
      <c r="BO120" s="1" t="s">
        <v>1303</v>
      </c>
    </row>
    <row r="121">
      <c r="A121" s="1" t="s">
        <v>1304</v>
      </c>
      <c r="B121" s="1" t="s">
        <v>1305</v>
      </c>
      <c r="C121" s="1" t="s">
        <v>1306</v>
      </c>
      <c r="D121" s="1" t="s">
        <v>70</v>
      </c>
      <c r="J121" s="1">
        <v>15.0</v>
      </c>
      <c r="K121" s="1" t="s">
        <v>71</v>
      </c>
      <c r="L121" s="1" t="s">
        <v>72</v>
      </c>
      <c r="M121" s="1" t="s">
        <v>73</v>
      </c>
      <c r="N121" s="1" t="s">
        <v>1281</v>
      </c>
      <c r="Q121" s="1" t="s">
        <v>75</v>
      </c>
      <c r="R121" s="1" t="s">
        <v>137</v>
      </c>
      <c r="X121" s="1" t="s">
        <v>77</v>
      </c>
      <c r="Y121" s="1" t="s">
        <v>138</v>
      </c>
      <c r="Z121" s="1" t="s">
        <v>1307</v>
      </c>
      <c r="AA121" s="1" t="s">
        <v>1308</v>
      </c>
      <c r="AB121" s="1" t="s">
        <v>1309</v>
      </c>
      <c r="AC121" s="1" t="s">
        <v>1310</v>
      </c>
      <c r="AE121" s="1" t="s">
        <v>83</v>
      </c>
      <c r="AM121" s="1" t="s">
        <v>85</v>
      </c>
      <c r="AS121" s="1" t="s">
        <v>85</v>
      </c>
      <c r="AU121" s="1" t="s">
        <v>85</v>
      </c>
      <c r="BK121" s="1" t="s">
        <v>86</v>
      </c>
      <c r="BL121" s="1" t="s">
        <v>86</v>
      </c>
      <c r="BN121" s="1" t="s">
        <v>137</v>
      </c>
      <c r="BO121" s="1" t="s">
        <v>137</v>
      </c>
    </row>
    <row r="122">
      <c r="A122" s="1" t="s">
        <v>1311</v>
      </c>
      <c r="B122" s="1" t="s">
        <v>1312</v>
      </c>
      <c r="C122" s="1" t="s">
        <v>1313</v>
      </c>
      <c r="D122" s="1" t="s">
        <v>92</v>
      </c>
      <c r="E122" s="1" t="s">
        <v>1314</v>
      </c>
      <c r="J122" s="1">
        <v>37.0</v>
      </c>
      <c r="K122" s="1" t="s">
        <v>148</v>
      </c>
      <c r="L122" s="1" t="s">
        <v>72</v>
      </c>
      <c r="M122" s="1" t="s">
        <v>73</v>
      </c>
      <c r="N122" s="1" t="s">
        <v>38</v>
      </c>
      <c r="O122" s="1">
        <v>7.914764079</v>
      </c>
      <c r="Q122" s="1" t="s">
        <v>136</v>
      </c>
      <c r="R122" s="1" t="s">
        <v>137</v>
      </c>
      <c r="W122" s="1" t="s">
        <v>787</v>
      </c>
      <c r="X122" s="1" t="s">
        <v>77</v>
      </c>
      <c r="Y122" s="1" t="s">
        <v>78</v>
      </c>
      <c r="Z122" s="1" t="s">
        <v>1315</v>
      </c>
      <c r="AA122" s="1" t="s">
        <v>1316</v>
      </c>
      <c r="AB122" s="1" t="s">
        <v>1317</v>
      </c>
      <c r="AC122" s="1" t="s">
        <v>1318</v>
      </c>
      <c r="AE122" s="1" t="s">
        <v>83</v>
      </c>
      <c r="AF122" s="1" t="s">
        <v>85</v>
      </c>
      <c r="AG122" s="1" t="s">
        <v>85</v>
      </c>
      <c r="AK122" s="1" t="s">
        <v>85</v>
      </c>
      <c r="AM122" s="1" t="s">
        <v>84</v>
      </c>
      <c r="AN122" s="1" t="s">
        <v>85</v>
      </c>
      <c r="AP122" s="1" t="s">
        <v>85</v>
      </c>
      <c r="AS122" s="1" t="s">
        <v>84</v>
      </c>
      <c r="AZ122" s="1" t="s">
        <v>85</v>
      </c>
      <c r="BA122" s="1" t="s">
        <v>84</v>
      </c>
      <c r="BD122" s="1" t="s">
        <v>85</v>
      </c>
      <c r="BI122" s="1" t="s">
        <v>84</v>
      </c>
      <c r="BJ122" s="1" t="s">
        <v>84</v>
      </c>
      <c r="BN122" s="1" t="s">
        <v>1319</v>
      </c>
      <c r="BO122" s="1" t="s">
        <v>1320</v>
      </c>
    </row>
    <row r="123">
      <c r="A123" s="1" t="s">
        <v>1321</v>
      </c>
      <c r="B123" s="1" t="s">
        <v>1322</v>
      </c>
      <c r="C123" s="1" t="s">
        <v>1323</v>
      </c>
      <c r="D123" s="1" t="s">
        <v>70</v>
      </c>
      <c r="E123" s="2" t="s">
        <v>1324</v>
      </c>
      <c r="J123" s="1">
        <v>15.0</v>
      </c>
      <c r="K123" s="1" t="s">
        <v>71</v>
      </c>
      <c r="L123" s="1" t="s">
        <v>72</v>
      </c>
      <c r="M123" s="1" t="s">
        <v>73</v>
      </c>
      <c r="N123" s="1" t="s">
        <v>47</v>
      </c>
      <c r="P123" s="1" t="s">
        <v>77</v>
      </c>
      <c r="Q123" s="1" t="s">
        <v>75</v>
      </c>
      <c r="R123" s="1" t="s">
        <v>76</v>
      </c>
      <c r="X123" s="1" t="s">
        <v>77</v>
      </c>
      <c r="Y123" s="1" t="s">
        <v>138</v>
      </c>
      <c r="Z123" s="1" t="s">
        <v>1325</v>
      </c>
      <c r="AA123" s="1" t="s">
        <v>1326</v>
      </c>
      <c r="AB123" s="1" t="s">
        <v>1327</v>
      </c>
      <c r="AC123" s="1" t="s">
        <v>1328</v>
      </c>
      <c r="AE123" s="1" t="s">
        <v>83</v>
      </c>
      <c r="AF123" s="1" t="s">
        <v>84</v>
      </c>
      <c r="AG123" s="1" t="s">
        <v>84</v>
      </c>
      <c r="AJ123" s="1" t="s">
        <v>85</v>
      </c>
      <c r="AN123" s="1" t="s">
        <v>84</v>
      </c>
      <c r="AP123" s="1" t="s">
        <v>85</v>
      </c>
      <c r="AU123" s="1" t="s">
        <v>85</v>
      </c>
      <c r="BA123" s="1" t="s">
        <v>84</v>
      </c>
      <c r="BD123" s="1" t="s">
        <v>84</v>
      </c>
      <c r="BJ123" s="1" t="s">
        <v>84</v>
      </c>
      <c r="BK123" s="1" t="s">
        <v>86</v>
      </c>
      <c r="BL123" s="1" t="s">
        <v>86</v>
      </c>
      <c r="BN123" s="1" t="s">
        <v>1329</v>
      </c>
      <c r="BO123" s="1" t="s">
        <v>1330</v>
      </c>
    </row>
    <row r="124">
      <c r="A124" s="1" t="s">
        <v>1331</v>
      </c>
      <c r="B124" s="1" t="s">
        <v>1332</v>
      </c>
      <c r="C124" s="1" t="s">
        <v>1333</v>
      </c>
      <c r="D124" s="1" t="s">
        <v>70</v>
      </c>
      <c r="E124" s="1" t="s">
        <v>1314</v>
      </c>
      <c r="J124" s="1">
        <v>25.0</v>
      </c>
      <c r="K124" s="1" t="s">
        <v>71</v>
      </c>
      <c r="L124" s="1" t="s">
        <v>72</v>
      </c>
      <c r="M124" s="1" t="s">
        <v>73</v>
      </c>
      <c r="N124" s="1" t="s">
        <v>39</v>
      </c>
      <c r="O124" s="1">
        <v>7.914764079</v>
      </c>
      <c r="Q124" s="1" t="s">
        <v>149</v>
      </c>
      <c r="R124" s="1" t="s">
        <v>137</v>
      </c>
      <c r="W124" s="1" t="s">
        <v>787</v>
      </c>
      <c r="X124" s="1" t="s">
        <v>77</v>
      </c>
      <c r="Y124" s="1" t="s">
        <v>138</v>
      </c>
      <c r="Z124" s="1" t="s">
        <v>150</v>
      </c>
      <c r="AA124" s="1" t="s">
        <v>1334</v>
      </c>
      <c r="AB124" s="1" t="s">
        <v>1335</v>
      </c>
      <c r="AC124" s="1" t="s">
        <v>1336</v>
      </c>
      <c r="AE124" s="1" t="s">
        <v>83</v>
      </c>
      <c r="AF124" s="1" t="s">
        <v>85</v>
      </c>
      <c r="AG124" s="1" t="s">
        <v>85</v>
      </c>
      <c r="AK124" s="1" t="s">
        <v>85</v>
      </c>
      <c r="AM124" s="1" t="s">
        <v>85</v>
      </c>
      <c r="AN124" s="1" t="s">
        <v>85</v>
      </c>
      <c r="AS124" s="1" t="s">
        <v>85</v>
      </c>
      <c r="AU124" s="1" t="s">
        <v>85</v>
      </c>
      <c r="BK124" s="1" t="s">
        <v>86</v>
      </c>
      <c r="BL124" s="1" t="s">
        <v>86</v>
      </c>
      <c r="BN124" s="1" t="s">
        <v>137</v>
      </c>
      <c r="BO124" s="1" t="s">
        <v>1337</v>
      </c>
    </row>
    <row r="125">
      <c r="A125" s="1" t="s">
        <v>1338</v>
      </c>
      <c r="B125" s="1" t="s">
        <v>1339</v>
      </c>
      <c r="C125" s="1" t="s">
        <v>1340</v>
      </c>
      <c r="D125" s="1" t="s">
        <v>92</v>
      </c>
      <c r="J125" s="1">
        <v>35.0</v>
      </c>
      <c r="K125" s="1" t="s">
        <v>71</v>
      </c>
      <c r="L125" s="1" t="s">
        <v>72</v>
      </c>
      <c r="M125" s="1" t="s">
        <v>108</v>
      </c>
      <c r="N125" s="1" t="s">
        <v>44</v>
      </c>
      <c r="Q125" s="1" t="s">
        <v>149</v>
      </c>
      <c r="R125" s="1" t="s">
        <v>286</v>
      </c>
      <c r="X125" s="1" t="s">
        <v>77</v>
      </c>
      <c r="Y125" s="1" t="s">
        <v>138</v>
      </c>
      <c r="Z125" s="1" t="s">
        <v>1341</v>
      </c>
      <c r="AA125" s="1" t="s">
        <v>1342</v>
      </c>
      <c r="AB125" s="1" t="s">
        <v>1343</v>
      </c>
      <c r="AC125" s="1" t="s">
        <v>1344</v>
      </c>
      <c r="AE125" s="1" t="s">
        <v>83</v>
      </c>
      <c r="AH125" s="1" t="s">
        <v>85</v>
      </c>
      <c r="AI125" s="1" t="s">
        <v>85</v>
      </c>
      <c r="AJ125" s="1" t="s">
        <v>84</v>
      </c>
      <c r="AT125" s="1" t="s">
        <v>84</v>
      </c>
      <c r="BN125" s="1" t="s">
        <v>286</v>
      </c>
      <c r="BO125" s="1" t="s">
        <v>286</v>
      </c>
    </row>
    <row r="126">
      <c r="A126" s="1" t="s">
        <v>1345</v>
      </c>
      <c r="B126" s="1" t="s">
        <v>1346</v>
      </c>
      <c r="C126" s="1" t="s">
        <v>1347</v>
      </c>
      <c r="D126" s="1" t="s">
        <v>92</v>
      </c>
      <c r="E126" s="2" t="s">
        <v>1348</v>
      </c>
      <c r="J126" s="1">
        <v>32.0</v>
      </c>
      <c r="K126" s="1" t="s">
        <v>922</v>
      </c>
      <c r="L126" s="1" t="s">
        <v>72</v>
      </c>
      <c r="M126" s="1" t="s">
        <v>73</v>
      </c>
      <c r="N126" s="1" t="s">
        <v>723</v>
      </c>
      <c r="O126" s="1">
        <v>0.7575757576</v>
      </c>
      <c r="Q126" s="1" t="s">
        <v>75</v>
      </c>
      <c r="R126" s="1" t="s">
        <v>1349</v>
      </c>
      <c r="X126" s="1" t="s">
        <v>77</v>
      </c>
      <c r="Y126" s="1" t="s">
        <v>78</v>
      </c>
      <c r="Z126" s="1" t="s">
        <v>150</v>
      </c>
      <c r="AA126" s="1" t="s">
        <v>1334</v>
      </c>
      <c r="AB126" s="1" t="s">
        <v>1350</v>
      </c>
      <c r="AC126" s="1" t="s">
        <v>1351</v>
      </c>
      <c r="AE126" s="1" t="s">
        <v>83</v>
      </c>
      <c r="AF126" s="1" t="s">
        <v>84</v>
      </c>
      <c r="AG126" s="1" t="s">
        <v>85</v>
      </c>
      <c r="AM126" s="1" t="s">
        <v>85</v>
      </c>
      <c r="AN126" s="1" t="s">
        <v>84</v>
      </c>
      <c r="AP126" s="1" t="s">
        <v>84</v>
      </c>
      <c r="AS126" s="1" t="s">
        <v>85</v>
      </c>
      <c r="AZ126" s="1" t="s">
        <v>85</v>
      </c>
      <c r="BA126" s="1" t="s">
        <v>84</v>
      </c>
      <c r="BD126" s="1" t="s">
        <v>85</v>
      </c>
      <c r="BJ126" s="1" t="s">
        <v>85</v>
      </c>
      <c r="BN126" s="1" t="s">
        <v>1352</v>
      </c>
      <c r="BO126" s="1" t="s">
        <v>1353</v>
      </c>
    </row>
    <row r="127">
      <c r="A127" s="1" t="s">
        <v>1354</v>
      </c>
      <c r="B127" s="1" t="s">
        <v>1355</v>
      </c>
      <c r="C127" s="1" t="s">
        <v>1356</v>
      </c>
      <c r="D127" s="1" t="s">
        <v>92</v>
      </c>
      <c r="E127" s="2" t="s">
        <v>1357</v>
      </c>
      <c r="J127" s="1">
        <v>71.0</v>
      </c>
      <c r="K127" s="1" t="s">
        <v>171</v>
      </c>
      <c r="L127" s="1" t="s">
        <v>72</v>
      </c>
      <c r="M127" s="1" t="s">
        <v>73</v>
      </c>
      <c r="N127" s="1" t="s">
        <v>40</v>
      </c>
      <c r="O127" s="1">
        <v>-63.55932203</v>
      </c>
      <c r="Q127" s="1" t="s">
        <v>149</v>
      </c>
      <c r="R127" s="1" t="s">
        <v>1358</v>
      </c>
      <c r="W127" s="1" t="s">
        <v>858</v>
      </c>
      <c r="X127" s="1" t="s">
        <v>77</v>
      </c>
      <c r="Y127" s="1" t="s">
        <v>78</v>
      </c>
      <c r="Z127" s="1" t="s">
        <v>1359</v>
      </c>
      <c r="AA127" s="1" t="s">
        <v>1360</v>
      </c>
      <c r="AB127" s="1" t="s">
        <v>1361</v>
      </c>
      <c r="AC127" s="1" t="s">
        <v>1362</v>
      </c>
      <c r="AE127" s="1" t="s">
        <v>83</v>
      </c>
      <c r="AO127" s="1" t="s">
        <v>84</v>
      </c>
      <c r="AS127" s="1" t="s">
        <v>84</v>
      </c>
      <c r="AU127" s="1" t="s">
        <v>84</v>
      </c>
      <c r="AV127" s="1" t="s">
        <v>84</v>
      </c>
      <c r="AY127" s="1" t="s">
        <v>85</v>
      </c>
      <c r="BK127" s="1" t="s">
        <v>86</v>
      </c>
      <c r="BN127" s="1" t="s">
        <v>1363</v>
      </c>
      <c r="BO127" s="1" t="s">
        <v>137</v>
      </c>
    </row>
    <row r="128">
      <c r="A128" s="1" t="s">
        <v>1364</v>
      </c>
      <c r="B128" s="1" t="s">
        <v>1128</v>
      </c>
      <c r="C128" s="1" t="s">
        <v>1365</v>
      </c>
      <c r="D128" s="1" t="s">
        <v>92</v>
      </c>
      <c r="E128" s="2" t="s">
        <v>1366</v>
      </c>
      <c r="J128" s="1">
        <v>35.0</v>
      </c>
      <c r="K128" s="1" t="s">
        <v>94</v>
      </c>
      <c r="L128" s="1" t="s">
        <v>72</v>
      </c>
      <c r="M128" s="1" t="s">
        <v>73</v>
      </c>
      <c r="N128" s="1" t="s">
        <v>723</v>
      </c>
      <c r="O128" s="1">
        <v>0.7575757576</v>
      </c>
      <c r="Q128" s="1" t="s">
        <v>75</v>
      </c>
      <c r="R128" s="1" t="s">
        <v>724</v>
      </c>
      <c r="W128" s="1" t="s">
        <v>193</v>
      </c>
      <c r="X128" s="1" t="s">
        <v>77</v>
      </c>
      <c r="Y128" s="1" t="s">
        <v>78</v>
      </c>
      <c r="Z128" s="1" t="s">
        <v>1367</v>
      </c>
      <c r="AA128" s="1" t="s">
        <v>1368</v>
      </c>
      <c r="AB128" s="1" t="s">
        <v>1369</v>
      </c>
      <c r="AC128" s="1" t="s">
        <v>1370</v>
      </c>
      <c r="AE128" s="1" t="s">
        <v>83</v>
      </c>
      <c r="AF128" s="1" t="s">
        <v>84</v>
      </c>
      <c r="AG128" s="1" t="s">
        <v>84</v>
      </c>
      <c r="AM128" s="1" t="s">
        <v>85</v>
      </c>
      <c r="AN128" s="1" t="s">
        <v>84</v>
      </c>
      <c r="AP128" s="1" t="s">
        <v>84</v>
      </c>
      <c r="AS128" s="1" t="s">
        <v>84</v>
      </c>
      <c r="AZ128" s="1" t="s">
        <v>84</v>
      </c>
      <c r="BA128" s="1" t="s">
        <v>84</v>
      </c>
      <c r="BD128" s="1" t="s">
        <v>85</v>
      </c>
      <c r="BJ128" s="1" t="s">
        <v>84</v>
      </c>
      <c r="BK128" s="1" t="s">
        <v>86</v>
      </c>
      <c r="BN128" s="1" t="s">
        <v>1371</v>
      </c>
      <c r="BO128" s="1" t="s">
        <v>1372</v>
      </c>
    </row>
    <row r="129">
      <c r="A129" s="1" t="s">
        <v>1373</v>
      </c>
      <c r="B129" s="1" t="s">
        <v>1374</v>
      </c>
      <c r="C129" s="1" t="s">
        <v>1375</v>
      </c>
      <c r="D129" s="1" t="s">
        <v>92</v>
      </c>
      <c r="E129" s="2" t="s">
        <v>1376</v>
      </c>
      <c r="J129" s="1">
        <v>34.0</v>
      </c>
      <c r="K129" s="1" t="s">
        <v>94</v>
      </c>
      <c r="L129" s="1" t="s">
        <v>72</v>
      </c>
      <c r="M129" s="1" t="s">
        <v>108</v>
      </c>
      <c r="N129" s="1" t="s">
        <v>109</v>
      </c>
      <c r="O129" s="1">
        <v>10.36789298</v>
      </c>
      <c r="Q129" s="1" t="s">
        <v>149</v>
      </c>
      <c r="R129" s="1" t="s">
        <v>137</v>
      </c>
      <c r="W129" s="1" t="s">
        <v>858</v>
      </c>
      <c r="X129" s="1" t="s">
        <v>77</v>
      </c>
      <c r="Y129" s="1" t="s">
        <v>78</v>
      </c>
      <c r="Z129" s="1" t="s">
        <v>1359</v>
      </c>
      <c r="AA129" s="1" t="s">
        <v>1377</v>
      </c>
      <c r="AB129" s="1" t="s">
        <v>1378</v>
      </c>
      <c r="AC129" s="1" t="s">
        <v>1379</v>
      </c>
      <c r="AD129" s="1" t="s">
        <v>1380</v>
      </c>
      <c r="AE129" s="1" t="s">
        <v>83</v>
      </c>
      <c r="AF129" s="1" t="s">
        <v>84</v>
      </c>
      <c r="AG129" s="1" t="s">
        <v>85</v>
      </c>
      <c r="AH129" s="1" t="s">
        <v>84</v>
      </c>
      <c r="AJ129" s="1" t="s">
        <v>84</v>
      </c>
      <c r="AM129" s="1" t="s">
        <v>85</v>
      </c>
      <c r="AT129" s="1" t="s">
        <v>85</v>
      </c>
      <c r="AZ129" s="1" t="s">
        <v>85</v>
      </c>
      <c r="BK129" s="1" t="s">
        <v>86</v>
      </c>
      <c r="BM129" s="1" t="s">
        <v>86</v>
      </c>
      <c r="BN129" s="1" t="s">
        <v>137</v>
      </c>
      <c r="BO129" s="1" t="s">
        <v>1381</v>
      </c>
      <c r="BP129" s="1" t="s">
        <v>1382</v>
      </c>
    </row>
    <row r="130">
      <c r="A130" s="1" t="s">
        <v>1383</v>
      </c>
      <c r="B130" s="1" t="s">
        <v>1384</v>
      </c>
      <c r="C130" s="1" t="s">
        <v>1385</v>
      </c>
      <c r="D130" s="1" t="s">
        <v>92</v>
      </c>
      <c r="E130" s="2" t="s">
        <v>1386</v>
      </c>
      <c r="J130" s="1">
        <v>21.0</v>
      </c>
      <c r="K130" s="1" t="s">
        <v>159</v>
      </c>
      <c r="L130" s="1" t="s">
        <v>72</v>
      </c>
      <c r="M130" s="1" t="s">
        <v>108</v>
      </c>
      <c r="N130" s="1" t="s">
        <v>109</v>
      </c>
      <c r="O130" s="1">
        <v>-9.405501331</v>
      </c>
      <c r="Q130" s="1" t="s">
        <v>75</v>
      </c>
      <c r="R130" s="1" t="s">
        <v>1387</v>
      </c>
      <c r="W130" s="1" t="s">
        <v>193</v>
      </c>
      <c r="X130" s="1" t="s">
        <v>77</v>
      </c>
      <c r="Y130" s="1" t="s">
        <v>78</v>
      </c>
      <c r="Z130" s="1" t="s">
        <v>1388</v>
      </c>
      <c r="AA130" s="1" t="s">
        <v>1389</v>
      </c>
      <c r="AB130" s="1" t="s">
        <v>1390</v>
      </c>
      <c r="AC130" s="1" t="s">
        <v>1391</v>
      </c>
      <c r="AE130" s="1" t="s">
        <v>83</v>
      </c>
      <c r="AH130" s="1" t="s">
        <v>84</v>
      </c>
      <c r="AI130" s="1" t="s">
        <v>84</v>
      </c>
      <c r="AJ130" s="1" t="s">
        <v>84</v>
      </c>
      <c r="AM130" s="1" t="s">
        <v>85</v>
      </c>
      <c r="AS130" s="1" t="s">
        <v>84</v>
      </c>
      <c r="AT130" s="1" t="s">
        <v>85</v>
      </c>
      <c r="AZ130" s="1" t="s">
        <v>85</v>
      </c>
      <c r="BA130" s="1" t="s">
        <v>84</v>
      </c>
      <c r="BE130" s="1" t="s">
        <v>84</v>
      </c>
      <c r="BK130" s="1" t="s">
        <v>86</v>
      </c>
      <c r="BN130" s="1" t="s">
        <v>1392</v>
      </c>
      <c r="BO130" s="1" t="s">
        <v>1393</v>
      </c>
    </row>
    <row r="131">
      <c r="A131" s="1" t="s">
        <v>1394</v>
      </c>
      <c r="B131" s="1" t="s">
        <v>1395</v>
      </c>
      <c r="C131" s="1" t="s">
        <v>1396</v>
      </c>
      <c r="D131" s="1" t="s">
        <v>70</v>
      </c>
      <c r="E131" s="2" t="s">
        <v>1376</v>
      </c>
      <c r="J131" s="1">
        <v>15.0</v>
      </c>
      <c r="K131" s="1" t="s">
        <v>71</v>
      </c>
      <c r="L131" s="1" t="s">
        <v>72</v>
      </c>
      <c r="M131" s="1" t="s">
        <v>73</v>
      </c>
      <c r="N131" s="1" t="s">
        <v>37</v>
      </c>
      <c r="O131" s="1">
        <v>10.36789298</v>
      </c>
      <c r="Q131" s="1" t="s">
        <v>75</v>
      </c>
      <c r="R131" s="1" t="s">
        <v>1397</v>
      </c>
      <c r="X131" s="1" t="s">
        <v>77</v>
      </c>
      <c r="Y131" s="1" t="s">
        <v>78</v>
      </c>
      <c r="Z131" s="1" t="s">
        <v>1398</v>
      </c>
      <c r="AA131" s="1" t="s">
        <v>1399</v>
      </c>
      <c r="AB131" s="1" t="s">
        <v>1400</v>
      </c>
      <c r="AC131" s="1" t="s">
        <v>1401</v>
      </c>
      <c r="AE131" s="1" t="s">
        <v>83</v>
      </c>
      <c r="AF131" s="1" t="s">
        <v>84</v>
      </c>
      <c r="AG131" s="1" t="s">
        <v>84</v>
      </c>
      <c r="AL131" s="1" t="s">
        <v>84</v>
      </c>
      <c r="AN131" s="1" t="s">
        <v>84</v>
      </c>
      <c r="AW131" s="1" t="s">
        <v>85</v>
      </c>
      <c r="AY131" s="1" t="s">
        <v>85</v>
      </c>
      <c r="AZ131" s="1" t="s">
        <v>85</v>
      </c>
      <c r="BA131" s="1" t="s">
        <v>84</v>
      </c>
      <c r="BD131" s="1" t="s">
        <v>84</v>
      </c>
      <c r="BK131" s="1" t="s">
        <v>86</v>
      </c>
      <c r="BL131" s="1" t="s">
        <v>86</v>
      </c>
      <c r="BN131" s="1" t="s">
        <v>1402</v>
      </c>
      <c r="BO131" s="1" t="s">
        <v>1403</v>
      </c>
      <c r="BP131" s="1" t="s">
        <v>1382</v>
      </c>
    </row>
    <row r="132">
      <c r="A132" s="1" t="s">
        <v>1404</v>
      </c>
      <c r="B132" s="1" t="s">
        <v>1405</v>
      </c>
      <c r="C132" s="1" t="s">
        <v>1406</v>
      </c>
      <c r="D132" s="1" t="s">
        <v>92</v>
      </c>
      <c r="E132" s="2" t="s">
        <v>1386</v>
      </c>
      <c r="J132" s="1">
        <v>50.0</v>
      </c>
      <c r="K132" s="1" t="s">
        <v>1407</v>
      </c>
      <c r="L132" s="1" t="s">
        <v>72</v>
      </c>
      <c r="M132" s="1" t="s">
        <v>108</v>
      </c>
      <c r="N132" s="1" t="s">
        <v>764</v>
      </c>
      <c r="O132" s="1">
        <v>-9.405501331</v>
      </c>
      <c r="Q132" s="1" t="s">
        <v>149</v>
      </c>
      <c r="R132" s="1" t="s">
        <v>286</v>
      </c>
      <c r="X132" s="1" t="s">
        <v>77</v>
      </c>
      <c r="Y132" s="1" t="s">
        <v>138</v>
      </c>
      <c r="Z132" s="1" t="s">
        <v>1408</v>
      </c>
      <c r="AA132" s="1" t="s">
        <v>1409</v>
      </c>
      <c r="AB132" s="1" t="s">
        <v>1410</v>
      </c>
      <c r="AC132" s="1" t="s">
        <v>1411</v>
      </c>
      <c r="AE132" s="1" t="s">
        <v>83</v>
      </c>
      <c r="AH132" s="1" t="s">
        <v>85</v>
      </c>
      <c r="AI132" s="1" t="s">
        <v>85</v>
      </c>
      <c r="AJ132" s="1" t="s">
        <v>84</v>
      </c>
      <c r="AT132" s="1" t="s">
        <v>84</v>
      </c>
      <c r="BN132" s="1" t="s">
        <v>286</v>
      </c>
      <c r="BO132" s="1" t="s">
        <v>286</v>
      </c>
    </row>
    <row r="133">
      <c r="A133" s="1" t="s">
        <v>1412</v>
      </c>
      <c r="B133" s="1" t="s">
        <v>1413</v>
      </c>
      <c r="C133" s="1" t="s">
        <v>1414</v>
      </c>
      <c r="D133" s="1" t="s">
        <v>70</v>
      </c>
      <c r="J133" s="1">
        <v>25.0</v>
      </c>
      <c r="K133" s="1" t="s">
        <v>71</v>
      </c>
      <c r="L133" s="1" t="s">
        <v>72</v>
      </c>
      <c r="M133" s="1" t="s">
        <v>108</v>
      </c>
      <c r="N133" s="1" t="s">
        <v>44</v>
      </c>
      <c r="Q133" s="1" t="s">
        <v>136</v>
      </c>
      <c r="R133" s="1" t="s">
        <v>286</v>
      </c>
      <c r="X133" s="1" t="s">
        <v>77</v>
      </c>
      <c r="Y133" s="1" t="s">
        <v>138</v>
      </c>
      <c r="Z133" s="1" t="s">
        <v>1415</v>
      </c>
      <c r="AA133" s="1" t="s">
        <v>1416</v>
      </c>
      <c r="AB133" s="1" t="s">
        <v>1417</v>
      </c>
      <c r="AC133" s="1" t="s">
        <v>1418</v>
      </c>
      <c r="AE133" s="1" t="s">
        <v>83</v>
      </c>
      <c r="AH133" s="1" t="s">
        <v>85</v>
      </c>
      <c r="AI133" s="1" t="s">
        <v>85</v>
      </c>
      <c r="AJ133" s="1" t="s">
        <v>84</v>
      </c>
      <c r="AT133" s="1" t="s">
        <v>84</v>
      </c>
      <c r="BI133" s="1" t="s">
        <v>84</v>
      </c>
      <c r="BL133" s="1" t="s">
        <v>86</v>
      </c>
      <c r="BN133" s="1" t="s">
        <v>286</v>
      </c>
      <c r="BO133" s="1" t="s">
        <v>286</v>
      </c>
    </row>
    <row r="134">
      <c r="A134" s="1" t="s">
        <v>1419</v>
      </c>
      <c r="B134" s="1" t="s">
        <v>1420</v>
      </c>
      <c r="C134" s="1" t="s">
        <v>1421</v>
      </c>
      <c r="D134" s="1" t="s">
        <v>92</v>
      </c>
      <c r="J134" s="1">
        <v>25.0</v>
      </c>
      <c r="K134" s="1" t="s">
        <v>71</v>
      </c>
      <c r="L134" s="1" t="s">
        <v>72</v>
      </c>
      <c r="M134" s="1" t="s">
        <v>108</v>
      </c>
      <c r="N134" s="1" t="s">
        <v>44</v>
      </c>
      <c r="Q134" s="1" t="s">
        <v>149</v>
      </c>
      <c r="R134" s="1" t="s">
        <v>286</v>
      </c>
      <c r="Y134" s="1" t="s">
        <v>138</v>
      </c>
      <c r="Z134" s="1" t="s">
        <v>1422</v>
      </c>
      <c r="AA134" s="1" t="s">
        <v>1423</v>
      </c>
      <c r="AB134" s="1" t="s">
        <v>1424</v>
      </c>
      <c r="AC134" s="1" t="s">
        <v>1425</v>
      </c>
      <c r="AE134" s="1" t="s">
        <v>83</v>
      </c>
      <c r="AH134" s="1" t="s">
        <v>85</v>
      </c>
      <c r="AI134" s="1" t="s">
        <v>85</v>
      </c>
      <c r="AJ134" s="1" t="s">
        <v>84</v>
      </c>
      <c r="AT134" s="1" t="s">
        <v>84</v>
      </c>
      <c r="BN134" s="1" t="s">
        <v>286</v>
      </c>
      <c r="BO134" s="1" t="s">
        <v>286</v>
      </c>
    </row>
    <row r="135">
      <c r="A135" s="1" t="s">
        <v>1426</v>
      </c>
      <c r="B135" s="1" t="s">
        <v>1427</v>
      </c>
      <c r="C135" s="1" t="s">
        <v>1428</v>
      </c>
      <c r="D135" s="1" t="s">
        <v>70</v>
      </c>
      <c r="J135" s="1">
        <v>25.0</v>
      </c>
      <c r="K135" s="1" t="s">
        <v>922</v>
      </c>
      <c r="L135" s="1" t="s">
        <v>72</v>
      </c>
      <c r="M135" s="1" t="s">
        <v>108</v>
      </c>
      <c r="N135" s="1" t="s">
        <v>44</v>
      </c>
      <c r="Q135" s="1" t="s">
        <v>75</v>
      </c>
      <c r="R135" s="1" t="s">
        <v>1429</v>
      </c>
      <c r="Y135" s="1" t="s">
        <v>78</v>
      </c>
      <c r="Z135" s="1" t="s">
        <v>1415</v>
      </c>
      <c r="AA135" s="1" t="s">
        <v>1430</v>
      </c>
      <c r="AB135" s="1" t="s">
        <v>1431</v>
      </c>
      <c r="AC135" s="1" t="s">
        <v>1432</v>
      </c>
      <c r="AE135" s="1" t="s">
        <v>83</v>
      </c>
      <c r="AF135" s="1" t="s">
        <v>84</v>
      </c>
      <c r="AG135" s="1" t="s">
        <v>84</v>
      </c>
      <c r="AH135" s="1" t="s">
        <v>85</v>
      </c>
      <c r="AI135" s="1" t="s">
        <v>85</v>
      </c>
      <c r="AJ135" s="1" t="s">
        <v>84</v>
      </c>
      <c r="AM135" s="1" t="s">
        <v>84</v>
      </c>
      <c r="AN135" s="1" t="s">
        <v>85</v>
      </c>
      <c r="AS135" s="1" t="s">
        <v>85</v>
      </c>
      <c r="AT135" s="1" t="s">
        <v>84</v>
      </c>
      <c r="AU135" s="1" t="s">
        <v>85</v>
      </c>
      <c r="AZ135" s="1" t="s">
        <v>85</v>
      </c>
      <c r="BE135" s="1" t="s">
        <v>85</v>
      </c>
      <c r="BL135" s="1" t="s">
        <v>86</v>
      </c>
      <c r="BN135" s="1" t="s">
        <v>209</v>
      </c>
      <c r="BO135" s="1" t="s">
        <v>210</v>
      </c>
    </row>
    <row r="136">
      <c r="A136" s="1" t="s">
        <v>1433</v>
      </c>
      <c r="B136" s="1" t="s">
        <v>1434</v>
      </c>
      <c r="C136" s="1" t="s">
        <v>1435</v>
      </c>
      <c r="D136" s="1" t="s">
        <v>70</v>
      </c>
      <c r="J136" s="1">
        <v>15.0</v>
      </c>
      <c r="K136" s="1" t="s">
        <v>71</v>
      </c>
      <c r="L136" s="1" t="s">
        <v>72</v>
      </c>
      <c r="M136" s="1" t="s">
        <v>73</v>
      </c>
      <c r="N136" s="1" t="s">
        <v>37</v>
      </c>
      <c r="Q136" s="1" t="s">
        <v>75</v>
      </c>
      <c r="R136" s="1" t="s">
        <v>1436</v>
      </c>
      <c r="X136" s="1" t="s">
        <v>77</v>
      </c>
      <c r="Y136" s="1" t="s">
        <v>78</v>
      </c>
      <c r="Z136" s="1" t="s">
        <v>1422</v>
      </c>
      <c r="AA136" s="1" t="s">
        <v>1437</v>
      </c>
      <c r="AB136" s="1" t="s">
        <v>1438</v>
      </c>
      <c r="AC136" s="1" t="s">
        <v>1439</v>
      </c>
      <c r="AE136" s="1" t="s">
        <v>83</v>
      </c>
      <c r="AF136" s="1" t="s">
        <v>84</v>
      </c>
      <c r="AG136" s="1" t="s">
        <v>84</v>
      </c>
      <c r="AL136" s="1" t="s">
        <v>84</v>
      </c>
      <c r="AN136" s="1" t="s">
        <v>84</v>
      </c>
      <c r="AY136" s="1" t="s">
        <v>85</v>
      </c>
      <c r="AZ136" s="1" t="s">
        <v>85</v>
      </c>
      <c r="BA136" s="1" t="s">
        <v>84</v>
      </c>
      <c r="BD136" s="1" t="s">
        <v>84</v>
      </c>
      <c r="BK136" s="1" t="s">
        <v>86</v>
      </c>
      <c r="BL136" s="1" t="s">
        <v>86</v>
      </c>
      <c r="BN136" s="1" t="s">
        <v>1402</v>
      </c>
      <c r="BO136" s="1" t="s">
        <v>1440</v>
      </c>
    </row>
    <row r="137">
      <c r="A137" s="1" t="s">
        <v>1441</v>
      </c>
      <c r="B137" s="1" t="s">
        <v>1442</v>
      </c>
      <c r="C137" s="1" t="s">
        <v>1443</v>
      </c>
      <c r="D137" s="1" t="s">
        <v>70</v>
      </c>
      <c r="J137" s="1">
        <v>15.0</v>
      </c>
      <c r="K137" s="1" t="s">
        <v>71</v>
      </c>
      <c r="L137" s="1" t="s">
        <v>72</v>
      </c>
      <c r="M137" s="1" t="s">
        <v>73</v>
      </c>
      <c r="N137" s="1" t="s">
        <v>37</v>
      </c>
      <c r="Q137" s="1" t="s">
        <v>75</v>
      </c>
      <c r="R137" s="1" t="s">
        <v>1397</v>
      </c>
      <c r="X137" s="1" t="s">
        <v>77</v>
      </c>
      <c r="Y137" s="1" t="s">
        <v>78</v>
      </c>
      <c r="Z137" s="1" t="s">
        <v>1444</v>
      </c>
      <c r="AA137" s="1" t="s">
        <v>1445</v>
      </c>
      <c r="AB137" s="1" t="s">
        <v>1446</v>
      </c>
      <c r="AC137" s="1" t="s">
        <v>1447</v>
      </c>
      <c r="AE137" s="1" t="s">
        <v>83</v>
      </c>
      <c r="AF137" s="1" t="s">
        <v>84</v>
      </c>
      <c r="AG137" s="1" t="s">
        <v>84</v>
      </c>
      <c r="AL137" s="1" t="s">
        <v>84</v>
      </c>
      <c r="AN137" s="1" t="s">
        <v>84</v>
      </c>
      <c r="AW137" s="1" t="s">
        <v>85</v>
      </c>
      <c r="AY137" s="1" t="s">
        <v>85</v>
      </c>
      <c r="AZ137" s="1" t="s">
        <v>85</v>
      </c>
      <c r="BA137" s="1" t="s">
        <v>84</v>
      </c>
      <c r="BD137" s="1" t="s">
        <v>84</v>
      </c>
      <c r="BK137" s="1" t="s">
        <v>86</v>
      </c>
      <c r="BL137" s="1" t="s">
        <v>86</v>
      </c>
      <c r="BN137" s="1" t="s">
        <v>1402</v>
      </c>
      <c r="BO137" s="1" t="s">
        <v>1403</v>
      </c>
    </row>
    <row r="138">
      <c r="A138" s="1" t="s">
        <v>1448</v>
      </c>
      <c r="B138" s="1" t="s">
        <v>1449</v>
      </c>
      <c r="C138" s="1" t="s">
        <v>1450</v>
      </c>
      <c r="D138" s="1" t="s">
        <v>92</v>
      </c>
      <c r="J138" s="1">
        <v>25.0</v>
      </c>
      <c r="K138" s="1" t="s">
        <v>1201</v>
      </c>
      <c r="L138" s="1" t="s">
        <v>72</v>
      </c>
      <c r="M138" s="1" t="s">
        <v>73</v>
      </c>
      <c r="N138" s="1" t="s">
        <v>43</v>
      </c>
      <c r="Q138" s="1" t="s">
        <v>149</v>
      </c>
      <c r="R138" s="1" t="s">
        <v>286</v>
      </c>
      <c r="X138" s="1" t="s">
        <v>77</v>
      </c>
      <c r="Y138" s="1" t="s">
        <v>138</v>
      </c>
      <c r="Z138" s="1" t="s">
        <v>1451</v>
      </c>
      <c r="AA138" s="1" t="s">
        <v>1452</v>
      </c>
      <c r="AB138" s="1" t="s">
        <v>1453</v>
      </c>
      <c r="AC138" s="1" t="s">
        <v>1454</v>
      </c>
      <c r="AE138" s="1" t="s">
        <v>83</v>
      </c>
      <c r="AS138" s="1" t="s">
        <v>84</v>
      </c>
      <c r="BA138" s="1" t="s">
        <v>84</v>
      </c>
      <c r="BN138" s="1" t="s">
        <v>286</v>
      </c>
      <c r="BO138" s="1" t="s">
        <v>286</v>
      </c>
    </row>
    <row r="139">
      <c r="A139" s="1" t="s">
        <v>1455</v>
      </c>
      <c r="B139" s="1" t="s">
        <v>1456</v>
      </c>
      <c r="C139" s="1" t="s">
        <v>1457</v>
      </c>
      <c r="D139" s="1" t="s">
        <v>70</v>
      </c>
      <c r="J139" s="1">
        <v>25.0</v>
      </c>
      <c r="K139" s="1" t="s">
        <v>71</v>
      </c>
      <c r="L139" s="1" t="s">
        <v>72</v>
      </c>
      <c r="M139" s="1" t="s">
        <v>108</v>
      </c>
      <c r="N139" s="1" t="s">
        <v>44</v>
      </c>
      <c r="Q139" s="1" t="s">
        <v>136</v>
      </c>
      <c r="R139" s="1" t="s">
        <v>286</v>
      </c>
      <c r="X139" s="1" t="s">
        <v>77</v>
      </c>
      <c r="Y139" s="1" t="s">
        <v>138</v>
      </c>
      <c r="Z139" s="1" t="s">
        <v>1458</v>
      </c>
      <c r="AA139" s="1" t="s">
        <v>1416</v>
      </c>
      <c r="AB139" s="1" t="s">
        <v>1459</v>
      </c>
      <c r="AC139" s="1" t="s">
        <v>1460</v>
      </c>
      <c r="AE139" s="1" t="s">
        <v>83</v>
      </c>
      <c r="AH139" s="1" t="s">
        <v>85</v>
      </c>
      <c r="AI139" s="1" t="s">
        <v>85</v>
      </c>
      <c r="AJ139" s="1" t="s">
        <v>84</v>
      </c>
      <c r="AT139" s="1" t="s">
        <v>84</v>
      </c>
      <c r="BI139" s="1" t="s">
        <v>84</v>
      </c>
      <c r="BL139" s="1" t="s">
        <v>86</v>
      </c>
      <c r="BN139" s="1" t="s">
        <v>286</v>
      </c>
      <c r="BO139" s="1" t="s">
        <v>286</v>
      </c>
    </row>
    <row r="140">
      <c r="A140" s="1" t="s">
        <v>1461</v>
      </c>
      <c r="B140" s="1" t="s">
        <v>1462</v>
      </c>
      <c r="C140" s="1" t="s">
        <v>1463</v>
      </c>
      <c r="D140" s="1" t="s">
        <v>70</v>
      </c>
      <c r="J140" s="1">
        <v>15.0</v>
      </c>
      <c r="K140" s="1" t="s">
        <v>71</v>
      </c>
      <c r="L140" s="1" t="s">
        <v>72</v>
      </c>
      <c r="M140" s="1" t="s">
        <v>108</v>
      </c>
      <c r="N140" s="1" t="s">
        <v>109</v>
      </c>
      <c r="Q140" s="1" t="s">
        <v>75</v>
      </c>
      <c r="R140" s="1" t="s">
        <v>137</v>
      </c>
      <c r="X140" s="1" t="s">
        <v>77</v>
      </c>
      <c r="Y140" s="1" t="s">
        <v>78</v>
      </c>
      <c r="Z140" s="1" t="s">
        <v>1464</v>
      </c>
      <c r="AA140" s="1" t="s">
        <v>1465</v>
      </c>
      <c r="AB140" s="1" t="s">
        <v>1466</v>
      </c>
      <c r="AC140" s="1" t="s">
        <v>1467</v>
      </c>
      <c r="AE140" s="1" t="s">
        <v>83</v>
      </c>
      <c r="AR140" s="1" t="s">
        <v>84</v>
      </c>
      <c r="BF140" s="1" t="s">
        <v>85</v>
      </c>
      <c r="BK140" s="1" t="s">
        <v>86</v>
      </c>
      <c r="BL140" s="1" t="s">
        <v>86</v>
      </c>
      <c r="BN140" s="1" t="s">
        <v>137</v>
      </c>
      <c r="BO140" s="1" t="s">
        <v>1468</v>
      </c>
    </row>
    <row r="141">
      <c r="A141" s="1" t="s">
        <v>1469</v>
      </c>
      <c r="B141" s="1" t="s">
        <v>1470</v>
      </c>
      <c r="C141" s="1" t="s">
        <v>1471</v>
      </c>
      <c r="D141" s="1" t="s">
        <v>70</v>
      </c>
      <c r="J141" s="1">
        <v>15.0</v>
      </c>
      <c r="K141" s="1" t="s">
        <v>71</v>
      </c>
      <c r="L141" s="1" t="s">
        <v>72</v>
      </c>
      <c r="M141" s="1" t="s">
        <v>108</v>
      </c>
      <c r="N141" s="1" t="s">
        <v>109</v>
      </c>
      <c r="Q141" s="1" t="s">
        <v>75</v>
      </c>
      <c r="R141" s="1" t="s">
        <v>137</v>
      </c>
      <c r="X141" s="1" t="s">
        <v>77</v>
      </c>
      <c r="Y141" s="1" t="s">
        <v>138</v>
      </c>
      <c r="Z141" s="1" t="s">
        <v>1472</v>
      </c>
      <c r="AA141" s="1" t="s">
        <v>1473</v>
      </c>
      <c r="AB141" s="1" t="s">
        <v>1474</v>
      </c>
      <c r="AC141" s="1" t="s">
        <v>1475</v>
      </c>
      <c r="AE141" s="1" t="s">
        <v>83</v>
      </c>
      <c r="AR141" s="1" t="s">
        <v>84</v>
      </c>
      <c r="BF141" s="1" t="s">
        <v>85</v>
      </c>
      <c r="BK141" s="1" t="s">
        <v>86</v>
      </c>
      <c r="BL141" s="1" t="s">
        <v>86</v>
      </c>
      <c r="BN141" s="1" t="s">
        <v>137</v>
      </c>
      <c r="BO141" s="1" t="s">
        <v>1468</v>
      </c>
    </row>
    <row r="142">
      <c r="A142" s="1" t="s">
        <v>1476</v>
      </c>
      <c r="B142" s="1" t="s">
        <v>1477</v>
      </c>
      <c r="C142" s="1" t="s">
        <v>1478</v>
      </c>
      <c r="D142" s="1" t="s">
        <v>70</v>
      </c>
      <c r="J142" s="1">
        <v>15.0</v>
      </c>
      <c r="K142" s="1" t="s">
        <v>71</v>
      </c>
      <c r="L142" s="1" t="s">
        <v>72</v>
      </c>
      <c r="M142" s="1" t="s">
        <v>108</v>
      </c>
      <c r="N142" s="1" t="s">
        <v>109</v>
      </c>
      <c r="Q142" s="1" t="s">
        <v>75</v>
      </c>
      <c r="R142" s="1" t="s">
        <v>1479</v>
      </c>
      <c r="X142" s="1" t="s">
        <v>77</v>
      </c>
      <c r="Y142" s="1" t="s">
        <v>78</v>
      </c>
      <c r="Z142" s="1" t="s">
        <v>1464</v>
      </c>
      <c r="AA142" s="1" t="s">
        <v>1480</v>
      </c>
      <c r="AB142" s="1" t="s">
        <v>1481</v>
      </c>
      <c r="AC142" s="1" t="s">
        <v>1482</v>
      </c>
      <c r="AE142" s="1" t="s">
        <v>83</v>
      </c>
      <c r="AH142" s="1" t="s">
        <v>84</v>
      </c>
      <c r="AI142" s="1" t="s">
        <v>84</v>
      </c>
      <c r="BE142" s="1" t="s">
        <v>85</v>
      </c>
      <c r="BK142" s="1" t="s">
        <v>86</v>
      </c>
      <c r="BL142" s="1" t="s">
        <v>86</v>
      </c>
      <c r="BN142" s="1" t="s">
        <v>1483</v>
      </c>
      <c r="BO142" s="1" t="s">
        <v>1484</v>
      </c>
    </row>
    <row r="143">
      <c r="A143" s="1" t="s">
        <v>1485</v>
      </c>
      <c r="B143" s="1" t="s">
        <v>1486</v>
      </c>
      <c r="C143" s="1" t="s">
        <v>1487</v>
      </c>
      <c r="D143" s="1" t="s">
        <v>70</v>
      </c>
      <c r="J143" s="1">
        <v>15.0</v>
      </c>
      <c r="K143" s="1" t="s">
        <v>452</v>
      </c>
      <c r="L143" s="1" t="s">
        <v>72</v>
      </c>
      <c r="M143" s="1" t="s">
        <v>108</v>
      </c>
      <c r="N143" s="1" t="s">
        <v>109</v>
      </c>
      <c r="Q143" s="1" t="s">
        <v>149</v>
      </c>
      <c r="R143" s="1" t="s">
        <v>670</v>
      </c>
      <c r="X143" s="1" t="s">
        <v>77</v>
      </c>
      <c r="Y143" s="1" t="s">
        <v>138</v>
      </c>
      <c r="Z143" s="1" t="s">
        <v>1488</v>
      </c>
      <c r="AA143" s="1" t="s">
        <v>1489</v>
      </c>
      <c r="AB143" s="1" t="s">
        <v>1490</v>
      </c>
      <c r="AC143" s="1" t="s">
        <v>1491</v>
      </c>
      <c r="AE143" s="1" t="s">
        <v>83</v>
      </c>
      <c r="AH143" s="1" t="s">
        <v>84</v>
      </c>
      <c r="AI143" s="1" t="s">
        <v>84</v>
      </c>
      <c r="AJ143" s="1" t="s">
        <v>84</v>
      </c>
      <c r="AM143" s="1" t="s">
        <v>84</v>
      </c>
      <c r="AN143" s="1" t="s">
        <v>84</v>
      </c>
      <c r="AS143" s="1" t="s">
        <v>84</v>
      </c>
      <c r="AT143" s="1" t="s">
        <v>84</v>
      </c>
      <c r="BE143" s="1" t="s">
        <v>84</v>
      </c>
      <c r="BH143" s="1" t="s">
        <v>84</v>
      </c>
      <c r="BK143" s="1" t="s">
        <v>86</v>
      </c>
      <c r="BL143" s="1" t="s">
        <v>86</v>
      </c>
      <c r="BN143" s="1" t="s">
        <v>675</v>
      </c>
      <c r="BO143" s="1" t="s">
        <v>1039</v>
      </c>
    </row>
    <row r="144">
      <c r="A144" s="1" t="s">
        <v>1492</v>
      </c>
      <c r="B144" s="1" t="s">
        <v>1493</v>
      </c>
      <c r="C144" s="1" t="s">
        <v>1494</v>
      </c>
      <c r="D144" s="1" t="s">
        <v>70</v>
      </c>
      <c r="J144" s="1">
        <v>14.0</v>
      </c>
      <c r="K144" s="1" t="s">
        <v>71</v>
      </c>
      <c r="L144" s="1" t="s">
        <v>72</v>
      </c>
      <c r="M144" s="1" t="s">
        <v>108</v>
      </c>
      <c r="N144" s="1" t="s">
        <v>109</v>
      </c>
      <c r="Q144" s="1" t="s">
        <v>149</v>
      </c>
      <c r="R144" s="1" t="s">
        <v>670</v>
      </c>
      <c r="X144" s="1" t="s">
        <v>77</v>
      </c>
      <c r="Y144" s="1" t="s">
        <v>138</v>
      </c>
      <c r="Z144" s="1" t="s">
        <v>1495</v>
      </c>
      <c r="AA144" s="1" t="s">
        <v>1496</v>
      </c>
      <c r="AB144" s="1" t="s">
        <v>1497</v>
      </c>
      <c r="AC144" s="1" t="s">
        <v>1498</v>
      </c>
      <c r="AE144" s="1" t="s">
        <v>83</v>
      </c>
      <c r="AH144" s="1" t="s">
        <v>84</v>
      </c>
      <c r="AI144" s="1" t="s">
        <v>84</v>
      </c>
      <c r="AJ144" s="1" t="s">
        <v>84</v>
      </c>
      <c r="AN144" s="1" t="s">
        <v>85</v>
      </c>
      <c r="AS144" s="1" t="s">
        <v>85</v>
      </c>
      <c r="AT144" s="1" t="s">
        <v>84</v>
      </c>
      <c r="BE144" s="1" t="s">
        <v>85</v>
      </c>
      <c r="BH144" s="1" t="s">
        <v>84</v>
      </c>
      <c r="BK144" s="1" t="s">
        <v>86</v>
      </c>
      <c r="BL144" s="1" t="s">
        <v>86</v>
      </c>
      <c r="BN144" s="1" t="s">
        <v>675</v>
      </c>
      <c r="BO144" s="1" t="s">
        <v>1039</v>
      </c>
    </row>
    <row r="145">
      <c r="A145" s="1" t="s">
        <v>1499</v>
      </c>
      <c r="B145" s="1" t="s">
        <v>1500</v>
      </c>
      <c r="C145" s="1" t="s">
        <v>1501</v>
      </c>
      <c r="D145" s="1" t="s">
        <v>70</v>
      </c>
      <c r="J145" s="1">
        <v>15.0</v>
      </c>
      <c r="K145" s="1" t="s">
        <v>71</v>
      </c>
      <c r="L145" s="1" t="s">
        <v>72</v>
      </c>
      <c r="M145" s="1" t="s">
        <v>108</v>
      </c>
      <c r="N145" s="1" t="s">
        <v>109</v>
      </c>
      <c r="Q145" s="1" t="s">
        <v>75</v>
      </c>
      <c r="R145" s="1" t="s">
        <v>1502</v>
      </c>
      <c r="X145" s="1" t="s">
        <v>77</v>
      </c>
      <c r="Y145" s="1" t="s">
        <v>138</v>
      </c>
      <c r="Z145" s="1" t="s">
        <v>1503</v>
      </c>
      <c r="AA145" s="1" t="s">
        <v>1504</v>
      </c>
      <c r="AB145" s="1" t="s">
        <v>1505</v>
      </c>
      <c r="AC145" s="1" t="s">
        <v>1506</v>
      </c>
      <c r="AE145" s="1" t="s">
        <v>83</v>
      </c>
      <c r="AH145" s="1" t="s">
        <v>84</v>
      </c>
      <c r="AI145" s="1" t="s">
        <v>84</v>
      </c>
      <c r="AJ145" s="1" t="s">
        <v>85</v>
      </c>
      <c r="BE145" s="1" t="s">
        <v>84</v>
      </c>
      <c r="BK145" s="1" t="s">
        <v>86</v>
      </c>
      <c r="BL145" s="1" t="s">
        <v>86</v>
      </c>
      <c r="BN145" s="1" t="s">
        <v>1507</v>
      </c>
      <c r="BO145" s="1" t="s">
        <v>1508</v>
      </c>
    </row>
    <row r="146">
      <c r="A146" s="1" t="s">
        <v>1509</v>
      </c>
      <c r="B146" s="1" t="s">
        <v>1510</v>
      </c>
      <c r="C146" s="1" t="s">
        <v>1511</v>
      </c>
      <c r="D146" s="1" t="s">
        <v>92</v>
      </c>
      <c r="E146" s="2" t="s">
        <v>1512</v>
      </c>
      <c r="J146" s="1">
        <v>26.0</v>
      </c>
      <c r="K146" s="1" t="s">
        <v>1513</v>
      </c>
      <c r="L146" s="1" t="s">
        <v>72</v>
      </c>
      <c r="M146" s="1" t="s">
        <v>108</v>
      </c>
      <c r="N146" s="1" t="s">
        <v>109</v>
      </c>
      <c r="O146" s="1">
        <v>-3.912363067</v>
      </c>
      <c r="Q146" s="1" t="s">
        <v>260</v>
      </c>
      <c r="R146" s="1" t="s">
        <v>824</v>
      </c>
      <c r="X146" s="1" t="s">
        <v>77</v>
      </c>
      <c r="Y146" s="1" t="s">
        <v>78</v>
      </c>
      <c r="Z146" s="1" t="s">
        <v>825</v>
      </c>
      <c r="AA146" s="1" t="s">
        <v>1514</v>
      </c>
      <c r="AB146" s="1" t="s">
        <v>1515</v>
      </c>
      <c r="AC146" s="1" t="s">
        <v>1516</v>
      </c>
      <c r="AE146" s="1" t="s">
        <v>83</v>
      </c>
      <c r="AF146" s="1" t="s">
        <v>84</v>
      </c>
      <c r="AH146" s="1" t="s">
        <v>84</v>
      </c>
      <c r="AI146" s="1" t="s">
        <v>84</v>
      </c>
      <c r="AJ146" s="1" t="s">
        <v>84</v>
      </c>
      <c r="AM146" s="1" t="s">
        <v>85</v>
      </c>
      <c r="AP146" s="1" t="s">
        <v>85</v>
      </c>
      <c r="AS146" s="1" t="s">
        <v>85</v>
      </c>
      <c r="AT146" s="1" t="s">
        <v>85</v>
      </c>
      <c r="AZ146" s="1" t="s">
        <v>85</v>
      </c>
      <c r="BA146" s="1" t="s">
        <v>85</v>
      </c>
      <c r="BI146" s="1" t="s">
        <v>84</v>
      </c>
      <c r="BK146" s="1" t="s">
        <v>86</v>
      </c>
      <c r="BN146" s="1" t="s">
        <v>829</v>
      </c>
      <c r="BO146" s="1" t="s">
        <v>1517</v>
      </c>
    </row>
    <row r="147">
      <c r="A147" s="1" t="s">
        <v>1518</v>
      </c>
      <c r="B147" s="1" t="s">
        <v>1519</v>
      </c>
      <c r="C147" s="1" t="s">
        <v>1520</v>
      </c>
      <c r="D147" s="1" t="s">
        <v>70</v>
      </c>
      <c r="J147" s="1">
        <v>15.0</v>
      </c>
      <c r="K147" s="1" t="s">
        <v>71</v>
      </c>
      <c r="L147" s="1" t="s">
        <v>72</v>
      </c>
      <c r="M147" s="1" t="s">
        <v>73</v>
      </c>
      <c r="N147" s="1" t="s">
        <v>36</v>
      </c>
      <c r="Q147" s="1" t="s">
        <v>75</v>
      </c>
      <c r="R147" s="1" t="s">
        <v>1521</v>
      </c>
      <c r="X147" s="1" t="s">
        <v>77</v>
      </c>
      <c r="Y147" s="1" t="s">
        <v>78</v>
      </c>
      <c r="Z147" s="1" t="s">
        <v>1522</v>
      </c>
      <c r="AA147" s="1" t="s">
        <v>1523</v>
      </c>
      <c r="AB147" s="1" t="s">
        <v>1524</v>
      </c>
      <c r="AC147" s="1" t="s">
        <v>1525</v>
      </c>
      <c r="AE147" s="1" t="s">
        <v>83</v>
      </c>
      <c r="AF147" s="1" t="s">
        <v>85</v>
      </c>
      <c r="AG147" s="1" t="s">
        <v>85</v>
      </c>
      <c r="AK147" s="1" t="s">
        <v>84</v>
      </c>
      <c r="BA147" s="1" t="s">
        <v>85</v>
      </c>
      <c r="BD147" s="1" t="s">
        <v>85</v>
      </c>
      <c r="BJ147" s="1" t="s">
        <v>84</v>
      </c>
      <c r="BK147" s="1" t="s">
        <v>86</v>
      </c>
      <c r="BL147" s="1" t="s">
        <v>86</v>
      </c>
      <c r="BN147" s="1" t="s">
        <v>137</v>
      </c>
      <c r="BO147" s="1" t="s">
        <v>1277</v>
      </c>
    </row>
    <row r="148">
      <c r="A148" s="1" t="s">
        <v>1526</v>
      </c>
      <c r="B148" s="1" t="s">
        <v>1527</v>
      </c>
      <c r="C148" s="1" t="s">
        <v>1528</v>
      </c>
      <c r="D148" s="1" t="s">
        <v>70</v>
      </c>
      <c r="E148" s="2" t="s">
        <v>1512</v>
      </c>
      <c r="J148" s="1">
        <v>15.0</v>
      </c>
      <c r="K148" s="1" t="s">
        <v>71</v>
      </c>
      <c r="L148" s="1" t="s">
        <v>72</v>
      </c>
      <c r="M148" s="1" t="s">
        <v>73</v>
      </c>
      <c r="N148" s="1" t="s">
        <v>47</v>
      </c>
      <c r="O148" s="1">
        <v>-3.912363067</v>
      </c>
      <c r="Q148" s="1" t="s">
        <v>75</v>
      </c>
      <c r="R148" s="1" t="s">
        <v>137</v>
      </c>
      <c r="X148" s="1" t="s">
        <v>77</v>
      </c>
      <c r="Y148" s="1" t="s">
        <v>138</v>
      </c>
      <c r="Z148" s="1" t="s">
        <v>1529</v>
      </c>
      <c r="AA148" s="1" t="s">
        <v>1530</v>
      </c>
      <c r="AB148" s="1" t="s">
        <v>1531</v>
      </c>
      <c r="AC148" s="1" t="s">
        <v>1532</v>
      </c>
      <c r="AE148" s="1" t="s">
        <v>83</v>
      </c>
      <c r="AO148" s="1" t="s">
        <v>84</v>
      </c>
      <c r="AV148" s="1" t="s">
        <v>84</v>
      </c>
      <c r="BK148" s="1" t="s">
        <v>86</v>
      </c>
      <c r="BL148" s="1" t="s">
        <v>86</v>
      </c>
      <c r="BN148" s="1" t="s">
        <v>398</v>
      </c>
      <c r="BO148" s="1" t="s">
        <v>1533</v>
      </c>
    </row>
    <row r="149">
      <c r="A149" s="1" t="s">
        <v>1534</v>
      </c>
      <c r="B149" s="1" t="s">
        <v>1535</v>
      </c>
      <c r="C149" s="1" t="s">
        <v>1536</v>
      </c>
      <c r="D149" s="1" t="s">
        <v>70</v>
      </c>
      <c r="J149" s="1">
        <v>15.0</v>
      </c>
      <c r="K149" s="1" t="s">
        <v>94</v>
      </c>
      <c r="L149" s="1" t="s">
        <v>72</v>
      </c>
      <c r="M149" s="1" t="s">
        <v>108</v>
      </c>
      <c r="N149" s="1" t="s">
        <v>109</v>
      </c>
      <c r="Q149" s="1" t="s">
        <v>75</v>
      </c>
      <c r="R149" s="1" t="s">
        <v>1537</v>
      </c>
      <c r="X149" s="1" t="s">
        <v>77</v>
      </c>
      <c r="Y149" s="1" t="s">
        <v>78</v>
      </c>
      <c r="Z149" s="1" t="s">
        <v>1522</v>
      </c>
      <c r="AA149" s="1" t="s">
        <v>1538</v>
      </c>
      <c r="AB149" s="1" t="s">
        <v>1539</v>
      </c>
      <c r="AC149" s="1" t="s">
        <v>1540</v>
      </c>
      <c r="AE149" s="1" t="s">
        <v>83</v>
      </c>
      <c r="AH149" s="1" t="s">
        <v>84</v>
      </c>
      <c r="AI149" s="1" t="s">
        <v>84</v>
      </c>
      <c r="AO149" s="1" t="s">
        <v>84</v>
      </c>
      <c r="AV149" s="1" t="s">
        <v>84</v>
      </c>
      <c r="BD149" s="1" t="s">
        <v>84</v>
      </c>
      <c r="BE149" s="1" t="s">
        <v>84</v>
      </c>
      <c r="BK149" s="1" t="s">
        <v>86</v>
      </c>
      <c r="BL149" s="1" t="s">
        <v>86</v>
      </c>
      <c r="BN149" s="1" t="s">
        <v>1541</v>
      </c>
      <c r="BO149" s="1" t="s">
        <v>1542</v>
      </c>
    </row>
    <row r="150">
      <c r="A150" s="1" t="s">
        <v>1543</v>
      </c>
      <c r="B150" s="1" t="s">
        <v>1544</v>
      </c>
      <c r="C150" s="1" t="s">
        <v>1545</v>
      </c>
      <c r="D150" s="1" t="s">
        <v>92</v>
      </c>
      <c r="E150" s="2" t="s">
        <v>1546</v>
      </c>
      <c r="J150" s="1">
        <v>43.0</v>
      </c>
      <c r="K150" s="1" t="s">
        <v>190</v>
      </c>
      <c r="L150" s="1" t="s">
        <v>72</v>
      </c>
      <c r="M150" s="1" t="s">
        <v>73</v>
      </c>
      <c r="N150" s="1" t="s">
        <v>39</v>
      </c>
      <c r="O150" s="1">
        <v>-23.61809045</v>
      </c>
      <c r="Q150" s="1" t="s">
        <v>75</v>
      </c>
      <c r="R150" s="1" t="s">
        <v>1547</v>
      </c>
      <c r="W150" s="1" t="s">
        <v>858</v>
      </c>
      <c r="X150" s="1" t="s">
        <v>77</v>
      </c>
      <c r="Y150" s="1" t="s">
        <v>78</v>
      </c>
      <c r="Z150" s="1" t="s">
        <v>1548</v>
      </c>
      <c r="AA150" s="1" t="s">
        <v>1549</v>
      </c>
      <c r="AB150" s="1" t="s">
        <v>1550</v>
      </c>
      <c r="AC150" s="1" t="s">
        <v>1551</v>
      </c>
      <c r="AE150" s="1" t="s">
        <v>83</v>
      </c>
      <c r="AF150" s="1" t="s">
        <v>84</v>
      </c>
      <c r="AG150" s="1" t="s">
        <v>84</v>
      </c>
      <c r="AJ150" s="1" t="s">
        <v>84</v>
      </c>
      <c r="AM150" s="1" t="s">
        <v>84</v>
      </c>
      <c r="AN150" s="1" t="s">
        <v>84</v>
      </c>
      <c r="AS150" s="1" t="s">
        <v>85</v>
      </c>
      <c r="AU150" s="1" t="s">
        <v>129</v>
      </c>
      <c r="AZ150" s="1" t="s">
        <v>85</v>
      </c>
      <c r="BD150" s="1" t="s">
        <v>85</v>
      </c>
      <c r="BK150" s="1" t="s">
        <v>86</v>
      </c>
      <c r="BN150" s="1" t="s">
        <v>1552</v>
      </c>
      <c r="BO150" s="1" t="s">
        <v>1553</v>
      </c>
    </row>
    <row r="151">
      <c r="A151" s="1" t="s">
        <v>1554</v>
      </c>
      <c r="B151" s="1" t="s">
        <v>1555</v>
      </c>
      <c r="C151" s="1" t="s">
        <v>1556</v>
      </c>
      <c r="D151" s="1" t="s">
        <v>92</v>
      </c>
      <c r="E151" s="2" t="s">
        <v>1557</v>
      </c>
      <c r="J151" s="1">
        <v>27.0</v>
      </c>
      <c r="K151" s="1" t="s">
        <v>1558</v>
      </c>
      <c r="L151" s="1" t="s">
        <v>72</v>
      </c>
      <c r="M151" s="1" t="s">
        <v>48</v>
      </c>
      <c r="N151" s="1" t="s">
        <v>1559</v>
      </c>
      <c r="O151" s="1">
        <v>-4.166666667</v>
      </c>
      <c r="Q151" s="1" t="s">
        <v>260</v>
      </c>
      <c r="R151" s="1" t="s">
        <v>1537</v>
      </c>
      <c r="W151" s="1" t="s">
        <v>316</v>
      </c>
      <c r="X151" s="1" t="s">
        <v>77</v>
      </c>
      <c r="Y151" s="1" t="s">
        <v>138</v>
      </c>
      <c r="Z151" s="1" t="s">
        <v>1560</v>
      </c>
      <c r="AA151" s="1" t="s">
        <v>1561</v>
      </c>
      <c r="AB151" s="1" t="s">
        <v>1562</v>
      </c>
      <c r="AC151" s="1" t="s">
        <v>1563</v>
      </c>
      <c r="AE151" s="1" t="s">
        <v>83</v>
      </c>
      <c r="AV151" s="1" t="s">
        <v>84</v>
      </c>
      <c r="AX151" s="1" t="s">
        <v>129</v>
      </c>
      <c r="BI151" s="1" t="s">
        <v>84</v>
      </c>
      <c r="BN151" s="1" t="s">
        <v>1541</v>
      </c>
      <c r="BO151" s="1" t="s">
        <v>1542</v>
      </c>
    </row>
    <row r="152">
      <c r="A152" s="1" t="s">
        <v>1564</v>
      </c>
      <c r="B152" s="1" t="s">
        <v>1565</v>
      </c>
      <c r="C152" s="1" t="s">
        <v>1566</v>
      </c>
      <c r="D152" s="1" t="s">
        <v>92</v>
      </c>
      <c r="E152" s="2" t="s">
        <v>1567</v>
      </c>
      <c r="J152" s="1">
        <v>39.0</v>
      </c>
      <c r="K152" s="1" t="s">
        <v>562</v>
      </c>
      <c r="L152" s="1" t="s">
        <v>72</v>
      </c>
      <c r="N152" s="1" t="s">
        <v>235</v>
      </c>
      <c r="O152" s="1">
        <v>-13.74045802</v>
      </c>
      <c r="Q152" s="1" t="s">
        <v>75</v>
      </c>
      <c r="R152" s="1" t="s">
        <v>1568</v>
      </c>
      <c r="W152" s="1" t="s">
        <v>858</v>
      </c>
      <c r="X152" s="1" t="s">
        <v>77</v>
      </c>
      <c r="Y152" s="1" t="s">
        <v>78</v>
      </c>
      <c r="Z152" s="1" t="s">
        <v>1548</v>
      </c>
      <c r="AA152" s="1" t="s">
        <v>1569</v>
      </c>
      <c r="AB152" s="1" t="s">
        <v>1570</v>
      </c>
      <c r="AC152" s="1" t="s">
        <v>1571</v>
      </c>
      <c r="AE152" s="1" t="s">
        <v>83</v>
      </c>
      <c r="AH152" s="1" t="s">
        <v>85</v>
      </c>
      <c r="AR152" s="1" t="s">
        <v>85</v>
      </c>
      <c r="BF152" s="1" t="s">
        <v>84</v>
      </c>
      <c r="BN152" s="1" t="s">
        <v>1572</v>
      </c>
      <c r="BO152" s="1" t="s">
        <v>1573</v>
      </c>
    </row>
    <row r="153">
      <c r="A153" s="1" t="s">
        <v>1574</v>
      </c>
      <c r="B153" s="1" t="s">
        <v>1575</v>
      </c>
      <c r="C153" s="1" t="s">
        <v>1576</v>
      </c>
      <c r="D153" s="1" t="s">
        <v>92</v>
      </c>
      <c r="E153" s="2" t="s">
        <v>1577</v>
      </c>
      <c r="J153" s="1">
        <v>33.0</v>
      </c>
      <c r="K153" s="1" t="s">
        <v>71</v>
      </c>
      <c r="L153" s="1" t="s">
        <v>72</v>
      </c>
      <c r="M153" s="1" t="s">
        <v>73</v>
      </c>
      <c r="N153" s="1" t="s">
        <v>43</v>
      </c>
      <c r="O153" s="1">
        <v>-4.166666667</v>
      </c>
      <c r="Q153" s="1" t="s">
        <v>149</v>
      </c>
      <c r="W153" s="1" t="s">
        <v>1578</v>
      </c>
      <c r="Y153" s="1" t="s">
        <v>138</v>
      </c>
      <c r="Z153" s="1" t="s">
        <v>1579</v>
      </c>
      <c r="AA153" s="1" t="s">
        <v>1580</v>
      </c>
      <c r="AB153" s="1" t="s">
        <v>1581</v>
      </c>
      <c r="AC153" s="1" t="s">
        <v>1582</v>
      </c>
      <c r="AE153" s="1" t="s">
        <v>83</v>
      </c>
      <c r="AS153" s="1" t="s">
        <v>85</v>
      </c>
      <c r="BI153" s="1" t="s">
        <v>85</v>
      </c>
    </row>
    <row r="154">
      <c r="A154" s="1" t="s">
        <v>1583</v>
      </c>
      <c r="B154" s="1" t="s">
        <v>1584</v>
      </c>
      <c r="C154" s="1" t="s">
        <v>1585</v>
      </c>
      <c r="D154" s="1" t="s">
        <v>92</v>
      </c>
      <c r="E154" s="2" t="s">
        <v>1586</v>
      </c>
      <c r="J154" s="1">
        <v>50.0</v>
      </c>
      <c r="K154" s="1" t="s">
        <v>71</v>
      </c>
      <c r="L154" s="1" t="s">
        <v>72</v>
      </c>
      <c r="M154" s="1" t="s">
        <v>73</v>
      </c>
      <c r="N154" s="1" t="s">
        <v>1281</v>
      </c>
      <c r="O154" s="1">
        <v>-13.74045802</v>
      </c>
      <c r="Q154" s="1" t="s">
        <v>149</v>
      </c>
      <c r="R154" s="1" t="s">
        <v>1568</v>
      </c>
      <c r="Y154" s="1" t="s">
        <v>138</v>
      </c>
      <c r="Z154" s="1" t="s">
        <v>1587</v>
      </c>
      <c r="AA154" s="1" t="s">
        <v>1588</v>
      </c>
      <c r="AB154" s="1" t="s">
        <v>1589</v>
      </c>
      <c r="AC154" s="1" t="s">
        <v>1590</v>
      </c>
      <c r="AE154" s="1" t="s">
        <v>83</v>
      </c>
      <c r="AP154" s="1" t="s">
        <v>85</v>
      </c>
      <c r="BA154" s="1" t="s">
        <v>85</v>
      </c>
      <c r="BJ154" s="1" t="s">
        <v>85</v>
      </c>
      <c r="BN154" s="1" t="s">
        <v>1591</v>
      </c>
      <c r="BO154" s="1" t="s">
        <v>1573</v>
      </c>
    </row>
    <row r="155">
      <c r="A155" s="1" t="s">
        <v>1592</v>
      </c>
      <c r="B155" s="1" t="s">
        <v>1593</v>
      </c>
      <c r="C155" s="1" t="s">
        <v>1594</v>
      </c>
      <c r="D155" s="1" t="s">
        <v>92</v>
      </c>
      <c r="E155" s="2" t="s">
        <v>1595</v>
      </c>
      <c r="J155" s="1">
        <v>38.0</v>
      </c>
      <c r="K155" s="1" t="s">
        <v>71</v>
      </c>
      <c r="L155" s="1" t="s">
        <v>72</v>
      </c>
      <c r="M155" s="1" t="s">
        <v>73</v>
      </c>
      <c r="N155" s="1" t="s">
        <v>43</v>
      </c>
      <c r="Q155" s="1" t="s">
        <v>149</v>
      </c>
      <c r="R155" s="1" t="s">
        <v>137</v>
      </c>
      <c r="W155" s="1" t="s">
        <v>858</v>
      </c>
      <c r="Y155" s="1" t="s">
        <v>78</v>
      </c>
      <c r="Z155" s="1" t="s">
        <v>1596</v>
      </c>
      <c r="AA155" s="1" t="s">
        <v>1597</v>
      </c>
      <c r="AB155" s="1" t="s">
        <v>1598</v>
      </c>
      <c r="AC155" s="1" t="s">
        <v>1599</v>
      </c>
      <c r="AE155" s="1" t="s">
        <v>83</v>
      </c>
      <c r="AT155" s="1" t="s">
        <v>85</v>
      </c>
      <c r="AW155" s="1" t="s">
        <v>84</v>
      </c>
      <c r="BN155" s="1" t="s">
        <v>137</v>
      </c>
      <c r="BO155" s="1" t="s">
        <v>137</v>
      </c>
    </row>
    <row r="156">
      <c r="A156" s="1" t="s">
        <v>1600</v>
      </c>
      <c r="B156" s="1" t="s">
        <v>1601</v>
      </c>
      <c r="C156" s="1" t="s">
        <v>1602</v>
      </c>
      <c r="D156" s="1" t="s">
        <v>92</v>
      </c>
      <c r="E156" s="2" t="s">
        <v>1603</v>
      </c>
      <c r="J156" s="1">
        <v>35.0</v>
      </c>
      <c r="K156" s="1" t="s">
        <v>1604</v>
      </c>
      <c r="L156" s="1" t="s">
        <v>72</v>
      </c>
      <c r="M156" s="1" t="s">
        <v>108</v>
      </c>
      <c r="N156" s="1" t="s">
        <v>109</v>
      </c>
      <c r="O156" s="1">
        <v>-14.85148515</v>
      </c>
      <c r="Q156" s="1" t="s">
        <v>75</v>
      </c>
      <c r="R156" s="1" t="s">
        <v>1605</v>
      </c>
      <c r="X156" s="1" t="s">
        <v>77</v>
      </c>
      <c r="Y156" s="1" t="s">
        <v>78</v>
      </c>
      <c r="Z156" s="1" t="s">
        <v>1118</v>
      </c>
      <c r="AA156" s="1" t="s">
        <v>1606</v>
      </c>
      <c r="AB156" s="1" t="s">
        <v>1607</v>
      </c>
      <c r="AC156" s="1" t="s">
        <v>1608</v>
      </c>
      <c r="AE156" s="1" t="s">
        <v>83</v>
      </c>
      <c r="AH156" s="1" t="s">
        <v>84</v>
      </c>
      <c r="AI156" s="1" t="s">
        <v>84</v>
      </c>
      <c r="AJ156" s="1" t="s">
        <v>84</v>
      </c>
      <c r="AM156" s="1" t="s">
        <v>85</v>
      </c>
      <c r="AS156" s="1" t="s">
        <v>85</v>
      </c>
      <c r="AT156" s="1" t="s">
        <v>85</v>
      </c>
      <c r="AZ156" s="1" t="s">
        <v>85</v>
      </c>
      <c r="BE156" s="1" t="s">
        <v>84</v>
      </c>
      <c r="BK156" s="1" t="s">
        <v>86</v>
      </c>
      <c r="BN156" s="1" t="s">
        <v>1609</v>
      </c>
      <c r="BO156" s="1" t="s">
        <v>1610</v>
      </c>
    </row>
    <row r="157">
      <c r="A157" s="1" t="s">
        <v>1611</v>
      </c>
      <c r="B157" s="1" t="s">
        <v>1612</v>
      </c>
      <c r="C157" s="1" t="s">
        <v>1613</v>
      </c>
      <c r="D157" s="1" t="s">
        <v>92</v>
      </c>
      <c r="E157" s="2" t="s">
        <v>1614</v>
      </c>
      <c r="J157" s="1">
        <v>50.0</v>
      </c>
      <c r="K157" s="1" t="s">
        <v>71</v>
      </c>
      <c r="L157" s="1" t="s">
        <v>72</v>
      </c>
      <c r="M157" s="1" t="s">
        <v>73</v>
      </c>
      <c r="N157" s="1" t="s">
        <v>285</v>
      </c>
      <c r="O157" s="1">
        <v>10.40723982</v>
      </c>
      <c r="Q157" s="1" t="s">
        <v>149</v>
      </c>
      <c r="R157" s="1" t="s">
        <v>137</v>
      </c>
      <c r="W157" s="1" t="s">
        <v>858</v>
      </c>
      <c r="Y157" s="1" t="s">
        <v>78</v>
      </c>
      <c r="Z157" s="1" t="s">
        <v>1615</v>
      </c>
      <c r="AA157" s="1" t="s">
        <v>1616</v>
      </c>
      <c r="AB157" s="1" t="s">
        <v>1617</v>
      </c>
      <c r="AC157" s="1" t="s">
        <v>1618</v>
      </c>
      <c r="AE157" s="1" t="s">
        <v>83</v>
      </c>
      <c r="AP157" s="1" t="s">
        <v>84</v>
      </c>
      <c r="AW157" s="1" t="s">
        <v>85</v>
      </c>
      <c r="BA157" s="1" t="s">
        <v>84</v>
      </c>
      <c r="BJ157" s="1" t="s">
        <v>84</v>
      </c>
      <c r="BN157" s="1" t="s">
        <v>1619</v>
      </c>
      <c r="BO157" s="1" t="s">
        <v>137</v>
      </c>
    </row>
    <row r="158">
      <c r="A158" s="1" t="s">
        <v>1620</v>
      </c>
      <c r="B158" s="1" t="s">
        <v>1621</v>
      </c>
    </row>
    <row r="159">
      <c r="B159" s="1" t="s">
        <v>1622</v>
      </c>
      <c r="C159" s="1" t="s">
        <v>92</v>
      </c>
      <c r="D159" s="2" t="s">
        <v>1623</v>
      </c>
      <c r="I159" s="1">
        <v>28.0</v>
      </c>
      <c r="J159" s="1" t="s">
        <v>71</v>
      </c>
      <c r="K159" s="1" t="s">
        <v>72</v>
      </c>
      <c r="L159" s="1" t="s">
        <v>73</v>
      </c>
      <c r="M159" s="1" t="s">
        <v>40</v>
      </c>
      <c r="N159" s="1">
        <v>-23.39181287</v>
      </c>
      <c r="P159" s="1" t="s">
        <v>75</v>
      </c>
      <c r="Q159" s="1" t="s">
        <v>1624</v>
      </c>
      <c r="V159" s="1" t="s">
        <v>858</v>
      </c>
      <c r="W159" s="1" t="s">
        <v>77</v>
      </c>
      <c r="X159" s="1" t="s">
        <v>78</v>
      </c>
      <c r="Y159" s="1" t="s">
        <v>1625</v>
      </c>
      <c r="Z159" s="1" t="s">
        <v>1626</v>
      </c>
      <c r="AA159" s="1" t="s">
        <v>1627</v>
      </c>
      <c r="AB159" s="1" t="s">
        <v>1628</v>
      </c>
      <c r="AD159" s="1" t="s">
        <v>83</v>
      </c>
      <c r="AN159" s="1" t="s">
        <v>84</v>
      </c>
      <c r="AT159" s="1" t="s">
        <v>84</v>
      </c>
      <c r="AU159" s="1" t="s">
        <v>84</v>
      </c>
      <c r="BC159" s="1" t="s">
        <v>85</v>
      </c>
      <c r="BM159" s="1" t="s">
        <v>1363</v>
      </c>
      <c r="BN159" s="1" t="s">
        <v>1629</v>
      </c>
    </row>
    <row r="160">
      <c r="A160" s="1" t="s">
        <v>1630</v>
      </c>
      <c r="B160" s="1" t="s">
        <v>1631</v>
      </c>
      <c r="C160" s="1" t="s">
        <v>1632</v>
      </c>
      <c r="D160" s="1" t="s">
        <v>92</v>
      </c>
      <c r="E160" s="2" t="s">
        <v>1633</v>
      </c>
      <c r="J160" s="1">
        <v>39.0</v>
      </c>
      <c r="K160" s="1" t="s">
        <v>71</v>
      </c>
      <c r="L160" s="1" t="s">
        <v>72</v>
      </c>
      <c r="M160" s="1" t="s">
        <v>108</v>
      </c>
      <c r="N160" s="1" t="s">
        <v>44</v>
      </c>
      <c r="O160" s="1">
        <v>-33.88429752</v>
      </c>
      <c r="Q160" s="1" t="s">
        <v>149</v>
      </c>
      <c r="R160" s="1" t="s">
        <v>286</v>
      </c>
      <c r="Y160" s="1" t="s">
        <v>78</v>
      </c>
      <c r="Z160" s="1" t="s">
        <v>1634</v>
      </c>
      <c r="AA160" s="1" t="s">
        <v>1635</v>
      </c>
      <c r="AB160" s="1" t="s">
        <v>1636</v>
      </c>
      <c r="AC160" s="1" t="s">
        <v>1637</v>
      </c>
      <c r="AE160" s="1" t="s">
        <v>83</v>
      </c>
      <c r="AH160" s="1" t="s">
        <v>85</v>
      </c>
      <c r="AI160" s="1" t="s">
        <v>85</v>
      </c>
      <c r="AJ160" s="1" t="s">
        <v>84</v>
      </c>
      <c r="AM160" s="1" t="s">
        <v>85</v>
      </c>
      <c r="AT160" s="1" t="s">
        <v>84</v>
      </c>
      <c r="BN160" s="1" t="s">
        <v>286</v>
      </c>
      <c r="BO160" s="1" t="s">
        <v>286</v>
      </c>
    </row>
    <row r="161">
      <c r="A161" s="1" t="s">
        <v>1638</v>
      </c>
      <c r="B161" s="1" t="s">
        <v>1639</v>
      </c>
      <c r="C161" s="1" t="s">
        <v>1640</v>
      </c>
      <c r="D161" s="1" t="s">
        <v>92</v>
      </c>
      <c r="E161" s="2" t="s">
        <v>1641</v>
      </c>
      <c r="J161" s="1">
        <v>35.0</v>
      </c>
      <c r="K161" s="1" t="s">
        <v>71</v>
      </c>
      <c r="L161" s="1" t="s">
        <v>72</v>
      </c>
      <c r="M161" s="1" t="s">
        <v>73</v>
      </c>
      <c r="N161" s="1" t="s">
        <v>285</v>
      </c>
      <c r="O161" s="1">
        <v>-25.86206897</v>
      </c>
      <c r="Q161" s="1" t="s">
        <v>149</v>
      </c>
      <c r="R161" s="1" t="s">
        <v>1642</v>
      </c>
      <c r="W161" s="1" t="s">
        <v>858</v>
      </c>
      <c r="Y161" s="1" t="s">
        <v>78</v>
      </c>
      <c r="Z161" s="1" t="s">
        <v>1643</v>
      </c>
      <c r="AA161" s="1" t="s">
        <v>1644</v>
      </c>
      <c r="AB161" s="1" t="s">
        <v>1645</v>
      </c>
      <c r="AC161" s="1" t="s">
        <v>1646</v>
      </c>
      <c r="AE161" s="1" t="s">
        <v>83</v>
      </c>
      <c r="AP161" s="1" t="s">
        <v>84</v>
      </c>
      <c r="AU161" s="1" t="s">
        <v>84</v>
      </c>
      <c r="AW161" s="1" t="s">
        <v>84</v>
      </c>
      <c r="BA161" s="1" t="s">
        <v>84</v>
      </c>
      <c r="BJ161" s="1" t="s">
        <v>84</v>
      </c>
      <c r="BN161" s="1" t="s">
        <v>1647</v>
      </c>
      <c r="BO161" s="1" t="s">
        <v>137</v>
      </c>
    </row>
    <row r="162">
      <c r="A162" s="1" t="s">
        <v>1648</v>
      </c>
      <c r="B162" s="1" t="s">
        <v>1649</v>
      </c>
      <c r="C162" s="1" t="s">
        <v>1650</v>
      </c>
      <c r="D162" s="1" t="s">
        <v>92</v>
      </c>
      <c r="E162" s="2" t="s">
        <v>1651</v>
      </c>
      <c r="J162" s="1">
        <v>48.0</v>
      </c>
      <c r="K162" s="1" t="s">
        <v>1201</v>
      </c>
      <c r="L162" s="1" t="s">
        <v>72</v>
      </c>
      <c r="M162" s="1" t="s">
        <v>73</v>
      </c>
      <c r="N162" s="1" t="s">
        <v>285</v>
      </c>
      <c r="O162" s="1">
        <v>-6.756756757</v>
      </c>
      <c r="Q162" s="1" t="s">
        <v>149</v>
      </c>
      <c r="R162" s="1" t="s">
        <v>1642</v>
      </c>
      <c r="W162" s="1" t="s">
        <v>858</v>
      </c>
      <c r="Y162" s="1" t="s">
        <v>78</v>
      </c>
      <c r="Z162" s="1" t="s">
        <v>1652</v>
      </c>
      <c r="AA162" s="1" t="s">
        <v>1653</v>
      </c>
      <c r="AB162" s="1" t="s">
        <v>1654</v>
      </c>
      <c r="AC162" s="1" t="s">
        <v>1655</v>
      </c>
      <c r="AE162" s="1" t="s">
        <v>83</v>
      </c>
      <c r="AP162" s="1" t="s">
        <v>84</v>
      </c>
      <c r="AU162" s="1" t="s">
        <v>84</v>
      </c>
      <c r="AW162" s="1" t="s">
        <v>84</v>
      </c>
      <c r="BA162" s="1" t="s">
        <v>84</v>
      </c>
      <c r="BJ162" s="1" t="s">
        <v>84</v>
      </c>
      <c r="BN162" s="1" t="s">
        <v>1619</v>
      </c>
      <c r="BO162" s="1" t="s">
        <v>137</v>
      </c>
    </row>
    <row r="163">
      <c r="A163" s="1" t="s">
        <v>1656</v>
      </c>
      <c r="B163" s="1" t="s">
        <v>1657</v>
      </c>
      <c r="C163" s="1" t="s">
        <v>1658</v>
      </c>
      <c r="D163" s="1" t="s">
        <v>92</v>
      </c>
      <c r="E163" s="2" t="s">
        <v>1659</v>
      </c>
      <c r="J163" s="1">
        <v>25.0</v>
      </c>
      <c r="K163" s="1" t="s">
        <v>94</v>
      </c>
      <c r="L163" s="1" t="s">
        <v>72</v>
      </c>
      <c r="M163" s="1" t="s">
        <v>108</v>
      </c>
      <c r="N163" s="1" t="s">
        <v>44</v>
      </c>
      <c r="O163" s="1">
        <v>-6.451612903</v>
      </c>
      <c r="Q163" s="1" t="s">
        <v>149</v>
      </c>
      <c r="R163" s="1" t="s">
        <v>137</v>
      </c>
      <c r="W163" s="1" t="s">
        <v>858</v>
      </c>
      <c r="Y163" s="1" t="s">
        <v>78</v>
      </c>
      <c r="Z163" s="1" t="s">
        <v>1643</v>
      </c>
      <c r="AA163" s="1" t="s">
        <v>1660</v>
      </c>
      <c r="AB163" s="1" t="s">
        <v>1661</v>
      </c>
      <c r="AC163" s="1" t="s">
        <v>1662</v>
      </c>
      <c r="AE163" s="1" t="s">
        <v>83</v>
      </c>
      <c r="AJ163" s="1" t="s">
        <v>84</v>
      </c>
      <c r="AT163" s="1" t="s">
        <v>84</v>
      </c>
      <c r="BN163" s="1" t="s">
        <v>137</v>
      </c>
      <c r="BO163" s="1" t="s">
        <v>137</v>
      </c>
    </row>
    <row r="164">
      <c r="A164" s="1" t="s">
        <v>1663</v>
      </c>
      <c r="B164" s="1" t="s">
        <v>1664</v>
      </c>
      <c r="C164" s="1" t="s">
        <v>1665</v>
      </c>
      <c r="D164" s="1" t="s">
        <v>92</v>
      </c>
      <c r="E164" s="2" t="s">
        <v>1666</v>
      </c>
      <c r="J164" s="1">
        <v>38.0</v>
      </c>
      <c r="K164" s="1" t="s">
        <v>71</v>
      </c>
      <c r="L164" s="1" t="s">
        <v>72</v>
      </c>
      <c r="M164" s="1" t="s">
        <v>73</v>
      </c>
      <c r="N164" s="1" t="s">
        <v>285</v>
      </c>
      <c r="O164" s="1">
        <v>-6.756756757</v>
      </c>
      <c r="Q164" s="1" t="s">
        <v>149</v>
      </c>
      <c r="R164" s="1" t="s">
        <v>454</v>
      </c>
      <c r="W164" s="1" t="s">
        <v>858</v>
      </c>
      <c r="Y164" s="1" t="s">
        <v>78</v>
      </c>
      <c r="Z164" s="1" t="s">
        <v>1667</v>
      </c>
      <c r="AA164" s="1" t="s">
        <v>1668</v>
      </c>
      <c r="AB164" s="1" t="s">
        <v>1669</v>
      </c>
      <c r="AC164" s="1" t="s">
        <v>1670</v>
      </c>
      <c r="AE164" s="1" t="s">
        <v>83</v>
      </c>
      <c r="AP164" s="1" t="s">
        <v>84</v>
      </c>
      <c r="AU164" s="1" t="s">
        <v>84</v>
      </c>
      <c r="AW164" s="1" t="s">
        <v>84</v>
      </c>
      <c r="BA164" s="1" t="s">
        <v>84</v>
      </c>
      <c r="BJ164" s="1" t="s">
        <v>85</v>
      </c>
      <c r="BM164" s="1" t="s">
        <v>86</v>
      </c>
      <c r="BN164" s="1" t="s">
        <v>1671</v>
      </c>
      <c r="BO164" s="1" t="s">
        <v>137</v>
      </c>
      <c r="BP164" s="1" t="s">
        <v>1672</v>
      </c>
    </row>
    <row r="165">
      <c r="A165" s="1" t="s">
        <v>1673</v>
      </c>
      <c r="B165" s="1" t="s">
        <v>1674</v>
      </c>
      <c r="C165" s="1" t="s">
        <v>1675</v>
      </c>
      <c r="D165" s="1" t="s">
        <v>92</v>
      </c>
      <c r="E165" s="2" t="s">
        <v>1676</v>
      </c>
      <c r="J165" s="1">
        <v>62.0</v>
      </c>
      <c r="K165" s="1" t="s">
        <v>71</v>
      </c>
      <c r="L165" s="1" t="s">
        <v>72</v>
      </c>
      <c r="M165" s="1" t="s">
        <v>73</v>
      </c>
      <c r="N165" s="1" t="s">
        <v>43</v>
      </c>
      <c r="O165" s="1">
        <v>-21.53846154</v>
      </c>
      <c r="Q165" s="1" t="s">
        <v>149</v>
      </c>
      <c r="R165" s="1" t="s">
        <v>137</v>
      </c>
      <c r="W165" s="1" t="s">
        <v>1677</v>
      </c>
      <c r="Y165" s="1" t="s">
        <v>78</v>
      </c>
      <c r="Z165" s="1" t="s">
        <v>1678</v>
      </c>
      <c r="AA165" s="1" t="s">
        <v>1679</v>
      </c>
      <c r="AB165" s="1" t="s">
        <v>1680</v>
      </c>
      <c r="AC165" s="1" t="s">
        <v>1681</v>
      </c>
      <c r="AE165" s="1" t="s">
        <v>83</v>
      </c>
      <c r="AS165" s="1" t="s">
        <v>84</v>
      </c>
      <c r="BA165" s="1" t="s">
        <v>84</v>
      </c>
      <c r="BN165" s="1" t="s">
        <v>137</v>
      </c>
      <c r="BO165" s="1" t="s">
        <v>137</v>
      </c>
    </row>
    <row r="166">
      <c r="A166" s="1" t="s">
        <v>1682</v>
      </c>
      <c r="B166" s="1" t="s">
        <v>1683</v>
      </c>
      <c r="C166" s="1" t="s">
        <v>1684</v>
      </c>
      <c r="D166" s="1" t="s">
        <v>92</v>
      </c>
      <c r="E166" s="2" t="s">
        <v>1685</v>
      </c>
      <c r="J166" s="1">
        <v>39.0</v>
      </c>
      <c r="K166" s="1" t="s">
        <v>123</v>
      </c>
      <c r="L166" s="1" t="s">
        <v>72</v>
      </c>
      <c r="M166" s="1" t="s">
        <v>108</v>
      </c>
      <c r="N166" s="1" t="s">
        <v>44</v>
      </c>
      <c r="O166" s="1">
        <v>-21.76870748</v>
      </c>
      <c r="Q166" s="1" t="s">
        <v>149</v>
      </c>
      <c r="R166" s="1" t="s">
        <v>137</v>
      </c>
      <c r="W166" s="1" t="s">
        <v>858</v>
      </c>
      <c r="Y166" s="1" t="s">
        <v>78</v>
      </c>
      <c r="Z166" s="1" t="s">
        <v>1686</v>
      </c>
      <c r="AA166" s="1" t="s">
        <v>1687</v>
      </c>
      <c r="AB166" s="1" t="s">
        <v>1688</v>
      </c>
      <c r="AC166" s="1" t="s">
        <v>1689</v>
      </c>
      <c r="AE166" s="1" t="s">
        <v>83</v>
      </c>
      <c r="AH166" s="1" t="s">
        <v>85</v>
      </c>
      <c r="AI166" s="1" t="s">
        <v>85</v>
      </c>
      <c r="AJ166" s="1" t="s">
        <v>84</v>
      </c>
      <c r="AT166" s="1" t="s">
        <v>84</v>
      </c>
      <c r="BN166" s="1" t="s">
        <v>137</v>
      </c>
      <c r="BO166" s="1" t="s">
        <v>137</v>
      </c>
      <c r="BP166" s="1" t="s">
        <v>1672</v>
      </c>
    </row>
    <row r="167">
      <c r="A167" s="1" t="s">
        <v>1690</v>
      </c>
      <c r="B167" s="1" t="s">
        <v>1691</v>
      </c>
      <c r="C167" s="1" t="s">
        <v>1692</v>
      </c>
      <c r="D167" s="1" t="s">
        <v>92</v>
      </c>
      <c r="E167" s="2" t="s">
        <v>1676</v>
      </c>
      <c r="J167" s="1">
        <v>35.0</v>
      </c>
      <c r="K167" s="1" t="s">
        <v>1693</v>
      </c>
      <c r="L167" s="1" t="s">
        <v>72</v>
      </c>
      <c r="M167" s="1" t="s">
        <v>108</v>
      </c>
      <c r="N167" s="1" t="s">
        <v>109</v>
      </c>
      <c r="O167" s="1">
        <v>4.761904762</v>
      </c>
      <c r="Q167" s="1" t="s">
        <v>75</v>
      </c>
      <c r="R167" s="1" t="s">
        <v>824</v>
      </c>
      <c r="W167" s="1" t="s">
        <v>1694</v>
      </c>
      <c r="Y167" s="1" t="s">
        <v>78</v>
      </c>
      <c r="Z167" s="1" t="s">
        <v>1695</v>
      </c>
      <c r="AA167" s="1" t="s">
        <v>1696</v>
      </c>
      <c r="AB167" s="1" t="s">
        <v>1697</v>
      </c>
      <c r="AC167" s="1" t="s">
        <v>1698</v>
      </c>
      <c r="AE167" s="1" t="s">
        <v>83</v>
      </c>
      <c r="AH167" s="1" t="s">
        <v>84</v>
      </c>
      <c r="AI167" s="1" t="s">
        <v>84</v>
      </c>
      <c r="AJ167" s="1" t="s">
        <v>84</v>
      </c>
      <c r="AM167" s="1" t="s">
        <v>85</v>
      </c>
      <c r="AS167" s="1" t="s">
        <v>85</v>
      </c>
      <c r="AT167" s="1" t="s">
        <v>85</v>
      </c>
      <c r="BE167" s="1" t="s">
        <v>84</v>
      </c>
      <c r="BN167" s="1" t="s">
        <v>1699</v>
      </c>
      <c r="BO167" s="1" t="s">
        <v>1700</v>
      </c>
    </row>
    <row r="168">
      <c r="A168" s="1" t="s">
        <v>1701</v>
      </c>
      <c r="B168" s="1" t="s">
        <v>1702</v>
      </c>
      <c r="C168" s="1" t="s">
        <v>1703</v>
      </c>
      <c r="D168" s="1" t="s">
        <v>92</v>
      </c>
      <c r="E168" s="2" t="s">
        <v>1704</v>
      </c>
      <c r="J168" s="1">
        <v>45.0</v>
      </c>
      <c r="K168" s="1" t="s">
        <v>1705</v>
      </c>
      <c r="L168" s="1" t="s">
        <v>72</v>
      </c>
      <c r="M168" s="1" t="s">
        <v>73</v>
      </c>
      <c r="N168" s="1" t="s">
        <v>259</v>
      </c>
      <c r="O168" s="1">
        <v>-5.714285714</v>
      </c>
      <c r="Q168" s="1" t="s">
        <v>149</v>
      </c>
      <c r="R168" s="1" t="s">
        <v>137</v>
      </c>
      <c r="Y168" s="1" t="s">
        <v>78</v>
      </c>
      <c r="Z168" s="1" t="s">
        <v>1686</v>
      </c>
      <c r="AA168" s="1" t="s">
        <v>1706</v>
      </c>
      <c r="AB168" s="1" t="s">
        <v>1707</v>
      </c>
      <c r="AC168" s="1" t="s">
        <v>1708</v>
      </c>
      <c r="AE168" s="1" t="s">
        <v>83</v>
      </c>
      <c r="AJ168" s="1" t="s">
        <v>85</v>
      </c>
      <c r="AT168" s="1" t="s">
        <v>85</v>
      </c>
      <c r="BC168" s="1" t="s">
        <v>84</v>
      </c>
      <c r="BN168" s="1" t="s">
        <v>1709</v>
      </c>
      <c r="BO168" s="1" t="s">
        <v>137</v>
      </c>
    </row>
    <row r="169">
      <c r="A169" s="1" t="s">
        <v>1710</v>
      </c>
      <c r="B169" s="1" t="s">
        <v>1711</v>
      </c>
      <c r="C169" s="1" t="s">
        <v>1712</v>
      </c>
      <c r="D169" s="1" t="s">
        <v>92</v>
      </c>
      <c r="E169" s="2" t="s">
        <v>1713</v>
      </c>
      <c r="J169" s="1">
        <v>35.0</v>
      </c>
      <c r="K169" s="1" t="s">
        <v>336</v>
      </c>
      <c r="L169" s="1" t="s">
        <v>72</v>
      </c>
      <c r="M169" s="1" t="s">
        <v>73</v>
      </c>
      <c r="N169" s="1" t="s">
        <v>1281</v>
      </c>
      <c r="O169" s="1">
        <v>-43.125</v>
      </c>
      <c r="Q169" s="1" t="s">
        <v>149</v>
      </c>
      <c r="R169" s="1" t="s">
        <v>137</v>
      </c>
      <c r="W169" s="1" t="s">
        <v>858</v>
      </c>
      <c r="Y169" s="1" t="s">
        <v>78</v>
      </c>
      <c r="Z169" s="1" t="s">
        <v>1714</v>
      </c>
      <c r="AA169" s="1" t="s">
        <v>1715</v>
      </c>
      <c r="AB169" s="1" t="s">
        <v>1716</v>
      </c>
      <c r="AC169" s="1" t="s">
        <v>1717</v>
      </c>
      <c r="AE169" s="1" t="s">
        <v>83</v>
      </c>
      <c r="AP169" s="1" t="s">
        <v>85</v>
      </c>
      <c r="AU169" s="1" t="s">
        <v>84</v>
      </c>
      <c r="AW169" s="1" t="s">
        <v>129</v>
      </c>
      <c r="BA169" s="1" t="s">
        <v>84</v>
      </c>
      <c r="BJ169" s="1" t="s">
        <v>85</v>
      </c>
      <c r="BN169" s="1" t="s">
        <v>1718</v>
      </c>
      <c r="BO169" s="1" t="s">
        <v>137</v>
      </c>
    </row>
    <row r="170">
      <c r="A170" s="1" t="s">
        <v>1719</v>
      </c>
      <c r="B170" s="1" t="s">
        <v>1720</v>
      </c>
      <c r="C170" s="1" t="s">
        <v>1721</v>
      </c>
      <c r="D170" s="1" t="s">
        <v>92</v>
      </c>
      <c r="E170" s="2" t="s">
        <v>1722</v>
      </c>
      <c r="J170" s="1">
        <v>30.0</v>
      </c>
      <c r="K170" s="1" t="s">
        <v>71</v>
      </c>
      <c r="L170" s="1" t="s">
        <v>72</v>
      </c>
      <c r="M170" s="1" t="s">
        <v>73</v>
      </c>
      <c r="N170" s="1" t="s">
        <v>40</v>
      </c>
      <c r="O170" s="1">
        <v>-45.79439252</v>
      </c>
      <c r="Q170" s="1" t="s">
        <v>149</v>
      </c>
      <c r="R170" s="1" t="s">
        <v>1723</v>
      </c>
      <c r="W170" s="1" t="s">
        <v>858</v>
      </c>
      <c r="Y170" s="1" t="s">
        <v>78</v>
      </c>
      <c r="Z170" s="1" t="s">
        <v>1724</v>
      </c>
      <c r="AA170" s="1" t="s">
        <v>1725</v>
      </c>
      <c r="AB170" s="1" t="s">
        <v>1726</v>
      </c>
      <c r="AC170" s="1" t="s">
        <v>1727</v>
      </c>
      <c r="AE170" s="1" t="s">
        <v>83</v>
      </c>
      <c r="AO170" s="1" t="s">
        <v>84</v>
      </c>
      <c r="AU170" s="1" t="s">
        <v>84</v>
      </c>
      <c r="AV170" s="1" t="s">
        <v>85</v>
      </c>
      <c r="BN170" s="1" t="s">
        <v>137</v>
      </c>
      <c r="BO170" s="1" t="s">
        <v>137</v>
      </c>
    </row>
    <row r="171">
      <c r="A171" s="1" t="s">
        <v>1728</v>
      </c>
      <c r="B171" s="1" t="s">
        <v>1729</v>
      </c>
      <c r="C171" s="1" t="s">
        <v>1730</v>
      </c>
      <c r="D171" s="1" t="s">
        <v>92</v>
      </c>
      <c r="E171" s="2" t="s">
        <v>1731</v>
      </c>
      <c r="J171" s="1">
        <v>25.0</v>
      </c>
      <c r="K171" s="1" t="s">
        <v>71</v>
      </c>
      <c r="L171" s="1" t="s">
        <v>72</v>
      </c>
      <c r="N171" s="1" t="s">
        <v>1732</v>
      </c>
      <c r="O171" s="1">
        <v>-43.125</v>
      </c>
      <c r="Q171" s="1" t="s">
        <v>110</v>
      </c>
      <c r="R171" s="1" t="s">
        <v>1733</v>
      </c>
      <c r="W171" s="1" t="s">
        <v>858</v>
      </c>
      <c r="Y171" s="1" t="s">
        <v>78</v>
      </c>
      <c r="Z171" s="1" t="s">
        <v>1734</v>
      </c>
      <c r="AA171" s="1" t="s">
        <v>1735</v>
      </c>
      <c r="AB171" s="1" t="s">
        <v>1736</v>
      </c>
      <c r="AC171" s="1" t="s">
        <v>1737</v>
      </c>
      <c r="AE171" s="1" t="s">
        <v>83</v>
      </c>
      <c r="BF171" s="1" t="s">
        <v>84</v>
      </c>
      <c r="BN171" s="1" t="s">
        <v>1738</v>
      </c>
      <c r="BO171" s="1" t="s">
        <v>1739</v>
      </c>
    </row>
    <row r="172">
      <c r="A172" s="1" t="s">
        <v>1740</v>
      </c>
      <c r="B172" s="1" t="s">
        <v>1741</v>
      </c>
      <c r="C172" s="1" t="s">
        <v>1742</v>
      </c>
      <c r="D172" s="1" t="s">
        <v>92</v>
      </c>
      <c r="E172" s="2" t="s">
        <v>1743</v>
      </c>
      <c r="J172" s="1">
        <v>30.0</v>
      </c>
      <c r="K172" s="1" t="s">
        <v>1407</v>
      </c>
      <c r="L172" s="1" t="s">
        <v>72</v>
      </c>
      <c r="M172" s="1" t="s">
        <v>108</v>
      </c>
      <c r="N172" s="1" t="s">
        <v>109</v>
      </c>
      <c r="O172" s="1">
        <v>-19.75</v>
      </c>
      <c r="Q172" s="1" t="s">
        <v>149</v>
      </c>
      <c r="R172" s="1" t="s">
        <v>137</v>
      </c>
      <c r="W172" s="1" t="s">
        <v>858</v>
      </c>
      <c r="X172" s="1" t="s">
        <v>77</v>
      </c>
      <c r="Y172" s="1" t="s">
        <v>78</v>
      </c>
      <c r="Z172" s="1" t="s">
        <v>1744</v>
      </c>
      <c r="AA172" s="1" t="s">
        <v>1745</v>
      </c>
      <c r="AB172" s="1" t="s">
        <v>1746</v>
      </c>
      <c r="AC172" s="1" t="s">
        <v>1747</v>
      </c>
      <c r="AE172" s="1" t="s">
        <v>83</v>
      </c>
      <c r="AH172" s="1" t="s">
        <v>84</v>
      </c>
      <c r="AJ172" s="1" t="s">
        <v>84</v>
      </c>
      <c r="AM172" s="1" t="s">
        <v>85</v>
      </c>
      <c r="AS172" s="1" t="s">
        <v>85</v>
      </c>
      <c r="AT172" s="1" t="s">
        <v>85</v>
      </c>
      <c r="AZ172" s="1" t="s">
        <v>85</v>
      </c>
      <c r="BK172" s="1" t="s">
        <v>86</v>
      </c>
      <c r="BN172" s="1" t="s">
        <v>137</v>
      </c>
      <c r="BO172" s="1" t="s">
        <v>137</v>
      </c>
    </row>
    <row r="173">
      <c r="A173" s="1" t="s">
        <v>1748</v>
      </c>
      <c r="B173" s="1" t="s">
        <v>1749</v>
      </c>
      <c r="C173" s="1" t="s">
        <v>1750</v>
      </c>
      <c r="D173" s="1" t="s">
        <v>92</v>
      </c>
      <c r="E173" s="2" t="s">
        <v>1751</v>
      </c>
      <c r="J173" s="1">
        <v>30.0</v>
      </c>
      <c r="K173" s="1" t="s">
        <v>159</v>
      </c>
      <c r="L173" s="1" t="s">
        <v>72</v>
      </c>
      <c r="N173" s="1" t="s">
        <v>1732</v>
      </c>
      <c r="O173" s="1">
        <v>1.639344262</v>
      </c>
      <c r="Q173" s="1" t="s">
        <v>149</v>
      </c>
      <c r="R173" s="1" t="s">
        <v>137</v>
      </c>
      <c r="Y173" s="1" t="s">
        <v>78</v>
      </c>
      <c r="Z173" s="1" t="s">
        <v>1734</v>
      </c>
      <c r="AA173" s="1" t="s">
        <v>1752</v>
      </c>
      <c r="AB173" s="1" t="s">
        <v>1736</v>
      </c>
      <c r="AC173" s="1" t="s">
        <v>1753</v>
      </c>
      <c r="AE173" s="1" t="s">
        <v>83</v>
      </c>
      <c r="AR173" s="1" t="s">
        <v>84</v>
      </c>
      <c r="BN173" s="1" t="s">
        <v>137</v>
      </c>
      <c r="BO173" s="1" t="s">
        <v>137</v>
      </c>
    </row>
    <row r="174">
      <c r="A174" s="1" t="s">
        <v>1754</v>
      </c>
      <c r="B174" s="1" t="s">
        <v>1755</v>
      </c>
      <c r="C174" s="1" t="s">
        <v>1756</v>
      </c>
      <c r="D174" s="1" t="s">
        <v>92</v>
      </c>
      <c r="E174" s="2" t="s">
        <v>1757</v>
      </c>
      <c r="J174" s="1">
        <v>38.0</v>
      </c>
      <c r="K174" s="1" t="s">
        <v>71</v>
      </c>
      <c r="L174" s="1" t="s">
        <v>72</v>
      </c>
      <c r="M174" s="1" t="s">
        <v>108</v>
      </c>
      <c r="N174" s="1" t="s">
        <v>109</v>
      </c>
      <c r="O174" s="1">
        <v>1.153846154</v>
      </c>
      <c r="Q174" s="1" t="s">
        <v>110</v>
      </c>
      <c r="R174" s="1" t="s">
        <v>1605</v>
      </c>
      <c r="X174" s="1" t="s">
        <v>77</v>
      </c>
      <c r="Y174" s="1" t="s">
        <v>78</v>
      </c>
      <c r="Z174" s="1" t="s">
        <v>1744</v>
      </c>
      <c r="AA174" s="1" t="s">
        <v>1745</v>
      </c>
      <c r="AB174" s="1" t="s">
        <v>1746</v>
      </c>
      <c r="AC174" s="1" t="s">
        <v>1747</v>
      </c>
      <c r="AD174" s="1" t="s">
        <v>1758</v>
      </c>
      <c r="AE174" s="1" t="s">
        <v>83</v>
      </c>
      <c r="AI174" s="1" t="s">
        <v>129</v>
      </c>
      <c r="BE174" s="1" t="s">
        <v>84</v>
      </c>
      <c r="BK174" s="1" t="s">
        <v>86</v>
      </c>
      <c r="BN174" s="1" t="s">
        <v>1071</v>
      </c>
      <c r="BO174" s="1" t="s">
        <v>1759</v>
      </c>
    </row>
    <row r="175">
      <c r="A175" s="1" t="s">
        <v>1760</v>
      </c>
      <c r="B175" s="1" t="s">
        <v>1761</v>
      </c>
      <c r="C175" s="1" t="s">
        <v>1762</v>
      </c>
      <c r="D175" s="1" t="s">
        <v>92</v>
      </c>
      <c r="E175" s="2" t="s">
        <v>1763</v>
      </c>
      <c r="J175" s="1">
        <v>36.0</v>
      </c>
      <c r="K175" s="1" t="s">
        <v>71</v>
      </c>
      <c r="L175" s="1" t="s">
        <v>72</v>
      </c>
      <c r="M175" s="1" t="s">
        <v>73</v>
      </c>
      <c r="N175" s="1" t="s">
        <v>285</v>
      </c>
      <c r="O175" s="1">
        <v>-11.38014528</v>
      </c>
      <c r="Q175" s="1" t="s">
        <v>149</v>
      </c>
      <c r="R175" s="1" t="s">
        <v>1764</v>
      </c>
      <c r="W175" s="1" t="s">
        <v>858</v>
      </c>
      <c r="Y175" s="1" t="s">
        <v>78</v>
      </c>
      <c r="Z175" s="1" t="s">
        <v>1765</v>
      </c>
      <c r="AA175" s="1" t="s">
        <v>1766</v>
      </c>
      <c r="AB175" s="1" t="s">
        <v>1767</v>
      </c>
      <c r="AC175" s="1" t="s">
        <v>1768</v>
      </c>
      <c r="AE175" s="1" t="s">
        <v>83</v>
      </c>
      <c r="AP175" s="1" t="s">
        <v>84</v>
      </c>
      <c r="AU175" s="1" t="s">
        <v>84</v>
      </c>
      <c r="AW175" s="1" t="s">
        <v>84</v>
      </c>
      <c r="BA175" s="1" t="s">
        <v>84</v>
      </c>
      <c r="BJ175" s="1" t="s">
        <v>84</v>
      </c>
      <c r="BN175" s="1" t="s">
        <v>1769</v>
      </c>
      <c r="BO175" s="1" t="s">
        <v>137</v>
      </c>
    </row>
    <row r="176">
      <c r="A176" s="1" t="s">
        <v>1770</v>
      </c>
      <c r="B176" s="1" t="s">
        <v>1771</v>
      </c>
      <c r="C176" s="1" t="s">
        <v>1772</v>
      </c>
      <c r="D176" s="1" t="s">
        <v>92</v>
      </c>
      <c r="E176" s="2" t="s">
        <v>1773</v>
      </c>
      <c r="J176" s="1">
        <v>47.0</v>
      </c>
      <c r="K176" s="1" t="s">
        <v>71</v>
      </c>
      <c r="L176" s="1" t="s">
        <v>72</v>
      </c>
      <c r="M176" s="1" t="s">
        <v>73</v>
      </c>
      <c r="N176" s="1" t="s">
        <v>36</v>
      </c>
      <c r="O176" s="1">
        <v>26.07003891</v>
      </c>
      <c r="Q176" s="1" t="s">
        <v>260</v>
      </c>
      <c r="R176" s="1" t="s">
        <v>1358</v>
      </c>
      <c r="X176" s="1" t="s">
        <v>77</v>
      </c>
      <c r="Y176" s="1" t="s">
        <v>138</v>
      </c>
      <c r="Z176" s="1" t="s">
        <v>1774</v>
      </c>
      <c r="AA176" s="1" t="s">
        <v>1775</v>
      </c>
      <c r="AB176" s="1" t="s">
        <v>1776</v>
      </c>
      <c r="AC176" s="1" t="s">
        <v>1777</v>
      </c>
      <c r="AE176" s="1" t="s">
        <v>83</v>
      </c>
      <c r="AK176" s="1" t="s">
        <v>84</v>
      </c>
      <c r="AS176" s="1" t="s">
        <v>85</v>
      </c>
      <c r="AZ176" s="1" t="s">
        <v>129</v>
      </c>
      <c r="BI176" s="1" t="s">
        <v>84</v>
      </c>
      <c r="BN176" s="1" t="s">
        <v>143</v>
      </c>
      <c r="BO176" s="1" t="s">
        <v>137</v>
      </c>
    </row>
    <row r="177">
      <c r="A177" s="1" t="s">
        <v>1778</v>
      </c>
      <c r="B177" s="1" t="s">
        <v>1779</v>
      </c>
      <c r="C177" s="1" t="s">
        <v>1780</v>
      </c>
      <c r="D177" s="1" t="s">
        <v>92</v>
      </c>
      <c r="E177" s="2" t="s">
        <v>1781</v>
      </c>
      <c r="J177" s="1">
        <v>35.0</v>
      </c>
      <c r="K177" s="1" t="s">
        <v>702</v>
      </c>
      <c r="L177" s="1" t="s">
        <v>72</v>
      </c>
      <c r="M177" s="1" t="s">
        <v>73</v>
      </c>
      <c r="N177" s="1" t="s">
        <v>39</v>
      </c>
      <c r="O177" s="1">
        <v>-11.76470588</v>
      </c>
      <c r="Q177" s="1" t="s">
        <v>149</v>
      </c>
      <c r="R177" s="1" t="s">
        <v>137</v>
      </c>
      <c r="W177" s="1" t="s">
        <v>858</v>
      </c>
      <c r="X177" s="1" t="s">
        <v>77</v>
      </c>
      <c r="Y177" s="1" t="s">
        <v>78</v>
      </c>
      <c r="Z177" s="1" t="s">
        <v>1782</v>
      </c>
      <c r="AA177" s="1" t="s">
        <v>1783</v>
      </c>
      <c r="AB177" s="1" t="s">
        <v>1784</v>
      </c>
      <c r="AC177" s="1" t="s">
        <v>1785</v>
      </c>
      <c r="AE177" s="1" t="s">
        <v>83</v>
      </c>
      <c r="AF177" s="1" t="s">
        <v>85</v>
      </c>
      <c r="AH177" s="1" t="s">
        <v>85</v>
      </c>
      <c r="AJ177" s="1" t="s">
        <v>85</v>
      </c>
      <c r="AM177" s="1" t="s">
        <v>85</v>
      </c>
      <c r="AN177" s="1" t="s">
        <v>85</v>
      </c>
      <c r="AS177" s="1" t="s">
        <v>85</v>
      </c>
      <c r="AT177" s="1" t="s">
        <v>85</v>
      </c>
      <c r="BA177" s="1" t="s">
        <v>84</v>
      </c>
      <c r="BJ177" s="1" t="s">
        <v>85</v>
      </c>
      <c r="BK177" s="1" t="s">
        <v>86</v>
      </c>
      <c r="BN177" s="1" t="s">
        <v>137</v>
      </c>
      <c r="BO177" s="1" t="s">
        <v>137</v>
      </c>
    </row>
    <row r="178">
      <c r="A178" s="1" t="s">
        <v>1786</v>
      </c>
      <c r="B178" s="1" t="s">
        <v>1787</v>
      </c>
      <c r="C178" s="1" t="s">
        <v>1788</v>
      </c>
      <c r="D178" s="1" t="s">
        <v>92</v>
      </c>
      <c r="E178" s="2" t="s">
        <v>1789</v>
      </c>
      <c r="J178" s="1">
        <v>49.0</v>
      </c>
      <c r="K178" s="1" t="s">
        <v>171</v>
      </c>
      <c r="L178" s="1" t="s">
        <v>72</v>
      </c>
      <c r="M178" s="1" t="s">
        <v>108</v>
      </c>
      <c r="N178" s="1" t="s">
        <v>44</v>
      </c>
      <c r="O178" s="1">
        <v>-55.63909774</v>
      </c>
      <c r="Q178" s="1" t="s">
        <v>149</v>
      </c>
      <c r="R178" s="1" t="s">
        <v>1790</v>
      </c>
      <c r="Y178" s="1" t="s">
        <v>78</v>
      </c>
      <c r="Z178" s="1" t="s">
        <v>1774</v>
      </c>
      <c r="AA178" s="1" t="s">
        <v>1791</v>
      </c>
      <c r="AB178" s="1" t="s">
        <v>1792</v>
      </c>
      <c r="AC178" s="1" t="s">
        <v>1793</v>
      </c>
      <c r="AD178" s="1" t="s">
        <v>1794</v>
      </c>
      <c r="AE178" s="1" t="s">
        <v>83</v>
      </c>
      <c r="AJ178" s="1" t="s">
        <v>129</v>
      </c>
      <c r="AT178" s="1" t="s">
        <v>129</v>
      </c>
      <c r="BE178" s="1" t="s">
        <v>85</v>
      </c>
      <c r="BN178" s="1" t="s">
        <v>209</v>
      </c>
      <c r="BO178" s="1" t="s">
        <v>1795</v>
      </c>
    </row>
    <row r="179">
      <c r="A179" s="1" t="s">
        <v>1796</v>
      </c>
      <c r="B179" s="1" t="s">
        <v>1797</v>
      </c>
      <c r="C179" s="1" t="s">
        <v>1798</v>
      </c>
      <c r="D179" s="1" t="s">
        <v>92</v>
      </c>
      <c r="E179" s="2" t="s">
        <v>1781</v>
      </c>
      <c r="J179" s="1">
        <v>25.0</v>
      </c>
      <c r="K179" s="1" t="s">
        <v>71</v>
      </c>
      <c r="L179" s="1" t="s">
        <v>72</v>
      </c>
      <c r="M179" s="1" t="s">
        <v>108</v>
      </c>
      <c r="N179" s="1" t="s">
        <v>109</v>
      </c>
      <c r="O179" s="1">
        <v>-11.76470588</v>
      </c>
      <c r="Q179" s="1" t="s">
        <v>75</v>
      </c>
      <c r="R179" s="1" t="s">
        <v>1799</v>
      </c>
      <c r="W179" s="1" t="s">
        <v>1694</v>
      </c>
      <c r="X179" s="1" t="s">
        <v>77</v>
      </c>
      <c r="Y179" s="1" t="s">
        <v>78</v>
      </c>
      <c r="Z179" s="1" t="s">
        <v>1782</v>
      </c>
      <c r="AA179" s="1" t="s">
        <v>1800</v>
      </c>
      <c r="AB179" s="1" t="s">
        <v>1801</v>
      </c>
      <c r="AC179" s="1" t="s">
        <v>1802</v>
      </c>
      <c r="AE179" s="1" t="s">
        <v>83</v>
      </c>
      <c r="AH179" s="1" t="s">
        <v>84</v>
      </c>
      <c r="AI179" s="1" t="s">
        <v>84</v>
      </c>
      <c r="AJ179" s="1" t="s">
        <v>84</v>
      </c>
      <c r="AM179" s="1" t="s">
        <v>85</v>
      </c>
      <c r="AT179" s="1" t="s">
        <v>85</v>
      </c>
      <c r="BE179" s="1" t="s">
        <v>85</v>
      </c>
      <c r="BN179" s="1" t="s">
        <v>1803</v>
      </c>
      <c r="BO179" s="1" t="s">
        <v>1804</v>
      </c>
    </row>
    <row r="180">
      <c r="A180" s="1" t="s">
        <v>1805</v>
      </c>
      <c r="B180" s="1" t="s">
        <v>1806</v>
      </c>
      <c r="C180" s="1" t="s">
        <v>1807</v>
      </c>
      <c r="D180" s="1" t="s">
        <v>92</v>
      </c>
      <c r="E180" s="2" t="s">
        <v>1808</v>
      </c>
      <c r="J180" s="1">
        <v>33.0</v>
      </c>
      <c r="K180" s="1" t="s">
        <v>71</v>
      </c>
      <c r="L180" s="1" t="s">
        <v>72</v>
      </c>
      <c r="M180" s="1" t="s">
        <v>108</v>
      </c>
      <c r="N180" s="1" t="s">
        <v>764</v>
      </c>
      <c r="O180" s="1">
        <v>12.22222222</v>
      </c>
      <c r="Q180" s="1" t="s">
        <v>149</v>
      </c>
      <c r="R180" s="1" t="s">
        <v>137</v>
      </c>
      <c r="W180" s="1" t="s">
        <v>443</v>
      </c>
      <c r="Y180" s="1" t="s">
        <v>138</v>
      </c>
      <c r="Z180" s="1" t="s">
        <v>1807</v>
      </c>
      <c r="AA180" s="1" t="s">
        <v>1809</v>
      </c>
      <c r="AB180" s="1" t="s">
        <v>1810</v>
      </c>
      <c r="AC180" s="1" t="s">
        <v>1811</v>
      </c>
      <c r="AE180" s="1" t="s">
        <v>83</v>
      </c>
      <c r="AH180" s="1" t="s">
        <v>85</v>
      </c>
      <c r="BA180" s="1" t="s">
        <v>85</v>
      </c>
      <c r="BN180" s="1" t="s">
        <v>137</v>
      </c>
      <c r="BO180" s="1" t="s">
        <v>137</v>
      </c>
    </row>
    <row r="181">
      <c r="A181" s="1" t="s">
        <v>1812</v>
      </c>
      <c r="B181" s="1" t="s">
        <v>1813</v>
      </c>
      <c r="C181" s="1" t="s">
        <v>1814</v>
      </c>
      <c r="D181" s="1" t="s">
        <v>92</v>
      </c>
      <c r="E181" s="2" t="s">
        <v>1815</v>
      </c>
      <c r="J181" s="1">
        <v>48.0</v>
      </c>
      <c r="K181" s="1" t="s">
        <v>171</v>
      </c>
      <c r="L181" s="1" t="s">
        <v>72</v>
      </c>
      <c r="M181" s="1" t="s">
        <v>73</v>
      </c>
      <c r="N181" s="1" t="s">
        <v>43</v>
      </c>
      <c r="O181" s="1">
        <v>11.49425287</v>
      </c>
      <c r="Q181" s="1" t="s">
        <v>260</v>
      </c>
      <c r="R181" s="1" t="s">
        <v>137</v>
      </c>
      <c r="W181" s="1" t="s">
        <v>1694</v>
      </c>
      <c r="X181" s="1" t="s">
        <v>77</v>
      </c>
      <c r="Y181" s="1" t="s">
        <v>138</v>
      </c>
      <c r="Z181" s="1" t="s">
        <v>1816</v>
      </c>
      <c r="AA181" s="1" t="s">
        <v>1817</v>
      </c>
      <c r="AB181" s="1" t="s">
        <v>1818</v>
      </c>
      <c r="AC181" s="1" t="s">
        <v>1819</v>
      </c>
      <c r="AE181" s="1" t="s">
        <v>83</v>
      </c>
      <c r="AF181" s="1" t="s">
        <v>85</v>
      </c>
      <c r="AG181" s="1" t="s">
        <v>85</v>
      </c>
      <c r="AK181" s="1" t="s">
        <v>85</v>
      </c>
      <c r="AM181" s="1" t="s">
        <v>85</v>
      </c>
      <c r="AN181" s="1" t="s">
        <v>85</v>
      </c>
      <c r="AS181" s="1" t="s">
        <v>84</v>
      </c>
      <c r="BA181" s="1" t="s">
        <v>84</v>
      </c>
      <c r="BI181" s="1" t="s">
        <v>84</v>
      </c>
      <c r="BK181" s="1" t="s">
        <v>86</v>
      </c>
      <c r="BN181" s="1" t="s">
        <v>137</v>
      </c>
      <c r="BO181" s="1" t="s">
        <v>137</v>
      </c>
    </row>
    <row r="182">
      <c r="A182" s="1" t="s">
        <v>1820</v>
      </c>
      <c r="B182" s="1" t="s">
        <v>1821</v>
      </c>
      <c r="C182" s="1" t="s">
        <v>1822</v>
      </c>
      <c r="D182" s="1" t="s">
        <v>92</v>
      </c>
      <c r="E182" s="2" t="s">
        <v>1823</v>
      </c>
      <c r="J182" s="1">
        <v>44.0</v>
      </c>
      <c r="K182" s="1" t="s">
        <v>71</v>
      </c>
      <c r="L182" s="1" t="s">
        <v>72</v>
      </c>
      <c r="M182" s="1" t="s">
        <v>73</v>
      </c>
      <c r="N182" s="1" t="s">
        <v>39</v>
      </c>
      <c r="O182" s="1">
        <v>36.36363636</v>
      </c>
      <c r="Q182" s="1" t="s">
        <v>149</v>
      </c>
      <c r="R182" s="1" t="s">
        <v>137</v>
      </c>
      <c r="W182" s="1" t="s">
        <v>704</v>
      </c>
      <c r="Y182" s="1" t="s">
        <v>138</v>
      </c>
      <c r="Z182" s="1" t="s">
        <v>1824</v>
      </c>
      <c r="AA182" s="1" t="s">
        <v>1825</v>
      </c>
      <c r="AB182" s="1" t="s">
        <v>1826</v>
      </c>
      <c r="AC182" s="1" t="s">
        <v>1827</v>
      </c>
      <c r="AE182" s="1" t="s">
        <v>83</v>
      </c>
      <c r="BA182" s="1" t="s">
        <v>85</v>
      </c>
      <c r="BN182" s="1" t="s">
        <v>137</v>
      </c>
      <c r="BO182" s="1" t="s">
        <v>137</v>
      </c>
    </row>
    <row r="183">
      <c r="A183" s="1" t="s">
        <v>1828</v>
      </c>
      <c r="B183" s="1" t="s">
        <v>1829</v>
      </c>
      <c r="C183" s="1" t="s">
        <v>1830</v>
      </c>
      <c r="D183" s="1" t="s">
        <v>92</v>
      </c>
      <c r="E183" s="2" t="s">
        <v>1831</v>
      </c>
      <c r="J183" s="1">
        <v>32.0</v>
      </c>
      <c r="K183" s="1" t="s">
        <v>171</v>
      </c>
      <c r="L183" s="1" t="s">
        <v>72</v>
      </c>
      <c r="M183" s="1" t="s">
        <v>73</v>
      </c>
      <c r="N183" s="1" t="s">
        <v>39</v>
      </c>
      <c r="O183" s="1">
        <v>-13.18681319</v>
      </c>
      <c r="Q183" s="1" t="s">
        <v>110</v>
      </c>
      <c r="R183" s="1" t="s">
        <v>1832</v>
      </c>
      <c r="W183" s="1" t="s">
        <v>443</v>
      </c>
      <c r="X183" s="1" t="s">
        <v>77</v>
      </c>
      <c r="Y183" s="1" t="s">
        <v>78</v>
      </c>
      <c r="Z183" s="1" t="s">
        <v>1807</v>
      </c>
      <c r="AA183" s="1" t="s">
        <v>1833</v>
      </c>
      <c r="AB183" s="1" t="s">
        <v>727</v>
      </c>
      <c r="AC183" s="1" t="s">
        <v>1834</v>
      </c>
      <c r="AE183" s="1" t="s">
        <v>83</v>
      </c>
      <c r="AG183" s="1" t="s">
        <v>84</v>
      </c>
      <c r="AZ183" s="1" t="s">
        <v>85</v>
      </c>
      <c r="BA183" s="1" t="s">
        <v>84</v>
      </c>
      <c r="BD183" s="1" t="s">
        <v>85</v>
      </c>
      <c r="BJ183" s="1" t="s">
        <v>84</v>
      </c>
      <c r="BK183" s="1" t="s">
        <v>86</v>
      </c>
      <c r="BN183" s="1" t="s">
        <v>1835</v>
      </c>
      <c r="BO183" s="1" t="s">
        <v>1353</v>
      </c>
    </row>
    <row r="184">
      <c r="A184" s="1" t="s">
        <v>1836</v>
      </c>
      <c r="B184" s="1" t="s">
        <v>1229</v>
      </c>
      <c r="C184" s="1" t="s">
        <v>1837</v>
      </c>
      <c r="D184" s="1" t="s">
        <v>92</v>
      </c>
      <c r="E184" s="2" t="s">
        <v>1838</v>
      </c>
      <c r="J184" s="1">
        <v>52.0</v>
      </c>
      <c r="K184" s="1" t="s">
        <v>1839</v>
      </c>
      <c r="L184" s="1" t="s">
        <v>72</v>
      </c>
      <c r="M184" s="1" t="s">
        <v>73</v>
      </c>
      <c r="N184" s="1" t="s">
        <v>37</v>
      </c>
      <c r="O184" s="1">
        <v>2.5</v>
      </c>
      <c r="Q184" s="1" t="s">
        <v>149</v>
      </c>
      <c r="R184" s="1" t="s">
        <v>1840</v>
      </c>
      <c r="W184" s="1" t="s">
        <v>443</v>
      </c>
      <c r="X184" s="1" t="s">
        <v>77</v>
      </c>
      <c r="Y184" s="1" t="s">
        <v>78</v>
      </c>
      <c r="Z184" s="1" t="s">
        <v>1841</v>
      </c>
      <c r="AA184" s="1" t="s">
        <v>1842</v>
      </c>
      <c r="AB184" s="1" t="s">
        <v>1843</v>
      </c>
      <c r="AC184" s="1" t="s">
        <v>1844</v>
      </c>
      <c r="AE184" s="1" t="s">
        <v>83</v>
      </c>
      <c r="AF184" s="1" t="s">
        <v>85</v>
      </c>
      <c r="AL184" s="1" t="s">
        <v>85</v>
      </c>
      <c r="AN184" s="1" t="s">
        <v>85</v>
      </c>
      <c r="BA184" s="1" t="s">
        <v>84</v>
      </c>
      <c r="BJ184" s="1" t="s">
        <v>85</v>
      </c>
      <c r="BK184" s="1" t="s">
        <v>86</v>
      </c>
      <c r="BN184" s="1" t="s">
        <v>137</v>
      </c>
      <c r="BO184" s="1" t="s">
        <v>137</v>
      </c>
    </row>
    <row r="185">
      <c r="A185" s="1" t="s">
        <v>1845</v>
      </c>
      <c r="B185" s="1" t="s">
        <v>1846</v>
      </c>
      <c r="C185" s="1" t="s">
        <v>1847</v>
      </c>
      <c r="D185" s="1" t="s">
        <v>92</v>
      </c>
      <c r="E185" s="2" t="s">
        <v>1848</v>
      </c>
      <c r="J185" s="1">
        <v>63.0</v>
      </c>
      <c r="K185" s="1" t="s">
        <v>71</v>
      </c>
      <c r="L185" s="1" t="s">
        <v>72</v>
      </c>
      <c r="M185" s="1" t="s">
        <v>73</v>
      </c>
      <c r="N185" s="1" t="s">
        <v>37</v>
      </c>
      <c r="O185" s="1">
        <v>-12.74509804</v>
      </c>
      <c r="Q185" s="1" t="s">
        <v>149</v>
      </c>
      <c r="R185" s="1" t="s">
        <v>1840</v>
      </c>
      <c r="W185" s="1" t="s">
        <v>994</v>
      </c>
      <c r="Y185" s="1" t="s">
        <v>78</v>
      </c>
      <c r="Z185" s="1" t="s">
        <v>1849</v>
      </c>
      <c r="AA185" s="1" t="s">
        <v>1850</v>
      </c>
      <c r="AB185" s="1" t="s">
        <v>1851</v>
      </c>
      <c r="AC185" s="1" t="s">
        <v>1852</v>
      </c>
      <c r="AE185" s="1" t="s">
        <v>83</v>
      </c>
      <c r="AF185" s="1" t="s">
        <v>85</v>
      </c>
      <c r="AL185" s="1" t="s">
        <v>129</v>
      </c>
      <c r="AN185" s="1" t="s">
        <v>85</v>
      </c>
      <c r="BA185" s="1" t="s">
        <v>84</v>
      </c>
      <c r="BJ185" s="1" t="s">
        <v>85</v>
      </c>
      <c r="BN185" s="1" t="s">
        <v>739</v>
      </c>
      <c r="BO185" s="1" t="s">
        <v>137</v>
      </c>
    </row>
    <row r="186">
      <c r="A186" s="1" t="s">
        <v>1853</v>
      </c>
      <c r="B186" s="1" t="s">
        <v>1854</v>
      </c>
      <c r="C186" s="1" t="s">
        <v>1855</v>
      </c>
      <c r="D186" s="1" t="s">
        <v>92</v>
      </c>
      <c r="E186" s="2" t="s">
        <v>1856</v>
      </c>
      <c r="J186" s="1">
        <v>50.0</v>
      </c>
      <c r="K186" s="1" t="s">
        <v>71</v>
      </c>
      <c r="L186" s="1" t="s">
        <v>72</v>
      </c>
      <c r="M186" s="1" t="s">
        <v>73</v>
      </c>
      <c r="N186" s="1" t="s">
        <v>43</v>
      </c>
      <c r="O186" s="1">
        <v>36.36363636</v>
      </c>
      <c r="Q186" s="1" t="s">
        <v>149</v>
      </c>
      <c r="R186" s="1" t="s">
        <v>137</v>
      </c>
      <c r="W186" s="1" t="s">
        <v>1578</v>
      </c>
      <c r="Y186" s="1" t="s">
        <v>138</v>
      </c>
      <c r="Z186" s="1" t="s">
        <v>1857</v>
      </c>
      <c r="AA186" s="1" t="s">
        <v>1858</v>
      </c>
      <c r="AB186" s="1" t="s">
        <v>1859</v>
      </c>
      <c r="AC186" s="1" t="s">
        <v>1860</v>
      </c>
      <c r="AE186" s="1" t="s">
        <v>83</v>
      </c>
      <c r="AS186" s="1" t="s">
        <v>85</v>
      </c>
      <c r="BA186" s="1" t="s">
        <v>85</v>
      </c>
      <c r="BI186" s="1" t="s">
        <v>85</v>
      </c>
      <c r="BN186" s="1" t="s">
        <v>137</v>
      </c>
      <c r="BO186" s="1" t="s">
        <v>137</v>
      </c>
    </row>
    <row r="187">
      <c r="A187" s="1" t="s">
        <v>1861</v>
      </c>
      <c r="B187" s="1" t="s">
        <v>1862</v>
      </c>
      <c r="C187" s="1" t="s">
        <v>1863</v>
      </c>
      <c r="D187" s="1" t="s">
        <v>92</v>
      </c>
      <c r="E187" s="2" t="s">
        <v>1864</v>
      </c>
      <c r="J187" s="1">
        <v>25.0</v>
      </c>
      <c r="K187" s="1" t="s">
        <v>171</v>
      </c>
      <c r="L187" s="1" t="s">
        <v>72</v>
      </c>
      <c r="M187" s="1" t="s">
        <v>73</v>
      </c>
      <c r="N187" s="1" t="s">
        <v>40</v>
      </c>
      <c r="O187" s="1">
        <v>-8.920863309</v>
      </c>
      <c r="Q187" s="1" t="s">
        <v>75</v>
      </c>
      <c r="R187" s="1" t="s">
        <v>1865</v>
      </c>
      <c r="W187" s="1" t="s">
        <v>193</v>
      </c>
      <c r="X187" s="1" t="s">
        <v>77</v>
      </c>
      <c r="Y187" s="1" t="s">
        <v>78</v>
      </c>
      <c r="Z187" s="1" t="s">
        <v>1866</v>
      </c>
      <c r="AA187" s="1" t="s">
        <v>1867</v>
      </c>
      <c r="AB187" s="1" t="s">
        <v>1868</v>
      </c>
      <c r="AC187" s="1" t="s">
        <v>1869</v>
      </c>
      <c r="AE187" s="1" t="s">
        <v>83</v>
      </c>
      <c r="AF187" s="1" t="s">
        <v>84</v>
      </c>
      <c r="AG187" s="1" t="s">
        <v>84</v>
      </c>
      <c r="AO187" s="1" t="s">
        <v>84</v>
      </c>
      <c r="AV187" s="1" t="s">
        <v>85</v>
      </c>
      <c r="BD187" s="1" t="s">
        <v>85</v>
      </c>
      <c r="BN187" s="1" t="s">
        <v>1870</v>
      </c>
      <c r="BO187" s="1" t="s">
        <v>1871</v>
      </c>
    </row>
    <row r="188">
      <c r="A188" s="1" t="s">
        <v>1872</v>
      </c>
      <c r="B188" s="1" t="s">
        <v>1873</v>
      </c>
      <c r="C188" s="1" t="s">
        <v>1874</v>
      </c>
      <c r="D188" s="1" t="s">
        <v>92</v>
      </c>
      <c r="E188" s="2" t="s">
        <v>1875</v>
      </c>
      <c r="J188" s="1">
        <v>50.0</v>
      </c>
      <c r="K188" s="1" t="s">
        <v>71</v>
      </c>
      <c r="L188" s="1" t="s">
        <v>72</v>
      </c>
      <c r="M188" s="1" t="s">
        <v>73</v>
      </c>
      <c r="N188" s="1" t="s">
        <v>40</v>
      </c>
      <c r="O188" s="1">
        <v>-24.32432432</v>
      </c>
      <c r="Q188" s="1" t="s">
        <v>149</v>
      </c>
      <c r="R188" s="1" t="s">
        <v>1876</v>
      </c>
      <c r="W188" s="1" t="s">
        <v>858</v>
      </c>
      <c r="Y188" s="1" t="s">
        <v>78</v>
      </c>
      <c r="Z188" s="1" t="s">
        <v>1877</v>
      </c>
      <c r="AA188" s="1" t="s">
        <v>1878</v>
      </c>
      <c r="AB188" s="1" t="s">
        <v>1879</v>
      </c>
      <c r="AC188" s="1" t="s">
        <v>1880</v>
      </c>
      <c r="AE188" s="1" t="s">
        <v>83</v>
      </c>
      <c r="AO188" s="1" t="s">
        <v>129</v>
      </c>
      <c r="AU188" s="1" t="s">
        <v>84</v>
      </c>
      <c r="AV188" s="1" t="s">
        <v>84</v>
      </c>
      <c r="BN188" s="1" t="s">
        <v>137</v>
      </c>
      <c r="BO188" s="1" t="s">
        <v>137</v>
      </c>
    </row>
    <row r="189">
      <c r="A189" s="1" t="s">
        <v>1881</v>
      </c>
      <c r="B189" s="1" t="s">
        <v>1882</v>
      </c>
      <c r="C189" s="1" t="s">
        <v>1883</v>
      </c>
      <c r="D189" s="1" t="s">
        <v>92</v>
      </c>
      <c r="E189" s="2" t="s">
        <v>1884</v>
      </c>
      <c r="J189" s="1">
        <v>35.0</v>
      </c>
      <c r="K189" s="1" t="s">
        <v>71</v>
      </c>
      <c r="L189" s="1" t="s">
        <v>72</v>
      </c>
      <c r="M189" s="1" t="s">
        <v>108</v>
      </c>
      <c r="N189" s="1" t="s">
        <v>109</v>
      </c>
      <c r="O189" s="1">
        <v>-12.74509804</v>
      </c>
      <c r="Q189" s="1" t="s">
        <v>75</v>
      </c>
      <c r="R189" s="1" t="s">
        <v>1885</v>
      </c>
      <c r="W189" s="1" t="s">
        <v>1694</v>
      </c>
      <c r="Y189" s="1" t="s">
        <v>78</v>
      </c>
      <c r="Z189" s="1" t="s">
        <v>1849</v>
      </c>
      <c r="AA189" s="1" t="s">
        <v>1886</v>
      </c>
      <c r="AB189" s="1" t="s">
        <v>1887</v>
      </c>
      <c r="AC189" s="1" t="s">
        <v>1888</v>
      </c>
      <c r="AE189" s="1" t="s">
        <v>83</v>
      </c>
      <c r="AH189" s="1" t="s">
        <v>84</v>
      </c>
      <c r="AI189" s="1" t="s">
        <v>84</v>
      </c>
      <c r="AJ189" s="1" t="s">
        <v>84</v>
      </c>
      <c r="AM189" s="1" t="s">
        <v>85</v>
      </c>
      <c r="AT189" s="1" t="s">
        <v>85</v>
      </c>
      <c r="BE189" s="1" t="s">
        <v>84</v>
      </c>
      <c r="BM189" s="1" t="s">
        <v>86</v>
      </c>
      <c r="BN189" s="1" t="s">
        <v>1889</v>
      </c>
      <c r="BO189" s="1" t="s">
        <v>1890</v>
      </c>
      <c r="BP189" s="1" t="s">
        <v>1891</v>
      </c>
    </row>
    <row r="190">
      <c r="A190" s="1" t="s">
        <v>1892</v>
      </c>
      <c r="B190" s="1" t="s">
        <v>1893</v>
      </c>
      <c r="C190" s="1" t="s">
        <v>1894</v>
      </c>
      <c r="D190" s="1" t="s">
        <v>92</v>
      </c>
      <c r="E190" s="2" t="s">
        <v>1895</v>
      </c>
      <c r="J190" s="1">
        <v>52.0</v>
      </c>
      <c r="K190" s="1" t="s">
        <v>1109</v>
      </c>
      <c r="L190" s="1" t="s">
        <v>72</v>
      </c>
      <c r="M190" s="1" t="s">
        <v>108</v>
      </c>
      <c r="N190" s="1" t="s">
        <v>44</v>
      </c>
      <c r="O190" s="1">
        <v>-34.66666667</v>
      </c>
      <c r="Q190" s="1" t="s">
        <v>149</v>
      </c>
      <c r="R190" s="1" t="s">
        <v>137</v>
      </c>
      <c r="W190" s="1" t="s">
        <v>1578</v>
      </c>
      <c r="Y190" s="1" t="s">
        <v>78</v>
      </c>
      <c r="Z190" s="1" t="s">
        <v>1896</v>
      </c>
      <c r="AA190" s="1" t="s">
        <v>1897</v>
      </c>
      <c r="AB190" s="1" t="s">
        <v>1898</v>
      </c>
      <c r="AC190" s="1" t="s">
        <v>1899</v>
      </c>
      <c r="AD190" s="1" t="s">
        <v>1900</v>
      </c>
      <c r="AE190" s="1" t="s">
        <v>83</v>
      </c>
      <c r="AJ190" s="1" t="s">
        <v>84</v>
      </c>
      <c r="AT190" s="1" t="s">
        <v>129</v>
      </c>
      <c r="BN190" s="1" t="s">
        <v>137</v>
      </c>
      <c r="BO190" s="1" t="s">
        <v>137</v>
      </c>
    </row>
    <row r="191">
      <c r="A191" s="1" t="s">
        <v>1901</v>
      </c>
      <c r="B191" s="1" t="s">
        <v>1902</v>
      </c>
      <c r="C191" s="1" t="s">
        <v>1903</v>
      </c>
      <c r="D191" s="1" t="s">
        <v>92</v>
      </c>
      <c r="E191" s="2" t="s">
        <v>1904</v>
      </c>
      <c r="J191" s="1">
        <v>40.0</v>
      </c>
      <c r="K191" s="1" t="s">
        <v>171</v>
      </c>
      <c r="L191" s="1" t="s">
        <v>72</v>
      </c>
      <c r="M191" s="1" t="s">
        <v>73</v>
      </c>
      <c r="N191" s="1" t="s">
        <v>36</v>
      </c>
      <c r="O191" s="1">
        <v>7.835051546</v>
      </c>
      <c r="Q191" s="1" t="s">
        <v>149</v>
      </c>
      <c r="R191" s="1" t="s">
        <v>137</v>
      </c>
      <c r="W191" s="1" t="s">
        <v>193</v>
      </c>
      <c r="Y191" s="1" t="s">
        <v>138</v>
      </c>
      <c r="Z191" s="1" t="s">
        <v>1905</v>
      </c>
      <c r="AA191" s="1" t="s">
        <v>1906</v>
      </c>
      <c r="AB191" s="1" t="s">
        <v>1907</v>
      </c>
      <c r="AC191" s="1" t="s">
        <v>1908</v>
      </c>
      <c r="AE191" s="1" t="s">
        <v>83</v>
      </c>
      <c r="AK191" s="1" t="s">
        <v>129</v>
      </c>
      <c r="BA191" s="1" t="s">
        <v>84</v>
      </c>
      <c r="BI191" s="1" t="s">
        <v>85</v>
      </c>
      <c r="BJ191" s="1" t="s">
        <v>85</v>
      </c>
      <c r="BN191" s="1" t="s">
        <v>137</v>
      </c>
      <c r="BO191" s="1" t="s">
        <v>137</v>
      </c>
    </row>
    <row r="192">
      <c r="A192" s="1" t="s">
        <v>1909</v>
      </c>
      <c r="B192" s="1" t="s">
        <v>1910</v>
      </c>
      <c r="C192" s="1" t="s">
        <v>1911</v>
      </c>
      <c r="D192" s="1" t="s">
        <v>92</v>
      </c>
      <c r="E192" s="2" t="s">
        <v>1912</v>
      </c>
      <c r="J192" s="1">
        <v>39.0</v>
      </c>
      <c r="K192" s="1" t="s">
        <v>1913</v>
      </c>
      <c r="L192" s="1" t="s">
        <v>72</v>
      </c>
      <c r="M192" s="1" t="s">
        <v>108</v>
      </c>
      <c r="N192" s="1" t="s">
        <v>109</v>
      </c>
      <c r="O192" s="1">
        <v>-7.754010695</v>
      </c>
      <c r="Q192" s="1" t="s">
        <v>75</v>
      </c>
      <c r="R192" s="1" t="s">
        <v>1914</v>
      </c>
      <c r="W192" s="1" t="s">
        <v>858</v>
      </c>
      <c r="Y192" s="1" t="s">
        <v>78</v>
      </c>
      <c r="Z192" s="1" t="s">
        <v>1915</v>
      </c>
      <c r="AA192" s="1" t="s">
        <v>1916</v>
      </c>
      <c r="AB192" s="1" t="s">
        <v>1917</v>
      </c>
      <c r="AC192" s="1" t="s">
        <v>1918</v>
      </c>
      <c r="AE192" s="1" t="s">
        <v>83</v>
      </c>
      <c r="AF192" s="1" t="s">
        <v>84</v>
      </c>
      <c r="AH192" s="1" t="s">
        <v>84</v>
      </c>
      <c r="AI192" s="1" t="s">
        <v>84</v>
      </c>
      <c r="AJ192" s="1" t="s">
        <v>84</v>
      </c>
      <c r="AM192" s="1" t="s">
        <v>85</v>
      </c>
      <c r="AP192" s="1" t="s">
        <v>85</v>
      </c>
      <c r="AS192" s="1" t="s">
        <v>85</v>
      </c>
      <c r="AT192" s="1" t="s">
        <v>84</v>
      </c>
      <c r="AZ192" s="1" t="s">
        <v>85</v>
      </c>
      <c r="BE192" s="1" t="s">
        <v>84</v>
      </c>
      <c r="BN192" s="1" t="s">
        <v>1919</v>
      </c>
      <c r="BO192" s="1" t="s">
        <v>1920</v>
      </c>
    </row>
    <row r="193">
      <c r="A193" s="1" t="s">
        <v>1921</v>
      </c>
      <c r="B193" s="1" t="s">
        <v>1922</v>
      </c>
      <c r="C193" s="1" t="s">
        <v>1923</v>
      </c>
      <c r="D193" s="1" t="s">
        <v>92</v>
      </c>
      <c r="E193" s="2" t="s">
        <v>1924</v>
      </c>
      <c r="J193" s="1">
        <v>52.0</v>
      </c>
      <c r="K193" s="1" t="s">
        <v>71</v>
      </c>
      <c r="L193" s="1" t="s">
        <v>72</v>
      </c>
      <c r="M193" s="1" t="s">
        <v>108</v>
      </c>
      <c r="N193" s="1" t="s">
        <v>764</v>
      </c>
      <c r="O193" s="1">
        <v>12.71676301</v>
      </c>
      <c r="Q193" s="1" t="s">
        <v>136</v>
      </c>
      <c r="R193" s="1" t="s">
        <v>765</v>
      </c>
      <c r="W193" s="1" t="s">
        <v>1694</v>
      </c>
      <c r="Y193" s="1" t="s">
        <v>138</v>
      </c>
      <c r="Z193" s="1" t="s">
        <v>1922</v>
      </c>
      <c r="AA193" s="1" t="s">
        <v>1925</v>
      </c>
      <c r="AB193" s="1" t="s">
        <v>1926</v>
      </c>
      <c r="AC193" s="1" t="s">
        <v>1927</v>
      </c>
      <c r="AE193" s="1" t="s">
        <v>83</v>
      </c>
      <c r="AH193" s="1" t="s">
        <v>85</v>
      </c>
      <c r="AI193" s="1" t="s">
        <v>85</v>
      </c>
      <c r="AS193" s="1" t="s">
        <v>85</v>
      </c>
      <c r="BA193" s="1" t="s">
        <v>84</v>
      </c>
      <c r="BE193" s="1" t="s">
        <v>85</v>
      </c>
      <c r="BI193" s="1" t="s">
        <v>84</v>
      </c>
      <c r="BN193" s="1" t="s">
        <v>1928</v>
      </c>
      <c r="BO193" s="1" t="s">
        <v>770</v>
      </c>
      <c r="BP193" s="1" t="s">
        <v>1891</v>
      </c>
    </row>
    <row r="194">
      <c r="A194" s="1" t="s">
        <v>1929</v>
      </c>
      <c r="B194" s="1" t="s">
        <v>1930</v>
      </c>
      <c r="C194" s="1" t="s">
        <v>1931</v>
      </c>
      <c r="D194" s="1" t="s">
        <v>92</v>
      </c>
      <c r="E194" s="2" t="s">
        <v>1932</v>
      </c>
      <c r="J194" s="1">
        <v>38.0</v>
      </c>
      <c r="K194" s="1" t="s">
        <v>71</v>
      </c>
      <c r="L194" s="1" t="s">
        <v>72</v>
      </c>
      <c r="M194" s="1" t="s">
        <v>73</v>
      </c>
      <c r="N194" s="1" t="s">
        <v>1281</v>
      </c>
      <c r="O194" s="1">
        <v>-19.82758621</v>
      </c>
      <c r="Q194" s="1" t="s">
        <v>149</v>
      </c>
      <c r="R194" s="1" t="s">
        <v>137</v>
      </c>
      <c r="W194" s="1" t="s">
        <v>858</v>
      </c>
      <c r="Y194" s="1" t="s">
        <v>78</v>
      </c>
      <c r="Z194" s="1" t="s">
        <v>1933</v>
      </c>
      <c r="AA194" s="1" t="s">
        <v>1934</v>
      </c>
      <c r="AB194" s="1" t="s">
        <v>1935</v>
      </c>
      <c r="AC194" s="1" t="s">
        <v>1936</v>
      </c>
      <c r="AE194" s="1" t="s">
        <v>83</v>
      </c>
      <c r="AU194" s="1" t="s">
        <v>84</v>
      </c>
      <c r="AW194" s="1" t="s">
        <v>84</v>
      </c>
      <c r="BN194" s="1" t="s">
        <v>1937</v>
      </c>
      <c r="BO194" s="1" t="s">
        <v>137</v>
      </c>
    </row>
    <row r="195">
      <c r="A195" s="1" t="s">
        <v>1938</v>
      </c>
      <c r="B195" s="1" t="s">
        <v>1939</v>
      </c>
      <c r="C195" s="1" t="s">
        <v>1940</v>
      </c>
      <c r="D195" s="1" t="s">
        <v>70</v>
      </c>
      <c r="E195" s="2" t="s">
        <v>1904</v>
      </c>
      <c r="J195" s="1">
        <v>25.0</v>
      </c>
      <c r="K195" s="1" t="s">
        <v>618</v>
      </c>
      <c r="L195" s="1" t="s">
        <v>72</v>
      </c>
      <c r="M195" s="1" t="s">
        <v>108</v>
      </c>
      <c r="N195" s="1" t="s">
        <v>44</v>
      </c>
      <c r="O195" s="1">
        <v>7.835051546</v>
      </c>
      <c r="Q195" s="1" t="s">
        <v>75</v>
      </c>
      <c r="R195" s="1" t="s">
        <v>1429</v>
      </c>
      <c r="Y195" s="1" t="s">
        <v>78</v>
      </c>
      <c r="Z195" s="1" t="s">
        <v>1905</v>
      </c>
      <c r="AA195" s="1" t="s">
        <v>1941</v>
      </c>
      <c r="AB195" s="1" t="s">
        <v>1942</v>
      </c>
      <c r="AC195" s="1" t="s">
        <v>1943</v>
      </c>
      <c r="AE195" s="1" t="s">
        <v>83</v>
      </c>
      <c r="AF195" s="1" t="s">
        <v>84</v>
      </c>
      <c r="AG195" s="1" t="s">
        <v>84</v>
      </c>
      <c r="AH195" s="1" t="s">
        <v>85</v>
      </c>
      <c r="AI195" s="1" t="s">
        <v>85</v>
      </c>
      <c r="AJ195" s="1" t="s">
        <v>84</v>
      </c>
      <c r="AM195" s="1" t="s">
        <v>84</v>
      </c>
      <c r="AN195" s="1" t="s">
        <v>85</v>
      </c>
      <c r="AS195" s="1" t="s">
        <v>85</v>
      </c>
      <c r="AT195" s="1" t="s">
        <v>84</v>
      </c>
      <c r="AU195" s="1" t="s">
        <v>85</v>
      </c>
      <c r="AZ195" s="1" t="s">
        <v>85</v>
      </c>
      <c r="BE195" s="1" t="s">
        <v>85</v>
      </c>
      <c r="BL195" s="1" t="s">
        <v>86</v>
      </c>
      <c r="BN195" s="1" t="s">
        <v>209</v>
      </c>
      <c r="BO195" s="1" t="s">
        <v>210</v>
      </c>
    </row>
    <row r="196">
      <c r="A196" s="1" t="s">
        <v>1944</v>
      </c>
      <c r="B196" s="1" t="s">
        <v>1945</v>
      </c>
      <c r="C196" s="1" t="s">
        <v>1946</v>
      </c>
      <c r="D196" s="1" t="s">
        <v>92</v>
      </c>
      <c r="E196" s="2" t="s">
        <v>1947</v>
      </c>
      <c r="J196" s="1">
        <v>40.0</v>
      </c>
      <c r="K196" s="1" t="s">
        <v>171</v>
      </c>
      <c r="L196" s="1" t="s">
        <v>72</v>
      </c>
      <c r="M196" s="1" t="s">
        <v>73</v>
      </c>
      <c r="N196" s="1" t="s">
        <v>1281</v>
      </c>
      <c r="O196" s="1">
        <v>28.26086957</v>
      </c>
      <c r="Q196" s="1" t="s">
        <v>149</v>
      </c>
      <c r="R196" s="1" t="s">
        <v>137</v>
      </c>
      <c r="Y196" s="1" t="s">
        <v>78</v>
      </c>
      <c r="Z196" s="1" t="s">
        <v>1948</v>
      </c>
      <c r="AA196" s="1" t="s">
        <v>1949</v>
      </c>
      <c r="AB196" s="1" t="s">
        <v>1950</v>
      </c>
      <c r="AC196" s="1" t="s">
        <v>1951</v>
      </c>
      <c r="AE196" s="1" t="s">
        <v>83</v>
      </c>
      <c r="AF196" s="1" t="s">
        <v>85</v>
      </c>
      <c r="AP196" s="1" t="s">
        <v>85</v>
      </c>
      <c r="AW196" s="1" t="s">
        <v>85</v>
      </c>
      <c r="BA196" s="1" t="s">
        <v>84</v>
      </c>
      <c r="BJ196" s="1" t="s">
        <v>84</v>
      </c>
      <c r="BN196" s="1" t="s">
        <v>1952</v>
      </c>
      <c r="BO196" s="1" t="s">
        <v>137</v>
      </c>
    </row>
    <row r="197">
      <c r="A197" s="1" t="s">
        <v>1953</v>
      </c>
      <c r="B197" s="1" t="s">
        <v>1954</v>
      </c>
      <c r="C197" s="1" t="s">
        <v>1955</v>
      </c>
      <c r="D197" s="1" t="s">
        <v>92</v>
      </c>
      <c r="E197" s="2" t="s">
        <v>1956</v>
      </c>
      <c r="J197" s="1">
        <v>34.0</v>
      </c>
      <c r="K197" s="1" t="s">
        <v>272</v>
      </c>
      <c r="L197" s="1" t="s">
        <v>72</v>
      </c>
      <c r="M197" s="1" t="s">
        <v>73</v>
      </c>
      <c r="N197" s="1" t="s">
        <v>36</v>
      </c>
      <c r="O197" s="1">
        <v>-23.68421053</v>
      </c>
      <c r="Q197" s="1" t="s">
        <v>149</v>
      </c>
      <c r="R197" s="1" t="s">
        <v>137</v>
      </c>
      <c r="X197" s="1" t="s">
        <v>77</v>
      </c>
      <c r="Y197" s="1" t="s">
        <v>78</v>
      </c>
      <c r="Z197" s="1" t="s">
        <v>1957</v>
      </c>
      <c r="AA197" s="1" t="s">
        <v>1958</v>
      </c>
      <c r="AB197" s="1" t="s">
        <v>1959</v>
      </c>
      <c r="AC197" s="1" t="s">
        <v>1960</v>
      </c>
      <c r="AE197" s="1" t="s">
        <v>83</v>
      </c>
      <c r="AK197" s="1" t="s">
        <v>84</v>
      </c>
      <c r="BA197" s="1" t="s">
        <v>84</v>
      </c>
      <c r="BJ197" s="1" t="s">
        <v>85</v>
      </c>
      <c r="BK197" s="1" t="s">
        <v>86</v>
      </c>
      <c r="BN197" s="1" t="s">
        <v>1961</v>
      </c>
      <c r="BO197" s="1" t="s">
        <v>137</v>
      </c>
    </row>
    <row r="198">
      <c r="A198" s="1" t="s">
        <v>1962</v>
      </c>
      <c r="B198" s="1" t="s">
        <v>1963</v>
      </c>
      <c r="C198" s="1" t="s">
        <v>1964</v>
      </c>
      <c r="D198" s="1" t="s">
        <v>92</v>
      </c>
      <c r="E198" s="2" t="s">
        <v>1965</v>
      </c>
      <c r="J198" s="1">
        <v>43.0</v>
      </c>
      <c r="K198" s="1" t="s">
        <v>94</v>
      </c>
      <c r="L198" s="1" t="s">
        <v>72</v>
      </c>
      <c r="M198" s="1" t="s">
        <v>73</v>
      </c>
      <c r="N198" s="1" t="s">
        <v>37</v>
      </c>
      <c r="O198" s="1">
        <v>-5.035971223</v>
      </c>
      <c r="Q198" s="1" t="s">
        <v>149</v>
      </c>
      <c r="R198" s="1" t="s">
        <v>137</v>
      </c>
      <c r="W198" s="1" t="s">
        <v>858</v>
      </c>
      <c r="Y198" s="1" t="s">
        <v>78</v>
      </c>
      <c r="Z198" s="1" t="s">
        <v>1966</v>
      </c>
      <c r="AA198" s="1" t="s">
        <v>1967</v>
      </c>
      <c r="AB198" s="1" t="s">
        <v>1968</v>
      </c>
      <c r="AC198" s="1" t="s">
        <v>1969</v>
      </c>
      <c r="AE198" s="1" t="s">
        <v>83</v>
      </c>
      <c r="AF198" s="1" t="s">
        <v>85</v>
      </c>
      <c r="AL198" s="1" t="s">
        <v>84</v>
      </c>
      <c r="AN198" s="1" t="s">
        <v>84</v>
      </c>
      <c r="AS198" s="1" t="s">
        <v>84</v>
      </c>
      <c r="BA198" s="1" t="s">
        <v>84</v>
      </c>
      <c r="BJ198" s="1" t="s">
        <v>85</v>
      </c>
      <c r="BN198" s="1" t="s">
        <v>137</v>
      </c>
      <c r="BO198" s="1" t="s">
        <v>137</v>
      </c>
    </row>
    <row r="199">
      <c r="A199" s="1" t="s">
        <v>1970</v>
      </c>
      <c r="B199" s="1" t="s">
        <v>1971</v>
      </c>
      <c r="C199" s="1" t="s">
        <v>1972</v>
      </c>
      <c r="D199" s="1" t="s">
        <v>92</v>
      </c>
      <c r="E199" s="2" t="s">
        <v>1973</v>
      </c>
      <c r="J199" s="1">
        <v>55.0</v>
      </c>
      <c r="K199" s="1" t="s">
        <v>171</v>
      </c>
      <c r="L199" s="1" t="s">
        <v>72</v>
      </c>
      <c r="M199" s="1" t="s">
        <v>73</v>
      </c>
      <c r="N199" s="1" t="s">
        <v>36</v>
      </c>
      <c r="O199" s="1">
        <v>-7.521186441</v>
      </c>
      <c r="Q199" s="1" t="s">
        <v>260</v>
      </c>
      <c r="R199" s="1" t="s">
        <v>137</v>
      </c>
      <c r="X199" s="1" t="s">
        <v>77</v>
      </c>
      <c r="Y199" s="1" t="s">
        <v>138</v>
      </c>
      <c r="Z199" s="1" t="s">
        <v>1974</v>
      </c>
      <c r="AA199" s="1" t="s">
        <v>808</v>
      </c>
      <c r="AB199" s="1" t="s">
        <v>1975</v>
      </c>
      <c r="AC199" s="1" t="s">
        <v>1976</v>
      </c>
      <c r="AE199" s="1" t="s">
        <v>83</v>
      </c>
      <c r="AF199" s="1" t="s">
        <v>85</v>
      </c>
      <c r="AK199" s="1" t="s">
        <v>129</v>
      </c>
      <c r="AS199" s="1" t="s">
        <v>85</v>
      </c>
      <c r="AZ199" s="1" t="s">
        <v>85</v>
      </c>
      <c r="BA199" s="1" t="s">
        <v>84</v>
      </c>
      <c r="BI199" s="1" t="s">
        <v>84</v>
      </c>
      <c r="BJ199" s="1" t="s">
        <v>85</v>
      </c>
      <c r="BK199" s="1" t="s">
        <v>86</v>
      </c>
      <c r="BN199" s="1" t="s">
        <v>143</v>
      </c>
      <c r="BO199" s="1" t="s">
        <v>137</v>
      </c>
    </row>
    <row r="200">
      <c r="A200" s="1" t="s">
        <v>1977</v>
      </c>
      <c r="B200" s="1" t="s">
        <v>1978</v>
      </c>
      <c r="C200" s="1" t="s">
        <v>1979</v>
      </c>
      <c r="D200" s="1" t="s">
        <v>92</v>
      </c>
      <c r="E200" s="2" t="s">
        <v>1980</v>
      </c>
      <c r="J200" s="1">
        <v>47.0</v>
      </c>
      <c r="K200" s="1" t="s">
        <v>71</v>
      </c>
      <c r="L200" s="1" t="s">
        <v>72</v>
      </c>
      <c r="M200" s="1" t="s">
        <v>73</v>
      </c>
      <c r="N200" s="1" t="s">
        <v>43</v>
      </c>
      <c r="O200" s="1">
        <v>-39.47368421</v>
      </c>
      <c r="Q200" s="1" t="s">
        <v>149</v>
      </c>
      <c r="R200" s="1" t="s">
        <v>137</v>
      </c>
      <c r="Y200" s="1" t="s">
        <v>78</v>
      </c>
      <c r="Z200" s="1" t="s">
        <v>1981</v>
      </c>
      <c r="AA200" s="1" t="s">
        <v>1982</v>
      </c>
      <c r="AB200" s="1" t="s">
        <v>1983</v>
      </c>
      <c r="AC200" s="1" t="s">
        <v>1984</v>
      </c>
      <c r="AE200" s="1" t="s">
        <v>83</v>
      </c>
      <c r="AS200" s="1" t="s">
        <v>85</v>
      </c>
      <c r="BN200" s="1" t="s">
        <v>137</v>
      </c>
      <c r="BO200" s="1" t="s">
        <v>137</v>
      </c>
    </row>
    <row r="201">
      <c r="A201" s="1" t="s">
        <v>1985</v>
      </c>
      <c r="B201" s="1" t="s">
        <v>1986</v>
      </c>
      <c r="C201" s="1" t="s">
        <v>1987</v>
      </c>
      <c r="D201" s="1" t="s">
        <v>92</v>
      </c>
      <c r="E201" s="2" t="s">
        <v>1988</v>
      </c>
      <c r="J201" s="1">
        <v>31.0</v>
      </c>
      <c r="K201" s="1" t="s">
        <v>1989</v>
      </c>
      <c r="L201" s="1" t="s">
        <v>72</v>
      </c>
      <c r="M201" s="1" t="s">
        <v>108</v>
      </c>
      <c r="N201" s="1" t="s">
        <v>109</v>
      </c>
      <c r="O201" s="1">
        <v>-12.44925575</v>
      </c>
      <c r="Q201" s="1" t="s">
        <v>75</v>
      </c>
      <c r="R201" s="1" t="s">
        <v>1990</v>
      </c>
      <c r="X201" s="1" t="s">
        <v>77</v>
      </c>
      <c r="Y201" s="1" t="s">
        <v>78</v>
      </c>
      <c r="Z201" s="1" t="s">
        <v>1991</v>
      </c>
      <c r="AA201" s="1" t="s">
        <v>1992</v>
      </c>
      <c r="AB201" s="1" t="s">
        <v>1993</v>
      </c>
      <c r="AC201" s="1" t="s">
        <v>1994</v>
      </c>
      <c r="AE201" s="1" t="s">
        <v>83</v>
      </c>
      <c r="AH201" s="1" t="s">
        <v>84</v>
      </c>
      <c r="AI201" s="1" t="s">
        <v>85</v>
      </c>
      <c r="AJ201" s="1" t="s">
        <v>84</v>
      </c>
      <c r="BE201" s="1" t="s">
        <v>85</v>
      </c>
      <c r="BK201" s="1" t="s">
        <v>86</v>
      </c>
      <c r="BN201" s="1" t="s">
        <v>1995</v>
      </c>
      <c r="BO201" s="1" t="s">
        <v>1996</v>
      </c>
    </row>
    <row r="202">
      <c r="A202" s="1" t="s">
        <v>1997</v>
      </c>
      <c r="B202" s="1" t="s">
        <v>1998</v>
      </c>
      <c r="C202" s="1" t="s">
        <v>1999</v>
      </c>
      <c r="D202" s="1" t="s">
        <v>92</v>
      </c>
      <c r="E202" s="2" t="s">
        <v>2000</v>
      </c>
      <c r="J202" s="1">
        <v>35.0</v>
      </c>
      <c r="K202" s="1" t="s">
        <v>71</v>
      </c>
      <c r="L202" s="1" t="s">
        <v>72</v>
      </c>
      <c r="M202" s="1" t="s">
        <v>73</v>
      </c>
      <c r="N202" s="1" t="s">
        <v>40</v>
      </c>
      <c r="O202" s="1">
        <v>-5.035971223</v>
      </c>
      <c r="Q202" s="1" t="s">
        <v>149</v>
      </c>
      <c r="R202" s="1" t="s">
        <v>137</v>
      </c>
      <c r="W202" s="1" t="s">
        <v>858</v>
      </c>
      <c r="Y202" s="1" t="s">
        <v>78</v>
      </c>
      <c r="Z202" s="1" t="s">
        <v>2001</v>
      </c>
      <c r="AA202" s="1" t="s">
        <v>2002</v>
      </c>
      <c r="AB202" s="1" t="s">
        <v>2003</v>
      </c>
      <c r="AC202" s="1" t="s">
        <v>2004</v>
      </c>
      <c r="AE202" s="1" t="s">
        <v>83</v>
      </c>
      <c r="AO202" s="1" t="s">
        <v>84</v>
      </c>
      <c r="AU202" s="1" t="s">
        <v>84</v>
      </c>
      <c r="AV202" s="1" t="s">
        <v>85</v>
      </c>
      <c r="BN202" s="1" t="s">
        <v>137</v>
      </c>
      <c r="BO202" s="1" t="s">
        <v>137</v>
      </c>
    </row>
    <row r="203">
      <c r="A203" s="1" t="s">
        <v>2005</v>
      </c>
      <c r="B203" s="1" t="s">
        <v>2006</v>
      </c>
      <c r="C203" s="1" t="s">
        <v>2007</v>
      </c>
      <c r="D203" s="1" t="s">
        <v>70</v>
      </c>
      <c r="E203" s="2" t="s">
        <v>1973</v>
      </c>
      <c r="J203" s="1">
        <v>25.0</v>
      </c>
      <c r="K203" s="1" t="s">
        <v>2008</v>
      </c>
      <c r="L203" s="1" t="s">
        <v>72</v>
      </c>
      <c r="M203" s="1" t="s">
        <v>108</v>
      </c>
      <c r="N203" s="1" t="s">
        <v>44</v>
      </c>
      <c r="O203" s="1">
        <v>-7.521186441</v>
      </c>
      <c r="Q203" s="1" t="s">
        <v>110</v>
      </c>
      <c r="R203" s="1" t="s">
        <v>204</v>
      </c>
      <c r="X203" s="1" t="s">
        <v>77</v>
      </c>
      <c r="Y203" s="1" t="s">
        <v>78</v>
      </c>
      <c r="Z203" s="1" t="s">
        <v>2009</v>
      </c>
      <c r="AA203" s="1" t="s">
        <v>2010</v>
      </c>
      <c r="AB203" s="1" t="s">
        <v>2011</v>
      </c>
      <c r="AC203" s="1" t="s">
        <v>2012</v>
      </c>
      <c r="AE203" s="1" t="s">
        <v>83</v>
      </c>
      <c r="AF203" s="1" t="s">
        <v>84</v>
      </c>
      <c r="AG203" s="1" t="s">
        <v>85</v>
      </c>
      <c r="AH203" s="1" t="s">
        <v>85</v>
      </c>
      <c r="AI203" s="1" t="s">
        <v>85</v>
      </c>
      <c r="AJ203" s="1" t="s">
        <v>84</v>
      </c>
      <c r="AK203" s="1" t="s">
        <v>85</v>
      </c>
      <c r="AM203" s="1" t="s">
        <v>84</v>
      </c>
      <c r="AN203" s="1" t="s">
        <v>85</v>
      </c>
      <c r="AS203" s="1" t="s">
        <v>85</v>
      </c>
      <c r="AT203" s="1" t="s">
        <v>84</v>
      </c>
      <c r="AU203" s="1" t="s">
        <v>85</v>
      </c>
      <c r="AZ203" s="1" t="s">
        <v>85</v>
      </c>
      <c r="BE203" s="1" t="s">
        <v>85</v>
      </c>
      <c r="BL203" s="1" t="s">
        <v>86</v>
      </c>
      <c r="BN203" s="1" t="s">
        <v>209</v>
      </c>
      <c r="BO203" s="1" t="s">
        <v>210</v>
      </c>
    </row>
    <row r="204">
      <c r="A204" s="1" t="s">
        <v>2013</v>
      </c>
      <c r="B204" s="1" t="s">
        <v>2014</v>
      </c>
      <c r="C204" s="1" t="s">
        <v>2015</v>
      </c>
      <c r="D204" s="1" t="s">
        <v>92</v>
      </c>
      <c r="E204" s="2" t="s">
        <v>2016</v>
      </c>
      <c r="J204" s="1">
        <v>43.0</v>
      </c>
      <c r="K204" s="1" t="s">
        <v>702</v>
      </c>
      <c r="L204" s="1" t="s">
        <v>72</v>
      </c>
      <c r="M204" s="1" t="s">
        <v>108</v>
      </c>
      <c r="N204" s="1" t="s">
        <v>764</v>
      </c>
      <c r="O204" s="1">
        <v>-27.5862069</v>
      </c>
      <c r="Q204" s="1" t="s">
        <v>75</v>
      </c>
      <c r="R204" s="1" t="s">
        <v>765</v>
      </c>
      <c r="W204" s="1" t="s">
        <v>274</v>
      </c>
      <c r="Y204" s="1" t="s">
        <v>138</v>
      </c>
      <c r="Z204" s="1" t="s">
        <v>2014</v>
      </c>
      <c r="AA204" s="1" t="s">
        <v>2017</v>
      </c>
      <c r="AB204" s="1" t="s">
        <v>2018</v>
      </c>
      <c r="AC204" s="1" t="s">
        <v>2019</v>
      </c>
      <c r="AE204" s="1" t="s">
        <v>83</v>
      </c>
      <c r="AH204" s="1" t="s">
        <v>85</v>
      </c>
      <c r="BA204" s="1" t="s">
        <v>85</v>
      </c>
      <c r="BE204" s="1" t="s">
        <v>85</v>
      </c>
      <c r="BI204" s="1" t="s">
        <v>85</v>
      </c>
      <c r="BN204" s="1" t="s">
        <v>1928</v>
      </c>
      <c r="BO204" s="1" t="s">
        <v>770</v>
      </c>
    </row>
    <row r="205">
      <c r="A205" s="1" t="s">
        <v>2020</v>
      </c>
      <c r="B205" s="1" t="s">
        <v>2021</v>
      </c>
      <c r="C205" s="1" t="s">
        <v>2022</v>
      </c>
      <c r="D205" s="1" t="s">
        <v>92</v>
      </c>
      <c r="E205" s="2" t="s">
        <v>2023</v>
      </c>
      <c r="J205" s="1">
        <v>24.0</v>
      </c>
      <c r="K205" s="1" t="s">
        <v>71</v>
      </c>
      <c r="L205" s="1" t="s">
        <v>72</v>
      </c>
      <c r="M205" s="1" t="s">
        <v>73</v>
      </c>
      <c r="N205" s="1" t="s">
        <v>40</v>
      </c>
      <c r="O205" s="1">
        <v>-35.66878981</v>
      </c>
      <c r="Q205" s="1" t="s">
        <v>149</v>
      </c>
      <c r="R205" s="1" t="s">
        <v>2024</v>
      </c>
      <c r="W205" s="1" t="s">
        <v>858</v>
      </c>
      <c r="X205" s="1" t="s">
        <v>77</v>
      </c>
      <c r="Y205" s="1" t="s">
        <v>78</v>
      </c>
      <c r="Z205" s="1" t="s">
        <v>2025</v>
      </c>
      <c r="AA205" s="1" t="s">
        <v>2026</v>
      </c>
      <c r="AB205" s="1" t="s">
        <v>2027</v>
      </c>
      <c r="AC205" s="1" t="s">
        <v>2028</v>
      </c>
      <c r="AE205" s="1" t="s">
        <v>83</v>
      </c>
      <c r="AO205" s="1" t="s">
        <v>84</v>
      </c>
      <c r="AU205" s="1" t="s">
        <v>84</v>
      </c>
      <c r="AV205" s="1" t="s">
        <v>85</v>
      </c>
      <c r="BN205" s="1" t="s">
        <v>2029</v>
      </c>
      <c r="BO205" s="1" t="s">
        <v>137</v>
      </c>
    </row>
    <row r="206">
      <c r="A206" s="1" t="s">
        <v>2030</v>
      </c>
      <c r="B206" s="1" t="s">
        <v>2031</v>
      </c>
      <c r="C206" s="1" t="s">
        <v>2032</v>
      </c>
      <c r="D206" s="1" t="s">
        <v>92</v>
      </c>
      <c r="E206" s="2" t="s">
        <v>2033</v>
      </c>
      <c r="J206" s="1">
        <v>35.0</v>
      </c>
      <c r="K206" s="1" t="s">
        <v>159</v>
      </c>
      <c r="L206" s="1" t="s">
        <v>72</v>
      </c>
      <c r="M206" s="1" t="s">
        <v>73</v>
      </c>
      <c r="N206" s="1" t="s">
        <v>43</v>
      </c>
      <c r="O206" s="1">
        <v>27.27272727</v>
      </c>
      <c r="Q206" s="1" t="s">
        <v>260</v>
      </c>
      <c r="R206" s="1" t="s">
        <v>137</v>
      </c>
      <c r="W206" s="1" t="s">
        <v>1578</v>
      </c>
      <c r="Y206" s="1" t="s">
        <v>138</v>
      </c>
      <c r="Z206" s="1" t="s">
        <v>2034</v>
      </c>
      <c r="AA206" s="1" t="s">
        <v>2035</v>
      </c>
      <c r="AB206" s="1" t="s">
        <v>2036</v>
      </c>
      <c r="AC206" s="1" t="s">
        <v>2037</v>
      </c>
      <c r="AE206" s="1" t="s">
        <v>83</v>
      </c>
      <c r="AS206" s="1" t="s">
        <v>85</v>
      </c>
      <c r="BA206" s="1" t="s">
        <v>85</v>
      </c>
      <c r="BI206" s="1" t="s">
        <v>84</v>
      </c>
      <c r="BN206" s="1" t="s">
        <v>137</v>
      </c>
      <c r="BO206" s="1" t="s">
        <v>137</v>
      </c>
    </row>
    <row r="207">
      <c r="A207" s="1" t="s">
        <v>2038</v>
      </c>
      <c r="B207" s="1" t="s">
        <v>2039</v>
      </c>
      <c r="C207" s="1" t="s">
        <v>2040</v>
      </c>
      <c r="D207" s="1" t="s">
        <v>92</v>
      </c>
      <c r="E207" s="2" t="s">
        <v>2041</v>
      </c>
      <c r="J207" s="1">
        <v>35.0</v>
      </c>
      <c r="K207" s="1" t="s">
        <v>171</v>
      </c>
      <c r="L207" s="1" t="s">
        <v>72</v>
      </c>
      <c r="M207" s="1" t="s">
        <v>73</v>
      </c>
      <c r="N207" s="1" t="s">
        <v>40</v>
      </c>
      <c r="O207" s="1">
        <v>-1.882352941</v>
      </c>
      <c r="Q207" s="1" t="s">
        <v>75</v>
      </c>
      <c r="R207" s="1" t="s">
        <v>2042</v>
      </c>
      <c r="W207" s="1" t="s">
        <v>193</v>
      </c>
      <c r="X207" s="1" t="s">
        <v>77</v>
      </c>
      <c r="Y207" s="1" t="s">
        <v>78</v>
      </c>
      <c r="Z207" s="1" t="s">
        <v>346</v>
      </c>
      <c r="AA207" s="1" t="s">
        <v>2043</v>
      </c>
      <c r="AB207" s="1" t="s">
        <v>2044</v>
      </c>
      <c r="AC207" s="1" t="s">
        <v>2045</v>
      </c>
      <c r="AD207" s="1" t="s">
        <v>2046</v>
      </c>
      <c r="AE207" s="1" t="s">
        <v>83</v>
      </c>
      <c r="AF207" s="1" t="s">
        <v>84</v>
      </c>
      <c r="AG207" s="1" t="s">
        <v>84</v>
      </c>
      <c r="AO207" s="1" t="s">
        <v>84</v>
      </c>
      <c r="AV207" s="1" t="s">
        <v>129</v>
      </c>
      <c r="BD207" s="1" t="s">
        <v>129</v>
      </c>
      <c r="BK207" s="1" t="s">
        <v>86</v>
      </c>
      <c r="BN207" s="1" t="s">
        <v>2047</v>
      </c>
      <c r="BO207" s="1" t="s">
        <v>2048</v>
      </c>
    </row>
    <row r="208">
      <c r="A208" s="1" t="s">
        <v>2049</v>
      </c>
      <c r="B208" s="1" t="s">
        <v>2050</v>
      </c>
      <c r="C208" s="1" t="s">
        <v>2051</v>
      </c>
      <c r="D208" s="1" t="s">
        <v>92</v>
      </c>
      <c r="E208" s="2" t="s">
        <v>2052</v>
      </c>
      <c r="J208" s="1">
        <v>49.0</v>
      </c>
      <c r="K208" s="1" t="s">
        <v>71</v>
      </c>
      <c r="L208" s="1" t="s">
        <v>72</v>
      </c>
      <c r="M208" s="1" t="s">
        <v>73</v>
      </c>
      <c r="N208" s="1" t="s">
        <v>43</v>
      </c>
      <c r="O208" s="1">
        <v>5.882352941</v>
      </c>
      <c r="Q208" s="1" t="s">
        <v>149</v>
      </c>
      <c r="R208" s="1" t="s">
        <v>137</v>
      </c>
      <c r="W208" s="1" t="s">
        <v>2053</v>
      </c>
      <c r="Y208" s="1" t="s">
        <v>78</v>
      </c>
      <c r="Z208" s="1" t="s">
        <v>2054</v>
      </c>
      <c r="AA208" s="1" t="s">
        <v>2055</v>
      </c>
      <c r="AB208" s="1" t="s">
        <v>2056</v>
      </c>
      <c r="AC208" s="1" t="s">
        <v>2057</v>
      </c>
      <c r="AE208" s="1" t="s">
        <v>83</v>
      </c>
      <c r="AM208" s="1" t="s">
        <v>85</v>
      </c>
      <c r="AN208" s="1" t="s">
        <v>85</v>
      </c>
      <c r="AS208" s="1" t="s">
        <v>85</v>
      </c>
      <c r="BA208" s="1" t="s">
        <v>85</v>
      </c>
      <c r="BJ208" s="1" t="s">
        <v>85</v>
      </c>
      <c r="BN208" s="1" t="s">
        <v>137</v>
      </c>
      <c r="BO208" s="1" t="s">
        <v>137</v>
      </c>
    </row>
    <row r="209">
      <c r="A209" s="1" t="s">
        <v>2058</v>
      </c>
      <c r="B209" s="1" t="s">
        <v>2059</v>
      </c>
      <c r="C209" s="1" t="s">
        <v>2060</v>
      </c>
      <c r="D209" s="1" t="s">
        <v>92</v>
      </c>
      <c r="E209" s="2" t="s">
        <v>2061</v>
      </c>
      <c r="J209" s="1">
        <v>27.0</v>
      </c>
      <c r="K209" s="1" t="s">
        <v>148</v>
      </c>
      <c r="L209" s="1" t="s">
        <v>72</v>
      </c>
      <c r="M209" s="1" t="s">
        <v>108</v>
      </c>
      <c r="N209" s="1" t="s">
        <v>44</v>
      </c>
      <c r="O209" s="1">
        <v>-1.086956522</v>
      </c>
      <c r="Q209" s="1" t="s">
        <v>149</v>
      </c>
      <c r="R209" s="1" t="s">
        <v>137</v>
      </c>
      <c r="W209" s="1" t="s">
        <v>274</v>
      </c>
      <c r="Y209" s="1" t="s">
        <v>78</v>
      </c>
      <c r="Z209" s="1" t="s">
        <v>2014</v>
      </c>
      <c r="AA209" s="1" t="s">
        <v>2062</v>
      </c>
      <c r="AB209" s="1" t="s">
        <v>2063</v>
      </c>
      <c r="AC209" s="1" t="s">
        <v>2064</v>
      </c>
      <c r="AE209" s="1" t="s">
        <v>83</v>
      </c>
      <c r="AJ209" s="1" t="s">
        <v>84</v>
      </c>
      <c r="AT209" s="1" t="s">
        <v>84</v>
      </c>
      <c r="BN209" s="1" t="s">
        <v>137</v>
      </c>
      <c r="BO209" s="1" t="s">
        <v>137</v>
      </c>
    </row>
    <row r="210">
      <c r="A210" s="1" t="s">
        <v>2065</v>
      </c>
      <c r="B210" s="1" t="s">
        <v>2066</v>
      </c>
      <c r="C210" s="1" t="s">
        <v>2067</v>
      </c>
      <c r="D210" s="1" t="s">
        <v>92</v>
      </c>
      <c r="E210" s="2" t="s">
        <v>2068</v>
      </c>
      <c r="J210" s="1">
        <v>30.0</v>
      </c>
      <c r="K210" s="1" t="s">
        <v>452</v>
      </c>
      <c r="L210" s="1" t="s">
        <v>72</v>
      </c>
      <c r="M210" s="1" t="s">
        <v>73</v>
      </c>
      <c r="N210" s="1" t="s">
        <v>1281</v>
      </c>
      <c r="O210" s="1">
        <v>-2.336448598</v>
      </c>
      <c r="Q210" s="1" t="s">
        <v>149</v>
      </c>
      <c r="R210" s="1" t="s">
        <v>137</v>
      </c>
      <c r="W210" s="1" t="s">
        <v>858</v>
      </c>
      <c r="Y210" s="1" t="s">
        <v>78</v>
      </c>
      <c r="Z210" s="1" t="s">
        <v>2069</v>
      </c>
      <c r="AA210" s="1" t="s">
        <v>2070</v>
      </c>
      <c r="AB210" s="1" t="s">
        <v>2071</v>
      </c>
      <c r="AC210" s="1" t="s">
        <v>2072</v>
      </c>
      <c r="AE210" s="1" t="s">
        <v>83</v>
      </c>
      <c r="AP210" s="1" t="s">
        <v>85</v>
      </c>
      <c r="AU210" s="1" t="s">
        <v>84</v>
      </c>
      <c r="AW210" s="1" t="s">
        <v>84</v>
      </c>
      <c r="BA210" s="1" t="s">
        <v>84</v>
      </c>
      <c r="BJ210" s="1" t="s">
        <v>84</v>
      </c>
      <c r="BN210" s="1" t="s">
        <v>1084</v>
      </c>
      <c r="BO210" s="1" t="s">
        <v>137</v>
      </c>
    </row>
    <row r="211">
      <c r="A211" s="1" t="s">
        <v>2073</v>
      </c>
      <c r="B211" s="1" t="s">
        <v>2074</v>
      </c>
      <c r="C211" s="1" t="s">
        <v>2075</v>
      </c>
      <c r="D211" s="1" t="s">
        <v>92</v>
      </c>
      <c r="E211" s="2" t="s">
        <v>2076</v>
      </c>
      <c r="J211" s="1">
        <v>20.0</v>
      </c>
      <c r="K211" s="1" t="s">
        <v>71</v>
      </c>
      <c r="L211" s="1" t="s">
        <v>72</v>
      </c>
      <c r="M211" s="1" t="s">
        <v>73</v>
      </c>
      <c r="N211" s="1" t="s">
        <v>40</v>
      </c>
      <c r="O211" s="1">
        <v>-20.64220183</v>
      </c>
      <c r="Q211" s="1" t="s">
        <v>149</v>
      </c>
      <c r="R211" s="1" t="s">
        <v>137</v>
      </c>
      <c r="W211" s="1" t="s">
        <v>858</v>
      </c>
      <c r="Y211" s="1" t="s">
        <v>78</v>
      </c>
      <c r="Z211" s="1" t="s">
        <v>2077</v>
      </c>
      <c r="AA211" s="1" t="s">
        <v>2078</v>
      </c>
      <c r="AB211" s="1" t="s">
        <v>2079</v>
      </c>
      <c r="AC211" s="1" t="s">
        <v>2080</v>
      </c>
      <c r="AE211" s="1" t="s">
        <v>83</v>
      </c>
      <c r="AO211" s="1" t="s">
        <v>84</v>
      </c>
      <c r="AU211" s="1" t="s">
        <v>84</v>
      </c>
      <c r="AV211" s="1" t="s">
        <v>85</v>
      </c>
      <c r="BN211" s="1" t="s">
        <v>2081</v>
      </c>
      <c r="BO211" s="1" t="s">
        <v>137</v>
      </c>
    </row>
    <row r="212">
      <c r="A212" s="1" t="s">
        <v>2082</v>
      </c>
      <c r="B212" s="1" t="s">
        <v>2083</v>
      </c>
      <c r="C212" s="1" t="s">
        <v>2084</v>
      </c>
      <c r="D212" s="1" t="s">
        <v>92</v>
      </c>
      <c r="E212" s="2" t="s">
        <v>2085</v>
      </c>
      <c r="J212" s="1">
        <v>33.0</v>
      </c>
      <c r="K212" s="1" t="s">
        <v>94</v>
      </c>
      <c r="L212" s="1" t="s">
        <v>72</v>
      </c>
      <c r="M212" s="1" t="s">
        <v>108</v>
      </c>
      <c r="N212" s="1" t="s">
        <v>109</v>
      </c>
      <c r="O212" s="1">
        <v>1.03926097</v>
      </c>
      <c r="Q212" s="1" t="s">
        <v>75</v>
      </c>
      <c r="R212" s="1" t="s">
        <v>2086</v>
      </c>
      <c r="W212" s="1" t="s">
        <v>193</v>
      </c>
      <c r="X212" s="1" t="s">
        <v>77</v>
      </c>
      <c r="Y212" s="1" t="s">
        <v>78</v>
      </c>
      <c r="Z212" s="1" t="s">
        <v>1057</v>
      </c>
      <c r="AA212" s="1" t="s">
        <v>2087</v>
      </c>
      <c r="AB212" s="1" t="s">
        <v>1059</v>
      </c>
      <c r="AC212" s="1" t="s">
        <v>2088</v>
      </c>
      <c r="AD212" s="1" t="s">
        <v>2089</v>
      </c>
      <c r="AE212" s="1" t="s">
        <v>83</v>
      </c>
      <c r="AF212" s="1" t="s">
        <v>84</v>
      </c>
      <c r="AH212" s="1" t="s">
        <v>129</v>
      </c>
      <c r="AI212" s="1" t="s">
        <v>129</v>
      </c>
      <c r="AJ212" s="1" t="s">
        <v>84</v>
      </c>
      <c r="AT212" s="1" t="s">
        <v>85</v>
      </c>
      <c r="AZ212" s="1" t="s">
        <v>85</v>
      </c>
      <c r="BC212" s="1" t="s">
        <v>1027</v>
      </c>
      <c r="BE212" s="1" t="s">
        <v>129</v>
      </c>
      <c r="BK212" s="1" t="s">
        <v>86</v>
      </c>
      <c r="BN212" s="1" t="s">
        <v>117</v>
      </c>
      <c r="BO212" s="1" t="s">
        <v>2090</v>
      </c>
    </row>
    <row r="213">
      <c r="A213" s="1" t="s">
        <v>2091</v>
      </c>
      <c r="B213" s="1" t="s">
        <v>2092</v>
      </c>
      <c r="C213" s="1" t="s">
        <v>2093</v>
      </c>
      <c r="D213" s="1" t="s">
        <v>92</v>
      </c>
      <c r="E213" s="2" t="s">
        <v>2094</v>
      </c>
      <c r="J213" s="1">
        <v>32.0</v>
      </c>
      <c r="K213" s="1" t="s">
        <v>71</v>
      </c>
      <c r="L213" s="1" t="s">
        <v>72</v>
      </c>
      <c r="M213" s="1" t="s">
        <v>73</v>
      </c>
      <c r="N213" s="1" t="s">
        <v>39</v>
      </c>
      <c r="O213" s="1">
        <v>43.50282486</v>
      </c>
      <c r="Q213" s="1" t="s">
        <v>75</v>
      </c>
      <c r="R213" s="1" t="s">
        <v>137</v>
      </c>
      <c r="W213" s="1" t="s">
        <v>2095</v>
      </c>
      <c r="Y213" s="1" t="s">
        <v>78</v>
      </c>
      <c r="Z213" s="1" t="s">
        <v>2096</v>
      </c>
      <c r="AA213" s="1" t="s">
        <v>2097</v>
      </c>
      <c r="AB213" s="1" t="s">
        <v>2098</v>
      </c>
      <c r="AC213" s="1" t="s">
        <v>2099</v>
      </c>
      <c r="AE213" s="1" t="s">
        <v>83</v>
      </c>
      <c r="AF213" s="1" t="s">
        <v>85</v>
      </c>
      <c r="AG213" s="1" t="s">
        <v>85</v>
      </c>
      <c r="AP213" s="1" t="s">
        <v>85</v>
      </c>
      <c r="BA213" s="1" t="s">
        <v>84</v>
      </c>
      <c r="BJ213" s="1" t="s">
        <v>84</v>
      </c>
      <c r="BN213" s="1" t="s">
        <v>2100</v>
      </c>
      <c r="BO213" s="1" t="s">
        <v>137</v>
      </c>
    </row>
    <row r="214">
      <c r="A214" s="1" t="s">
        <v>2101</v>
      </c>
      <c r="B214" s="1" t="s">
        <v>2102</v>
      </c>
      <c r="C214" s="1" t="s">
        <v>2103</v>
      </c>
      <c r="D214" s="1" t="s">
        <v>92</v>
      </c>
      <c r="E214" s="2" t="s">
        <v>2104</v>
      </c>
      <c r="J214" s="1">
        <v>31.0</v>
      </c>
      <c r="K214" s="1" t="s">
        <v>148</v>
      </c>
      <c r="L214" s="1" t="s">
        <v>72</v>
      </c>
      <c r="M214" s="1" t="s">
        <v>73</v>
      </c>
      <c r="N214" s="1" t="s">
        <v>285</v>
      </c>
      <c r="O214" s="1">
        <v>15.8392435</v>
      </c>
      <c r="Q214" s="1" t="s">
        <v>149</v>
      </c>
      <c r="R214" s="1" t="s">
        <v>137</v>
      </c>
      <c r="W214" s="1" t="s">
        <v>858</v>
      </c>
      <c r="X214" s="1" t="s">
        <v>77</v>
      </c>
      <c r="Y214" s="1" t="s">
        <v>78</v>
      </c>
      <c r="Z214" s="1" t="s">
        <v>2105</v>
      </c>
      <c r="AA214" s="1" t="s">
        <v>2106</v>
      </c>
      <c r="AB214" s="1" t="s">
        <v>2107</v>
      </c>
      <c r="AC214" s="1" t="s">
        <v>2108</v>
      </c>
      <c r="AD214" s="1" t="s">
        <v>2109</v>
      </c>
      <c r="AE214" s="1" t="s">
        <v>83</v>
      </c>
      <c r="AP214" s="1" t="s">
        <v>84</v>
      </c>
      <c r="AU214" s="1" t="s">
        <v>84</v>
      </c>
      <c r="AW214" s="1" t="s">
        <v>129</v>
      </c>
      <c r="BA214" s="1" t="s">
        <v>84</v>
      </c>
      <c r="BJ214" s="1" t="s">
        <v>129</v>
      </c>
      <c r="BK214" s="1" t="s">
        <v>86</v>
      </c>
      <c r="BN214" s="1" t="s">
        <v>1591</v>
      </c>
      <c r="BO214" s="1" t="s">
        <v>137</v>
      </c>
    </row>
    <row r="215">
      <c r="A215" s="1" t="s">
        <v>2110</v>
      </c>
      <c r="B215" s="1" t="s">
        <v>2111</v>
      </c>
      <c r="C215" s="1" t="s">
        <v>2112</v>
      </c>
      <c r="D215" s="1" t="s">
        <v>92</v>
      </c>
      <c r="E215" s="2" t="s">
        <v>2113</v>
      </c>
      <c r="J215" s="1">
        <v>30.0</v>
      </c>
      <c r="K215" s="1" t="s">
        <v>2114</v>
      </c>
      <c r="L215" s="1" t="s">
        <v>72</v>
      </c>
      <c r="M215" s="1" t="s">
        <v>108</v>
      </c>
      <c r="N215" s="1" t="s">
        <v>109</v>
      </c>
      <c r="O215" s="1">
        <v>4.891304348</v>
      </c>
      <c r="Q215" s="1" t="s">
        <v>136</v>
      </c>
      <c r="R215" s="1" t="s">
        <v>670</v>
      </c>
      <c r="W215" s="1" t="s">
        <v>274</v>
      </c>
      <c r="Y215" s="1" t="s">
        <v>138</v>
      </c>
      <c r="Z215" s="1" t="s">
        <v>2069</v>
      </c>
      <c r="AA215" s="1" t="s">
        <v>2115</v>
      </c>
      <c r="AB215" s="1" t="s">
        <v>2116</v>
      </c>
      <c r="AC215" s="1" t="s">
        <v>2117</v>
      </c>
      <c r="AE215" s="1" t="s">
        <v>83</v>
      </c>
      <c r="AH215" s="1" t="s">
        <v>84</v>
      </c>
      <c r="AI215" s="1" t="s">
        <v>85</v>
      </c>
      <c r="AJ215" s="1" t="s">
        <v>85</v>
      </c>
      <c r="AT215" s="1" t="s">
        <v>85</v>
      </c>
      <c r="AZ215" s="1" t="s">
        <v>85</v>
      </c>
      <c r="BA215" s="1" t="s">
        <v>85</v>
      </c>
      <c r="BD215" s="1" t="s">
        <v>85</v>
      </c>
      <c r="BE215" s="1" t="s">
        <v>85</v>
      </c>
      <c r="BF215" s="1" t="s">
        <v>85</v>
      </c>
      <c r="BH215" s="1" t="s">
        <v>85</v>
      </c>
      <c r="BI215" s="1" t="s">
        <v>85</v>
      </c>
      <c r="BJ215" s="1" t="s">
        <v>85</v>
      </c>
      <c r="BM215" s="1" t="s">
        <v>86</v>
      </c>
      <c r="BN215" s="1" t="s">
        <v>675</v>
      </c>
      <c r="BO215" s="1" t="s">
        <v>670</v>
      </c>
      <c r="BP215" s="1" t="s">
        <v>144</v>
      </c>
    </row>
    <row r="216">
      <c r="A216" s="1" t="s">
        <v>2118</v>
      </c>
      <c r="B216" s="1" t="s">
        <v>2119</v>
      </c>
      <c r="C216" s="1" t="s">
        <v>2120</v>
      </c>
      <c r="D216" s="1" t="s">
        <v>92</v>
      </c>
      <c r="E216" s="2" t="s">
        <v>2121</v>
      </c>
      <c r="J216" s="1">
        <v>37.0</v>
      </c>
      <c r="K216" s="1" t="s">
        <v>2122</v>
      </c>
      <c r="L216" s="1" t="s">
        <v>72</v>
      </c>
      <c r="M216" s="1" t="s">
        <v>73</v>
      </c>
      <c r="N216" s="1" t="s">
        <v>723</v>
      </c>
      <c r="O216" s="1">
        <v>12.12121212</v>
      </c>
      <c r="Q216" s="1" t="s">
        <v>149</v>
      </c>
      <c r="R216" s="1" t="s">
        <v>76</v>
      </c>
      <c r="W216" s="1" t="s">
        <v>858</v>
      </c>
      <c r="X216" s="1" t="s">
        <v>77</v>
      </c>
      <c r="Y216" s="1" t="s">
        <v>78</v>
      </c>
      <c r="Z216" s="1" t="s">
        <v>2123</v>
      </c>
      <c r="AA216" s="1" t="s">
        <v>2124</v>
      </c>
      <c r="AB216" s="1" t="s">
        <v>2125</v>
      </c>
      <c r="AC216" s="1" t="s">
        <v>2126</v>
      </c>
      <c r="AD216" s="1" t="s">
        <v>2127</v>
      </c>
      <c r="AE216" s="1" t="s">
        <v>83</v>
      </c>
      <c r="AF216" s="1" t="s">
        <v>84</v>
      </c>
      <c r="AJ216" s="1" t="s">
        <v>84</v>
      </c>
      <c r="AM216" s="1" t="s">
        <v>129</v>
      </c>
      <c r="AN216" s="1" t="s">
        <v>129</v>
      </c>
      <c r="AP216" s="1" t="s">
        <v>84</v>
      </c>
      <c r="AS216" s="1" t="s">
        <v>85</v>
      </c>
      <c r="AZ216" s="1" t="s">
        <v>84</v>
      </c>
      <c r="BA216" s="1" t="s">
        <v>129</v>
      </c>
      <c r="BJ216" s="1" t="s">
        <v>84</v>
      </c>
      <c r="BK216" s="1" t="s">
        <v>86</v>
      </c>
      <c r="BN216" s="1" t="s">
        <v>2128</v>
      </c>
      <c r="BO216" s="1" t="s">
        <v>137</v>
      </c>
    </row>
    <row r="217">
      <c r="A217" s="1" t="s">
        <v>2129</v>
      </c>
      <c r="B217" s="1" t="s">
        <v>2130</v>
      </c>
      <c r="C217" s="1" t="s">
        <v>2131</v>
      </c>
      <c r="D217" s="1" t="s">
        <v>92</v>
      </c>
      <c r="E217" s="2" t="s">
        <v>2132</v>
      </c>
      <c r="J217" s="1">
        <v>36.0</v>
      </c>
      <c r="K217" s="1" t="s">
        <v>71</v>
      </c>
      <c r="L217" s="1" t="s">
        <v>72</v>
      </c>
      <c r="M217" s="1" t="s">
        <v>73</v>
      </c>
      <c r="N217" s="1" t="s">
        <v>1281</v>
      </c>
      <c r="O217" s="1">
        <v>-15.51724138</v>
      </c>
      <c r="Q217" s="1" t="s">
        <v>149</v>
      </c>
      <c r="R217" s="1" t="s">
        <v>137</v>
      </c>
      <c r="W217" s="1" t="s">
        <v>858</v>
      </c>
      <c r="X217" s="1" t="s">
        <v>77</v>
      </c>
      <c r="Y217" s="1" t="s">
        <v>78</v>
      </c>
      <c r="Z217" s="1" t="s">
        <v>2133</v>
      </c>
      <c r="AA217" s="1" t="s">
        <v>2134</v>
      </c>
      <c r="AB217" s="1" t="s">
        <v>2135</v>
      </c>
      <c r="AC217" s="1" t="s">
        <v>2136</v>
      </c>
      <c r="AE217" s="1" t="s">
        <v>83</v>
      </c>
      <c r="AU217" s="1" t="s">
        <v>84</v>
      </c>
      <c r="AW217" s="1" t="s">
        <v>84</v>
      </c>
      <c r="BA217" s="1" t="s">
        <v>84</v>
      </c>
      <c r="BJ217" s="1" t="s">
        <v>85</v>
      </c>
      <c r="BN217" s="1" t="s">
        <v>2137</v>
      </c>
      <c r="BO217" s="1" t="s">
        <v>137</v>
      </c>
    </row>
    <row r="218">
      <c r="A218" s="1" t="s">
        <v>2138</v>
      </c>
      <c r="B218" s="1" t="s">
        <v>2139</v>
      </c>
      <c r="C218" s="1" t="s">
        <v>2140</v>
      </c>
      <c r="D218" s="1" t="s">
        <v>92</v>
      </c>
      <c r="E218" s="2" t="s">
        <v>2141</v>
      </c>
      <c r="J218" s="1">
        <v>32.0</v>
      </c>
      <c r="K218" s="1" t="s">
        <v>159</v>
      </c>
      <c r="L218" s="1" t="s">
        <v>72</v>
      </c>
      <c r="M218" s="1" t="s">
        <v>73</v>
      </c>
      <c r="N218" s="1" t="s">
        <v>39</v>
      </c>
      <c r="O218" s="1">
        <v>-3.645833333</v>
      </c>
      <c r="Q218" s="1" t="s">
        <v>110</v>
      </c>
      <c r="R218" s="1" t="s">
        <v>2142</v>
      </c>
      <c r="W218" s="1" t="s">
        <v>2095</v>
      </c>
      <c r="X218" s="1" t="s">
        <v>77</v>
      </c>
      <c r="Y218" s="1" t="s">
        <v>78</v>
      </c>
      <c r="Z218" s="1" t="s">
        <v>2123</v>
      </c>
      <c r="AA218" s="1" t="s">
        <v>2143</v>
      </c>
      <c r="AB218" s="1" t="s">
        <v>2144</v>
      </c>
      <c r="AC218" s="1" t="s">
        <v>2145</v>
      </c>
      <c r="AD218" s="1" t="s">
        <v>2146</v>
      </c>
      <c r="AE218" s="1" t="s">
        <v>83</v>
      </c>
      <c r="AG218" s="1" t="s">
        <v>129</v>
      </c>
      <c r="AP218" s="1" t="s">
        <v>85</v>
      </c>
      <c r="BA218" s="1" t="s">
        <v>84</v>
      </c>
      <c r="BD218" s="1" t="s">
        <v>129</v>
      </c>
      <c r="BJ218" s="1" t="s">
        <v>129</v>
      </c>
      <c r="BK218" s="1" t="s">
        <v>86</v>
      </c>
      <c r="BN218" s="1" t="s">
        <v>2147</v>
      </c>
      <c r="BO218" s="1" t="s">
        <v>2148</v>
      </c>
    </row>
    <row r="219">
      <c r="A219" s="1" t="s">
        <v>2149</v>
      </c>
      <c r="B219" s="1" t="s">
        <v>2150</v>
      </c>
      <c r="C219" s="1" t="s">
        <v>2151</v>
      </c>
      <c r="D219" s="1" t="s">
        <v>92</v>
      </c>
      <c r="E219" s="2" t="s">
        <v>2152</v>
      </c>
      <c r="J219" s="1">
        <v>33.0</v>
      </c>
      <c r="K219" s="1" t="s">
        <v>94</v>
      </c>
      <c r="L219" s="1" t="s">
        <v>72</v>
      </c>
      <c r="M219" s="1" t="s">
        <v>73</v>
      </c>
      <c r="N219" s="1" t="s">
        <v>40</v>
      </c>
      <c r="O219" s="1">
        <v>-31.6091954</v>
      </c>
      <c r="Q219" s="1" t="s">
        <v>75</v>
      </c>
      <c r="R219" s="1" t="s">
        <v>2153</v>
      </c>
      <c r="W219" s="1" t="s">
        <v>858</v>
      </c>
      <c r="X219" s="1" t="s">
        <v>77</v>
      </c>
      <c r="Y219" s="1" t="s">
        <v>78</v>
      </c>
      <c r="Z219" s="1" t="s">
        <v>2154</v>
      </c>
      <c r="AA219" s="1" t="s">
        <v>2155</v>
      </c>
      <c r="AB219" s="1" t="s">
        <v>2156</v>
      </c>
      <c r="AC219" s="1" t="s">
        <v>2157</v>
      </c>
      <c r="AE219" s="1" t="s">
        <v>83</v>
      </c>
      <c r="AO219" s="1" t="s">
        <v>84</v>
      </c>
      <c r="AU219" s="1" t="s">
        <v>84</v>
      </c>
      <c r="AV219" s="1" t="s">
        <v>85</v>
      </c>
      <c r="BD219" s="1" t="s">
        <v>85</v>
      </c>
      <c r="BN219" s="1" t="s">
        <v>2158</v>
      </c>
      <c r="BO219" s="1" t="s">
        <v>2159</v>
      </c>
    </row>
    <row r="220">
      <c r="A220" s="1" t="s">
        <v>2160</v>
      </c>
      <c r="B220" s="1" t="s">
        <v>2161</v>
      </c>
      <c r="C220" s="1" t="s">
        <v>2162</v>
      </c>
      <c r="D220" s="1" t="s">
        <v>92</v>
      </c>
      <c r="E220" s="2" t="s">
        <v>2163</v>
      </c>
      <c r="J220" s="1">
        <v>39.0</v>
      </c>
      <c r="K220" s="1" t="s">
        <v>224</v>
      </c>
      <c r="L220" s="1" t="s">
        <v>72</v>
      </c>
      <c r="M220" s="1" t="s">
        <v>108</v>
      </c>
      <c r="N220" s="1" t="s">
        <v>109</v>
      </c>
      <c r="O220" s="1">
        <v>7.364341085</v>
      </c>
      <c r="Q220" s="1" t="s">
        <v>75</v>
      </c>
      <c r="R220" s="1" t="s">
        <v>1429</v>
      </c>
      <c r="W220" s="1" t="s">
        <v>274</v>
      </c>
      <c r="Y220" s="1" t="s">
        <v>78</v>
      </c>
      <c r="Z220" s="1" t="s">
        <v>2164</v>
      </c>
      <c r="AA220" s="1" t="s">
        <v>2165</v>
      </c>
      <c r="AB220" s="1" t="s">
        <v>2166</v>
      </c>
      <c r="AC220" s="1" t="s">
        <v>2167</v>
      </c>
      <c r="AE220" s="1" t="s">
        <v>83</v>
      </c>
      <c r="AF220" s="1" t="s">
        <v>84</v>
      </c>
      <c r="AH220" s="1" t="s">
        <v>84</v>
      </c>
      <c r="AI220" s="1" t="s">
        <v>84</v>
      </c>
      <c r="AJ220" s="1" t="s">
        <v>84</v>
      </c>
      <c r="AM220" s="1" t="s">
        <v>84</v>
      </c>
      <c r="AS220" s="1" t="s">
        <v>85</v>
      </c>
      <c r="AT220" s="1" t="s">
        <v>84</v>
      </c>
      <c r="AZ220" s="1" t="s">
        <v>85</v>
      </c>
      <c r="BE220" s="1" t="s">
        <v>85</v>
      </c>
      <c r="BN220" s="1" t="s">
        <v>209</v>
      </c>
      <c r="BO220" s="1" t="s">
        <v>210</v>
      </c>
      <c r="BP220" s="1" t="s">
        <v>144</v>
      </c>
    </row>
    <row r="221">
      <c r="A221" s="1" t="s">
        <v>2168</v>
      </c>
      <c r="B221" s="1" t="s">
        <v>2169</v>
      </c>
      <c r="C221" s="1" t="s">
        <v>2170</v>
      </c>
      <c r="D221" s="1" t="s">
        <v>92</v>
      </c>
      <c r="E221" s="2" t="s">
        <v>2171</v>
      </c>
      <c r="J221" s="1">
        <v>68.0</v>
      </c>
      <c r="K221" s="1" t="s">
        <v>71</v>
      </c>
      <c r="L221" s="1" t="s">
        <v>72</v>
      </c>
      <c r="M221" s="1" t="s">
        <v>73</v>
      </c>
      <c r="N221" s="1" t="s">
        <v>43</v>
      </c>
      <c r="O221" s="1">
        <v>-33.33333333</v>
      </c>
      <c r="Q221" s="1" t="s">
        <v>149</v>
      </c>
      <c r="R221" s="1" t="s">
        <v>137</v>
      </c>
      <c r="W221" s="1" t="s">
        <v>1578</v>
      </c>
      <c r="X221" s="1" t="s">
        <v>77</v>
      </c>
      <c r="Y221" s="1" t="s">
        <v>138</v>
      </c>
      <c r="Z221" s="1" t="s">
        <v>2172</v>
      </c>
      <c r="AA221" s="1" t="s">
        <v>2173</v>
      </c>
      <c r="AB221" s="1" t="s">
        <v>2174</v>
      </c>
      <c r="AC221" s="1" t="s">
        <v>2175</v>
      </c>
      <c r="AE221" s="1" t="s">
        <v>83</v>
      </c>
      <c r="AS221" s="1" t="s">
        <v>85</v>
      </c>
      <c r="BA221" s="1" t="s">
        <v>85</v>
      </c>
      <c r="BI221" s="1" t="s">
        <v>85</v>
      </c>
      <c r="BN221" s="1" t="s">
        <v>137</v>
      </c>
      <c r="BO221" s="1" t="s">
        <v>137</v>
      </c>
    </row>
    <row r="222">
      <c r="A222" s="1" t="s">
        <v>2176</v>
      </c>
      <c r="B222" s="1" t="s">
        <v>2177</v>
      </c>
      <c r="C222" s="1" t="s">
        <v>2178</v>
      </c>
      <c r="D222" s="1" t="s">
        <v>92</v>
      </c>
      <c r="E222" s="2" t="s">
        <v>2179</v>
      </c>
      <c r="J222" s="1">
        <v>46.0</v>
      </c>
      <c r="K222" s="1" t="s">
        <v>123</v>
      </c>
      <c r="L222" s="1" t="s">
        <v>72</v>
      </c>
      <c r="M222" s="1" t="s">
        <v>73</v>
      </c>
      <c r="N222" s="1" t="s">
        <v>36</v>
      </c>
      <c r="O222" s="1">
        <v>-30.82191781</v>
      </c>
      <c r="Q222" s="1" t="s">
        <v>260</v>
      </c>
      <c r="R222" s="1" t="s">
        <v>137</v>
      </c>
      <c r="W222" s="1" t="s">
        <v>2180</v>
      </c>
      <c r="Y222" s="1" t="s">
        <v>78</v>
      </c>
      <c r="Z222" s="1" t="s">
        <v>2181</v>
      </c>
      <c r="AA222" s="1" t="s">
        <v>2182</v>
      </c>
      <c r="AB222" s="1" t="s">
        <v>2183</v>
      </c>
      <c r="AC222" s="1" t="s">
        <v>2184</v>
      </c>
      <c r="AE222" s="1" t="s">
        <v>83</v>
      </c>
      <c r="AK222" s="1" t="s">
        <v>84</v>
      </c>
      <c r="BA222" s="1" t="s">
        <v>84</v>
      </c>
      <c r="BI222" s="1" t="s">
        <v>84</v>
      </c>
      <c r="BJ222" s="1" t="s">
        <v>85</v>
      </c>
      <c r="BN222" s="1" t="s">
        <v>143</v>
      </c>
      <c r="BO222" s="1" t="s">
        <v>137</v>
      </c>
    </row>
    <row r="223">
      <c r="A223" s="1" t="s">
        <v>2185</v>
      </c>
      <c r="B223" s="1" t="s">
        <v>2186</v>
      </c>
      <c r="C223" s="1" t="s">
        <v>2187</v>
      </c>
      <c r="D223" s="1" t="s">
        <v>92</v>
      </c>
      <c r="E223" s="2" t="s">
        <v>2188</v>
      </c>
      <c r="J223" s="1">
        <v>61.0</v>
      </c>
      <c r="K223" s="1" t="s">
        <v>272</v>
      </c>
      <c r="L223" s="1" t="s">
        <v>72</v>
      </c>
      <c r="M223" s="1" t="s">
        <v>73</v>
      </c>
      <c r="N223" s="1" t="s">
        <v>39</v>
      </c>
      <c r="O223" s="1">
        <v>-22.28571429</v>
      </c>
      <c r="Q223" s="1" t="s">
        <v>136</v>
      </c>
      <c r="R223" s="1" t="s">
        <v>137</v>
      </c>
      <c r="X223" s="1" t="s">
        <v>77</v>
      </c>
      <c r="Y223" s="1" t="s">
        <v>138</v>
      </c>
      <c r="Z223" s="1" t="s">
        <v>2189</v>
      </c>
      <c r="AA223" s="1" t="s">
        <v>2190</v>
      </c>
      <c r="AB223" s="1" t="s">
        <v>2191</v>
      </c>
      <c r="AC223" s="1" t="s">
        <v>2192</v>
      </c>
      <c r="AE223" s="1" t="s">
        <v>83</v>
      </c>
      <c r="AF223" s="1" t="s">
        <v>85</v>
      </c>
      <c r="AG223" s="1" t="s">
        <v>85</v>
      </c>
      <c r="AK223" s="1" t="s">
        <v>85</v>
      </c>
      <c r="AM223" s="1" t="s">
        <v>85</v>
      </c>
      <c r="AN223" s="1" t="s">
        <v>129</v>
      </c>
      <c r="AS223" s="1" t="s">
        <v>84</v>
      </c>
      <c r="AZ223" s="1" t="s">
        <v>85</v>
      </c>
      <c r="BA223" s="1" t="s">
        <v>84</v>
      </c>
      <c r="BI223" s="1" t="s">
        <v>84</v>
      </c>
      <c r="BN223" s="1" t="s">
        <v>137</v>
      </c>
      <c r="BO223" s="1" t="s">
        <v>137</v>
      </c>
    </row>
    <row r="224">
      <c r="A224" s="1" t="s">
        <v>2193</v>
      </c>
      <c r="B224" s="1" t="s">
        <v>2194</v>
      </c>
      <c r="C224" s="1" t="s">
        <v>2195</v>
      </c>
      <c r="D224" s="1" t="s">
        <v>92</v>
      </c>
      <c r="E224" s="2" t="s">
        <v>2196</v>
      </c>
      <c r="J224" s="1">
        <v>50.0</v>
      </c>
      <c r="K224" s="1" t="s">
        <v>71</v>
      </c>
      <c r="L224" s="1" t="s">
        <v>72</v>
      </c>
      <c r="M224" s="1" t="s">
        <v>73</v>
      </c>
      <c r="N224" s="1" t="s">
        <v>2197</v>
      </c>
      <c r="O224" s="1">
        <v>-7.272727273</v>
      </c>
      <c r="Q224" s="1" t="s">
        <v>149</v>
      </c>
      <c r="R224" s="1" t="s">
        <v>137</v>
      </c>
      <c r="W224" s="1" t="s">
        <v>858</v>
      </c>
      <c r="Y224" s="1" t="s">
        <v>78</v>
      </c>
      <c r="Z224" s="1" t="s">
        <v>2198</v>
      </c>
      <c r="AA224" s="1" t="s">
        <v>2199</v>
      </c>
      <c r="AB224" s="1" t="s">
        <v>2200</v>
      </c>
      <c r="AC224" s="1" t="s">
        <v>2201</v>
      </c>
      <c r="AE224" s="1" t="s">
        <v>83</v>
      </c>
      <c r="AN224" s="1" t="s">
        <v>85</v>
      </c>
      <c r="BA224" s="1" t="s">
        <v>85</v>
      </c>
      <c r="BN224" s="1" t="s">
        <v>137</v>
      </c>
      <c r="BO224" s="1" t="s">
        <v>137</v>
      </c>
    </row>
    <row r="225">
      <c r="A225" s="1" t="s">
        <v>2202</v>
      </c>
      <c r="B225" s="1" t="s">
        <v>2203</v>
      </c>
      <c r="C225" s="1" t="s">
        <v>2204</v>
      </c>
      <c r="D225" s="1" t="s">
        <v>92</v>
      </c>
      <c r="E225" s="2" t="s">
        <v>2205</v>
      </c>
      <c r="J225" s="1">
        <v>42.0</v>
      </c>
      <c r="K225" s="1" t="s">
        <v>94</v>
      </c>
      <c r="L225" s="1" t="s">
        <v>72</v>
      </c>
      <c r="M225" s="1" t="s">
        <v>108</v>
      </c>
      <c r="N225" s="1" t="s">
        <v>109</v>
      </c>
      <c r="O225" s="1">
        <v>-4.347826087</v>
      </c>
      <c r="Q225" s="1" t="s">
        <v>75</v>
      </c>
      <c r="R225" s="1" t="s">
        <v>2206</v>
      </c>
      <c r="X225" s="1" t="s">
        <v>77</v>
      </c>
      <c r="Y225" s="1" t="s">
        <v>78</v>
      </c>
      <c r="Z225" s="1" t="s">
        <v>1503</v>
      </c>
      <c r="AA225" s="1" t="s">
        <v>2207</v>
      </c>
      <c r="AB225" s="1" t="s">
        <v>2208</v>
      </c>
      <c r="AC225" s="1" t="s">
        <v>2209</v>
      </c>
      <c r="AE225" s="1" t="s">
        <v>83</v>
      </c>
      <c r="AF225" s="1" t="s">
        <v>84</v>
      </c>
      <c r="AH225" s="1" t="s">
        <v>84</v>
      </c>
      <c r="AI225" s="1" t="s">
        <v>84</v>
      </c>
      <c r="AJ225" s="1" t="s">
        <v>84</v>
      </c>
      <c r="AM225" s="1" t="s">
        <v>85</v>
      </c>
      <c r="AS225" s="1" t="s">
        <v>85</v>
      </c>
      <c r="AT225" s="1" t="s">
        <v>85</v>
      </c>
      <c r="BE225" s="1" t="s">
        <v>84</v>
      </c>
      <c r="BK225" s="1" t="s">
        <v>86</v>
      </c>
      <c r="BN225" s="1" t="s">
        <v>2210</v>
      </c>
      <c r="BO225" s="1" t="s">
        <v>2211</v>
      </c>
    </row>
    <row r="226">
      <c r="A226" s="1" t="s">
        <v>2212</v>
      </c>
      <c r="B226" s="1" t="s">
        <v>2213</v>
      </c>
      <c r="C226" s="1" t="s">
        <v>2214</v>
      </c>
      <c r="D226" s="1" t="s">
        <v>92</v>
      </c>
      <c r="E226" s="2" t="s">
        <v>2215</v>
      </c>
      <c r="J226" s="1">
        <v>41.0</v>
      </c>
      <c r="K226" s="1" t="s">
        <v>71</v>
      </c>
      <c r="L226" s="1" t="s">
        <v>72</v>
      </c>
      <c r="M226" s="1" t="s">
        <v>73</v>
      </c>
      <c r="N226" s="1" t="s">
        <v>36</v>
      </c>
      <c r="O226" s="1">
        <v>-21.49019608</v>
      </c>
      <c r="Q226" s="1" t="s">
        <v>260</v>
      </c>
      <c r="R226" s="1" t="s">
        <v>137</v>
      </c>
      <c r="W226" s="1" t="s">
        <v>1578</v>
      </c>
      <c r="Y226" s="1" t="s">
        <v>78</v>
      </c>
      <c r="Z226" s="1" t="s">
        <v>2216</v>
      </c>
      <c r="AA226" s="1" t="s">
        <v>2217</v>
      </c>
      <c r="AB226" s="1" t="s">
        <v>2218</v>
      </c>
      <c r="AC226" s="1" t="s">
        <v>2219</v>
      </c>
      <c r="AE226" s="1" t="s">
        <v>83</v>
      </c>
      <c r="AF226" s="1" t="s">
        <v>85</v>
      </c>
      <c r="AK226" s="1" t="s">
        <v>84</v>
      </c>
      <c r="AN226" s="1" t="s">
        <v>84</v>
      </c>
      <c r="AS226" s="1" t="s">
        <v>85</v>
      </c>
      <c r="AZ226" s="1" t="s">
        <v>85</v>
      </c>
      <c r="BA226" s="1" t="s">
        <v>85</v>
      </c>
      <c r="BD226" s="1" t="s">
        <v>85</v>
      </c>
      <c r="BI226" s="1" t="s">
        <v>84</v>
      </c>
      <c r="BJ226" s="1" t="s">
        <v>85</v>
      </c>
      <c r="BN226" s="1" t="s">
        <v>2220</v>
      </c>
      <c r="BO226" s="1" t="s">
        <v>614</v>
      </c>
    </row>
    <row r="227">
      <c r="A227" s="1" t="s">
        <v>2221</v>
      </c>
      <c r="B227" s="1" t="s">
        <v>2222</v>
      </c>
      <c r="C227" s="1" t="s">
        <v>2223</v>
      </c>
      <c r="D227" s="1" t="s">
        <v>92</v>
      </c>
      <c r="E227" s="2" t="s">
        <v>2224</v>
      </c>
      <c r="J227" s="1">
        <v>53.0</v>
      </c>
      <c r="K227" s="1" t="s">
        <v>71</v>
      </c>
      <c r="L227" s="1" t="s">
        <v>72</v>
      </c>
      <c r="M227" s="1" t="s">
        <v>73</v>
      </c>
      <c r="N227" s="1" t="s">
        <v>36</v>
      </c>
      <c r="O227" s="1">
        <v>-12.79069767</v>
      </c>
      <c r="Q227" s="1" t="s">
        <v>260</v>
      </c>
      <c r="R227" s="1" t="s">
        <v>137</v>
      </c>
      <c r="W227" s="1" t="s">
        <v>2180</v>
      </c>
      <c r="Y227" s="1" t="s">
        <v>78</v>
      </c>
      <c r="Z227" s="1" t="s">
        <v>2225</v>
      </c>
      <c r="AA227" s="1" t="s">
        <v>2226</v>
      </c>
      <c r="AB227" s="1" t="s">
        <v>2227</v>
      </c>
      <c r="AC227" s="1" t="s">
        <v>2228</v>
      </c>
      <c r="AE227" s="1" t="s">
        <v>83</v>
      </c>
      <c r="AK227" s="1" t="s">
        <v>84</v>
      </c>
      <c r="AZ227" s="1" t="s">
        <v>85</v>
      </c>
      <c r="BA227" s="1" t="s">
        <v>85</v>
      </c>
      <c r="BI227" s="1" t="s">
        <v>84</v>
      </c>
      <c r="BN227" s="1" t="s">
        <v>143</v>
      </c>
      <c r="BO227" s="1" t="s">
        <v>137</v>
      </c>
    </row>
    <row r="228">
      <c r="A228" s="1" t="s">
        <v>2229</v>
      </c>
      <c r="B228" s="1" t="s">
        <v>2230</v>
      </c>
      <c r="C228" s="1" t="s">
        <v>2231</v>
      </c>
      <c r="D228" s="1" t="s">
        <v>92</v>
      </c>
      <c r="E228" s="2" t="s">
        <v>2232</v>
      </c>
      <c r="J228" s="1">
        <v>35.0</v>
      </c>
      <c r="K228" s="1" t="s">
        <v>71</v>
      </c>
      <c r="L228" s="1" t="s">
        <v>72</v>
      </c>
      <c r="M228" s="1" t="s">
        <v>73</v>
      </c>
      <c r="N228" s="1" t="s">
        <v>40</v>
      </c>
      <c r="O228" s="1">
        <v>-2.5</v>
      </c>
      <c r="Q228" s="1" t="s">
        <v>149</v>
      </c>
      <c r="R228" s="1" t="s">
        <v>137</v>
      </c>
      <c r="W228" s="1" t="s">
        <v>858</v>
      </c>
      <c r="Y228" s="1" t="s">
        <v>78</v>
      </c>
      <c r="Z228" s="1" t="s">
        <v>2233</v>
      </c>
      <c r="AA228" s="1" t="s">
        <v>2234</v>
      </c>
      <c r="AB228" s="1" t="s">
        <v>2235</v>
      </c>
      <c r="AC228" s="1" t="s">
        <v>2236</v>
      </c>
      <c r="AD228" s="1" t="s">
        <v>2237</v>
      </c>
      <c r="AE228" s="1" t="s">
        <v>83</v>
      </c>
      <c r="AO228" s="1" t="s">
        <v>129</v>
      </c>
      <c r="AU228" s="1" t="s">
        <v>129</v>
      </c>
      <c r="AV228" s="1" t="s">
        <v>85</v>
      </c>
      <c r="BN228" s="1" t="s">
        <v>137</v>
      </c>
      <c r="BO228" s="1" t="s">
        <v>2238</v>
      </c>
    </row>
    <row r="229">
      <c r="A229" s="1" t="s">
        <v>2239</v>
      </c>
      <c r="B229" s="1" t="s">
        <v>2240</v>
      </c>
      <c r="C229" s="1" t="s">
        <v>2241</v>
      </c>
      <c r="D229" s="1" t="s">
        <v>92</v>
      </c>
      <c r="E229" s="2" t="s">
        <v>2242</v>
      </c>
      <c r="J229" s="1">
        <v>35.0</v>
      </c>
      <c r="K229" s="1" t="s">
        <v>171</v>
      </c>
      <c r="L229" s="1" t="s">
        <v>72</v>
      </c>
      <c r="M229" s="1" t="s">
        <v>73</v>
      </c>
      <c r="N229" s="1" t="s">
        <v>40</v>
      </c>
      <c r="O229" s="1">
        <v>12.66375546</v>
      </c>
      <c r="Q229" s="1" t="s">
        <v>149</v>
      </c>
      <c r="R229" s="1" t="s">
        <v>2243</v>
      </c>
      <c r="W229" s="1" t="s">
        <v>858</v>
      </c>
      <c r="X229" s="1" t="s">
        <v>77</v>
      </c>
      <c r="Y229" s="1" t="s">
        <v>78</v>
      </c>
      <c r="Z229" s="1" t="s">
        <v>2244</v>
      </c>
      <c r="AA229" s="1" t="s">
        <v>2245</v>
      </c>
      <c r="AB229" s="1" t="s">
        <v>2246</v>
      </c>
      <c r="AC229" s="1" t="s">
        <v>2247</v>
      </c>
      <c r="AE229" s="1" t="s">
        <v>83</v>
      </c>
      <c r="AO229" s="1" t="s">
        <v>84</v>
      </c>
      <c r="AU229" s="1" t="s">
        <v>84</v>
      </c>
      <c r="AV229" s="1" t="s">
        <v>84</v>
      </c>
      <c r="AY229" s="1" t="s">
        <v>84</v>
      </c>
      <c r="BK229" s="1" t="s">
        <v>86</v>
      </c>
      <c r="BN229" s="1" t="s">
        <v>2248</v>
      </c>
      <c r="BO229" s="1" t="s">
        <v>2249</v>
      </c>
    </row>
    <row r="230">
      <c r="A230" s="1" t="s">
        <v>2250</v>
      </c>
      <c r="B230" s="1" t="s">
        <v>2251</v>
      </c>
      <c r="C230" s="1" t="s">
        <v>2252</v>
      </c>
      <c r="D230" s="1" t="s">
        <v>92</v>
      </c>
      <c r="E230" s="2" t="s">
        <v>2253</v>
      </c>
      <c r="J230" s="1">
        <v>36.0</v>
      </c>
      <c r="K230" s="1" t="s">
        <v>94</v>
      </c>
      <c r="L230" s="1" t="s">
        <v>72</v>
      </c>
      <c r="M230" s="1" t="s">
        <v>73</v>
      </c>
      <c r="N230" s="1" t="s">
        <v>36</v>
      </c>
      <c r="O230" s="1">
        <v>13.94275162</v>
      </c>
      <c r="Q230" s="1" t="s">
        <v>149</v>
      </c>
      <c r="R230" s="1" t="s">
        <v>137</v>
      </c>
      <c r="X230" s="1" t="s">
        <v>77</v>
      </c>
      <c r="Y230" s="1" t="s">
        <v>78</v>
      </c>
      <c r="Z230" s="1" t="s">
        <v>1522</v>
      </c>
      <c r="AA230" s="1" t="s">
        <v>2254</v>
      </c>
      <c r="AB230" s="1" t="s">
        <v>2255</v>
      </c>
      <c r="AC230" s="1" t="s">
        <v>2256</v>
      </c>
      <c r="AE230" s="1" t="s">
        <v>83</v>
      </c>
      <c r="AF230" s="1" t="s">
        <v>85</v>
      </c>
      <c r="AG230" s="1" t="s">
        <v>85</v>
      </c>
      <c r="AK230" s="1" t="s">
        <v>84</v>
      </c>
      <c r="AN230" s="1" t="s">
        <v>85</v>
      </c>
      <c r="BA230" s="1" t="s">
        <v>84</v>
      </c>
      <c r="BJ230" s="1" t="s">
        <v>84</v>
      </c>
      <c r="BK230" s="1" t="s">
        <v>86</v>
      </c>
      <c r="BN230" s="1" t="s">
        <v>2257</v>
      </c>
      <c r="BO230" s="1" t="s">
        <v>137</v>
      </c>
    </row>
    <row r="231">
      <c r="A231" s="1" t="s">
        <v>2258</v>
      </c>
      <c r="B231" s="1" t="s">
        <v>2259</v>
      </c>
      <c r="C231" s="1" t="s">
        <v>2260</v>
      </c>
      <c r="D231" s="1" t="s">
        <v>92</v>
      </c>
      <c r="E231" s="2" t="s">
        <v>2261</v>
      </c>
      <c r="J231" s="1">
        <v>34.0</v>
      </c>
      <c r="K231" s="1" t="s">
        <v>94</v>
      </c>
      <c r="L231" s="1" t="s">
        <v>72</v>
      </c>
      <c r="M231" s="1" t="s">
        <v>108</v>
      </c>
      <c r="N231" s="1" t="s">
        <v>109</v>
      </c>
      <c r="O231" s="1">
        <v>16.41025641</v>
      </c>
      <c r="Q231" s="1" t="s">
        <v>110</v>
      </c>
      <c r="R231" s="1" t="s">
        <v>2262</v>
      </c>
      <c r="Y231" s="1" t="s">
        <v>78</v>
      </c>
      <c r="AA231" s="1" t="s">
        <v>2263</v>
      </c>
      <c r="AB231" s="1" t="s">
        <v>2264</v>
      </c>
      <c r="AC231" s="1" t="s">
        <v>2265</v>
      </c>
      <c r="AE231" s="1" t="s">
        <v>83</v>
      </c>
      <c r="AI231" s="1" t="s">
        <v>84</v>
      </c>
      <c r="BE231" s="1" t="s">
        <v>84</v>
      </c>
      <c r="BN231" s="1" t="s">
        <v>2266</v>
      </c>
      <c r="BO231" s="1" t="s">
        <v>2267</v>
      </c>
    </row>
    <row r="232">
      <c r="A232" s="1" t="s">
        <v>2268</v>
      </c>
      <c r="B232" s="1" t="s">
        <v>2269</v>
      </c>
      <c r="C232" s="1" t="s">
        <v>2270</v>
      </c>
      <c r="D232" s="1" t="s">
        <v>92</v>
      </c>
      <c r="E232" s="2" t="s">
        <v>2271</v>
      </c>
      <c r="J232" s="1">
        <v>36.0</v>
      </c>
      <c r="K232" s="1" t="s">
        <v>94</v>
      </c>
      <c r="L232" s="1" t="s">
        <v>72</v>
      </c>
      <c r="M232" s="1" t="s">
        <v>108</v>
      </c>
      <c r="N232" s="1" t="s">
        <v>109</v>
      </c>
      <c r="O232" s="1">
        <v>-1.315789474</v>
      </c>
      <c r="Q232" s="1" t="s">
        <v>110</v>
      </c>
      <c r="R232" s="1" t="s">
        <v>2262</v>
      </c>
      <c r="X232" s="1" t="s">
        <v>77</v>
      </c>
      <c r="Y232" s="1" t="s">
        <v>78</v>
      </c>
      <c r="AA232" s="1" t="s">
        <v>2272</v>
      </c>
      <c r="AB232" s="1" t="s">
        <v>1378</v>
      </c>
      <c r="AC232" s="1" t="s">
        <v>2273</v>
      </c>
      <c r="AD232" s="1" t="s">
        <v>2274</v>
      </c>
      <c r="AE232" s="1" t="s">
        <v>83</v>
      </c>
      <c r="AI232" s="1" t="s">
        <v>129</v>
      </c>
      <c r="BC232" s="1" t="s">
        <v>84</v>
      </c>
      <c r="BE232" s="1" t="s">
        <v>129</v>
      </c>
      <c r="BK232" s="1" t="s">
        <v>86</v>
      </c>
      <c r="BN232" s="1" t="s">
        <v>2266</v>
      </c>
      <c r="BO232" s="1" t="s">
        <v>2267</v>
      </c>
    </row>
    <row r="233">
      <c r="A233" s="1" t="s">
        <v>2275</v>
      </c>
      <c r="B233" s="1" t="s">
        <v>2276</v>
      </c>
      <c r="C233" s="1" t="s">
        <v>2277</v>
      </c>
      <c r="D233" s="1" t="s">
        <v>92</v>
      </c>
      <c r="E233" s="2" t="s">
        <v>2278</v>
      </c>
      <c r="J233" s="1">
        <v>50.0</v>
      </c>
      <c r="K233" s="1" t="s">
        <v>823</v>
      </c>
      <c r="L233" s="1" t="s">
        <v>72</v>
      </c>
      <c r="M233" s="1" t="s">
        <v>73</v>
      </c>
      <c r="N233" s="1" t="s">
        <v>285</v>
      </c>
      <c r="O233" s="1">
        <v>-29.72972973</v>
      </c>
      <c r="Q233" s="1" t="s">
        <v>149</v>
      </c>
      <c r="R233" s="1" t="s">
        <v>137</v>
      </c>
      <c r="W233" s="1" t="s">
        <v>858</v>
      </c>
      <c r="Y233" s="1" t="s">
        <v>78</v>
      </c>
      <c r="Z233" s="1" t="s">
        <v>2279</v>
      </c>
      <c r="AA233" s="1" t="s">
        <v>2280</v>
      </c>
      <c r="AB233" s="1" t="s">
        <v>2281</v>
      </c>
      <c r="AC233" s="1" t="s">
        <v>2282</v>
      </c>
      <c r="AD233" s="1" t="s">
        <v>2283</v>
      </c>
      <c r="AE233" s="1" t="s">
        <v>83</v>
      </c>
      <c r="AF233" s="1" t="s">
        <v>85</v>
      </c>
      <c r="AP233" s="1" t="s">
        <v>84</v>
      </c>
      <c r="AU233" s="1" t="s">
        <v>129</v>
      </c>
      <c r="AW233" s="1" t="s">
        <v>129</v>
      </c>
      <c r="BA233" s="1" t="s">
        <v>84</v>
      </c>
      <c r="BJ233" s="1" t="s">
        <v>85</v>
      </c>
      <c r="BN233" s="1" t="s">
        <v>137</v>
      </c>
      <c r="BO233" s="1" t="s">
        <v>137</v>
      </c>
    </row>
    <row r="234">
      <c r="A234" s="1" t="s">
        <v>2284</v>
      </c>
      <c r="B234" s="1" t="s">
        <v>2285</v>
      </c>
      <c r="C234" s="1" t="s">
        <v>2286</v>
      </c>
      <c r="D234" s="1" t="s">
        <v>92</v>
      </c>
      <c r="E234" s="2" t="s">
        <v>2287</v>
      </c>
      <c r="J234" s="1">
        <v>25.0</v>
      </c>
      <c r="K234" s="1" t="s">
        <v>159</v>
      </c>
      <c r="L234" s="1" t="s">
        <v>72</v>
      </c>
      <c r="M234" s="1" t="s">
        <v>73</v>
      </c>
      <c r="N234" s="1" t="s">
        <v>39</v>
      </c>
      <c r="O234" s="1">
        <v>-27.31182796</v>
      </c>
      <c r="Q234" s="1" t="s">
        <v>75</v>
      </c>
      <c r="R234" s="1" t="s">
        <v>454</v>
      </c>
      <c r="W234" s="1" t="s">
        <v>193</v>
      </c>
      <c r="X234" s="1" t="s">
        <v>77</v>
      </c>
      <c r="Y234" s="1" t="s">
        <v>78</v>
      </c>
      <c r="Z234" s="1" t="s">
        <v>1291</v>
      </c>
      <c r="AA234" s="1" t="s">
        <v>2288</v>
      </c>
      <c r="AB234" s="1" t="s">
        <v>2289</v>
      </c>
      <c r="AC234" s="1" t="s">
        <v>2290</v>
      </c>
      <c r="AE234" s="1" t="s">
        <v>83</v>
      </c>
      <c r="AF234" s="1" t="s">
        <v>84</v>
      </c>
      <c r="AG234" s="1" t="s">
        <v>84</v>
      </c>
      <c r="AK234" s="1" t="s">
        <v>85</v>
      </c>
      <c r="AM234" s="1" t="s">
        <v>85</v>
      </c>
      <c r="AN234" s="1" t="s">
        <v>84</v>
      </c>
      <c r="AP234" s="1" t="s">
        <v>85</v>
      </c>
      <c r="AS234" s="1" t="s">
        <v>84</v>
      </c>
      <c r="AZ234" s="1" t="s">
        <v>84</v>
      </c>
      <c r="BA234" s="1" t="s">
        <v>84</v>
      </c>
      <c r="BD234" s="1" t="s">
        <v>85</v>
      </c>
      <c r="BJ234" s="1" t="s">
        <v>85</v>
      </c>
      <c r="BK234" s="1" t="s">
        <v>86</v>
      </c>
      <c r="BN234" s="1" t="s">
        <v>2291</v>
      </c>
      <c r="BO234" s="1" t="s">
        <v>517</v>
      </c>
    </row>
    <row r="235">
      <c r="A235" s="1" t="s">
        <v>2292</v>
      </c>
      <c r="B235" s="1" t="s">
        <v>2293</v>
      </c>
      <c r="C235" s="1" t="s">
        <v>2294</v>
      </c>
      <c r="D235" s="1" t="s">
        <v>92</v>
      </c>
      <c r="E235" s="2" t="s">
        <v>2295</v>
      </c>
      <c r="J235" s="1">
        <v>15.0</v>
      </c>
      <c r="K235" s="1" t="s">
        <v>71</v>
      </c>
      <c r="L235" s="1" t="s">
        <v>72</v>
      </c>
      <c r="N235" s="1" t="s">
        <v>492</v>
      </c>
      <c r="Q235" s="1" t="s">
        <v>110</v>
      </c>
      <c r="R235" s="1" t="s">
        <v>2296</v>
      </c>
      <c r="X235" s="1" t="s">
        <v>77</v>
      </c>
      <c r="Y235" s="1" t="s">
        <v>78</v>
      </c>
      <c r="Z235" s="1" t="s">
        <v>2297</v>
      </c>
      <c r="AA235" s="1" t="s">
        <v>2298</v>
      </c>
      <c r="AB235" s="1" t="s">
        <v>2299</v>
      </c>
      <c r="AC235" s="1" t="s">
        <v>2300</v>
      </c>
      <c r="AE235" s="1" t="s">
        <v>83</v>
      </c>
      <c r="AV235" s="1" t="s">
        <v>85</v>
      </c>
      <c r="BK235" s="1" t="s">
        <v>86</v>
      </c>
    </row>
    <row r="236">
      <c r="A236" s="1" t="s">
        <v>2301</v>
      </c>
      <c r="B236" s="1" t="s">
        <v>2302</v>
      </c>
      <c r="C236" s="1" t="s">
        <v>2303</v>
      </c>
      <c r="D236" s="1" t="s">
        <v>92</v>
      </c>
      <c r="E236" s="2" t="s">
        <v>2304</v>
      </c>
      <c r="J236" s="1">
        <v>20.0</v>
      </c>
      <c r="K236" s="1" t="s">
        <v>71</v>
      </c>
      <c r="L236" s="1" t="s">
        <v>72</v>
      </c>
      <c r="N236" s="1" t="s">
        <v>2305</v>
      </c>
      <c r="Q236" s="1" t="s">
        <v>110</v>
      </c>
      <c r="R236" s="1" t="s">
        <v>584</v>
      </c>
      <c r="X236" s="1" t="s">
        <v>77</v>
      </c>
      <c r="Y236" s="1" t="s">
        <v>78</v>
      </c>
      <c r="Z236" s="1" t="s">
        <v>2306</v>
      </c>
      <c r="AA236" s="1" t="s">
        <v>585</v>
      </c>
      <c r="AB236" s="1" t="s">
        <v>2307</v>
      </c>
      <c r="AC236" s="1" t="s">
        <v>2308</v>
      </c>
      <c r="AE236" s="1" t="s">
        <v>83</v>
      </c>
      <c r="AV236" s="1" t="s">
        <v>85</v>
      </c>
      <c r="BK236" s="1" t="s">
        <v>86</v>
      </c>
      <c r="BN236" s="1" t="s">
        <v>370</v>
      </c>
    </row>
    <row r="237">
      <c r="A237" s="1" t="s">
        <v>2309</v>
      </c>
      <c r="B237" s="1" t="s">
        <v>2310</v>
      </c>
      <c r="C237" s="1" t="s">
        <v>2311</v>
      </c>
      <c r="D237" s="1" t="s">
        <v>92</v>
      </c>
      <c r="E237" s="2" t="s">
        <v>2312</v>
      </c>
      <c r="J237" s="1">
        <v>21.0</v>
      </c>
      <c r="K237" s="1" t="s">
        <v>630</v>
      </c>
      <c r="L237" s="1" t="s">
        <v>72</v>
      </c>
      <c r="M237" s="1" t="s">
        <v>108</v>
      </c>
      <c r="Q237" s="1" t="s">
        <v>110</v>
      </c>
      <c r="Z237" s="1" t="s">
        <v>2313</v>
      </c>
      <c r="AA237" s="1" t="s">
        <v>2314</v>
      </c>
      <c r="AB237" s="1" t="s">
        <v>2315</v>
      </c>
      <c r="AC237" s="1" t="s">
        <v>2316</v>
      </c>
      <c r="AE237" s="1" t="s">
        <v>83</v>
      </c>
    </row>
    <row r="238">
      <c r="A238" s="1" t="s">
        <v>2317</v>
      </c>
      <c r="B238" s="1" t="s">
        <v>2318</v>
      </c>
      <c r="C238" s="1" t="s">
        <v>2319</v>
      </c>
      <c r="D238" s="1" t="s">
        <v>92</v>
      </c>
      <c r="E238" s="2" t="s">
        <v>2320</v>
      </c>
      <c r="J238" s="1">
        <v>17.0</v>
      </c>
      <c r="K238" s="1" t="s">
        <v>71</v>
      </c>
      <c r="L238" s="1" t="s">
        <v>72</v>
      </c>
      <c r="M238" s="1" t="s">
        <v>73</v>
      </c>
      <c r="N238" s="1" t="s">
        <v>74</v>
      </c>
      <c r="Q238" s="1" t="s">
        <v>110</v>
      </c>
      <c r="R238" s="1" t="s">
        <v>2321</v>
      </c>
      <c r="X238" s="1" t="s">
        <v>77</v>
      </c>
      <c r="Y238" s="1" t="s">
        <v>78</v>
      </c>
      <c r="Z238" s="1" t="s">
        <v>2322</v>
      </c>
      <c r="AA238" s="1" t="s">
        <v>2323</v>
      </c>
      <c r="AB238" s="1" t="s">
        <v>2324</v>
      </c>
      <c r="AC238" s="1" t="s">
        <v>2325</v>
      </c>
      <c r="AE238" s="1" t="s">
        <v>83</v>
      </c>
      <c r="AF238" s="1" t="s">
        <v>84</v>
      </c>
      <c r="AG238" s="1" t="s">
        <v>84</v>
      </c>
      <c r="AK238" s="1" t="s">
        <v>85</v>
      </c>
      <c r="AL238" s="1" t="s">
        <v>85</v>
      </c>
      <c r="AM238" s="1" t="s">
        <v>85</v>
      </c>
      <c r="AN238" s="1" t="s">
        <v>85</v>
      </c>
      <c r="AS238" s="1" t="s">
        <v>85</v>
      </c>
      <c r="BA238" s="1" t="s">
        <v>85</v>
      </c>
      <c r="BC238" s="1" t="s">
        <v>84</v>
      </c>
      <c r="BD238" s="1" t="s">
        <v>84</v>
      </c>
      <c r="BJ238" s="1" t="s">
        <v>85</v>
      </c>
      <c r="BK238" s="1" t="s">
        <v>86</v>
      </c>
      <c r="BM238" s="1" t="s">
        <v>86</v>
      </c>
      <c r="BN238" s="1" t="s">
        <v>2326</v>
      </c>
      <c r="BO238" s="1" t="s">
        <v>2327</v>
      </c>
      <c r="BP238" s="1" t="s">
        <v>1224</v>
      </c>
    </row>
    <row r="239">
      <c r="A239" s="1" t="s">
        <v>2328</v>
      </c>
      <c r="B239" s="1" t="s">
        <v>2329</v>
      </c>
      <c r="C239" s="1" t="s">
        <v>2330</v>
      </c>
      <c r="D239" s="1" t="s">
        <v>92</v>
      </c>
      <c r="E239" s="2" t="s">
        <v>2331</v>
      </c>
      <c r="F239" s="1" t="s">
        <v>2332</v>
      </c>
      <c r="J239" s="1">
        <v>22.0</v>
      </c>
      <c r="K239" s="1" t="s">
        <v>630</v>
      </c>
      <c r="L239" s="1" t="s">
        <v>72</v>
      </c>
      <c r="M239" s="1" t="s">
        <v>73</v>
      </c>
      <c r="N239" s="1" t="s">
        <v>41</v>
      </c>
      <c r="Q239" s="1" t="s">
        <v>149</v>
      </c>
      <c r="Y239" s="1" t="s">
        <v>78</v>
      </c>
      <c r="AA239" s="1" t="s">
        <v>2333</v>
      </c>
      <c r="AB239" s="1" t="s">
        <v>2334</v>
      </c>
      <c r="AC239" s="1" t="s">
        <v>2335</v>
      </c>
      <c r="AE239" s="1" t="s">
        <v>83</v>
      </c>
      <c r="AP239" s="1" t="s">
        <v>84</v>
      </c>
    </row>
    <row r="240">
      <c r="A240" s="1" t="s">
        <v>2336</v>
      </c>
      <c r="B240" s="1" t="s">
        <v>2337</v>
      </c>
      <c r="C240" s="1" t="s">
        <v>2338</v>
      </c>
      <c r="D240" s="1" t="s">
        <v>70</v>
      </c>
      <c r="E240" s="2" t="s">
        <v>2339</v>
      </c>
      <c r="F240" s="1" t="s">
        <v>2340</v>
      </c>
      <c r="J240" s="1">
        <v>30.0</v>
      </c>
      <c r="K240" s="1" t="s">
        <v>630</v>
      </c>
      <c r="L240" s="1" t="s">
        <v>72</v>
      </c>
      <c r="N240" s="1" t="s">
        <v>2341</v>
      </c>
      <c r="Q240" s="1" t="s">
        <v>149</v>
      </c>
      <c r="X240" s="1" t="s">
        <v>77</v>
      </c>
      <c r="Y240" s="1" t="s">
        <v>78</v>
      </c>
      <c r="Z240" s="1" t="s">
        <v>2342</v>
      </c>
      <c r="AA240" s="1" t="s">
        <v>2343</v>
      </c>
      <c r="AB240" s="1" t="s">
        <v>2344</v>
      </c>
      <c r="AC240" s="1" t="s">
        <v>2345</v>
      </c>
      <c r="AE240" s="1" t="s">
        <v>83</v>
      </c>
      <c r="BK240" s="1" t="s">
        <v>86</v>
      </c>
      <c r="BL240" s="1" t="s">
        <v>86</v>
      </c>
    </row>
    <row r="241">
      <c r="A241" s="1" t="s">
        <v>2346</v>
      </c>
      <c r="B241" s="1" t="s">
        <v>2347</v>
      </c>
      <c r="C241" s="1" t="s">
        <v>2348</v>
      </c>
      <c r="D241" s="1" t="s">
        <v>70</v>
      </c>
      <c r="E241" s="2" t="s">
        <v>2349</v>
      </c>
      <c r="F241" s="1" t="s">
        <v>2350</v>
      </c>
      <c r="J241" s="1">
        <v>32.0</v>
      </c>
      <c r="K241" s="1" t="s">
        <v>630</v>
      </c>
      <c r="L241" s="1" t="s">
        <v>72</v>
      </c>
      <c r="N241" s="1" t="s">
        <v>2351</v>
      </c>
      <c r="Q241" s="1" t="s">
        <v>149</v>
      </c>
      <c r="X241" s="1" t="s">
        <v>77</v>
      </c>
      <c r="Y241" s="1" t="s">
        <v>78</v>
      </c>
      <c r="Z241" s="1" t="s">
        <v>2352</v>
      </c>
      <c r="AA241" s="1" t="s">
        <v>2353</v>
      </c>
      <c r="AB241" s="1" t="s">
        <v>2354</v>
      </c>
      <c r="AC241" s="1" t="s">
        <v>2355</v>
      </c>
      <c r="AE241" s="1" t="s">
        <v>83</v>
      </c>
      <c r="AR241" s="1" t="s">
        <v>84</v>
      </c>
      <c r="BK241" s="1" t="s">
        <v>86</v>
      </c>
      <c r="BL241" s="1" t="s">
        <v>86</v>
      </c>
    </row>
    <row r="242">
      <c r="A242" s="1" t="s">
        <v>2356</v>
      </c>
      <c r="B242" s="1" t="s">
        <v>2357</v>
      </c>
      <c r="C242" s="1" t="s">
        <v>2358</v>
      </c>
      <c r="D242" s="1" t="s">
        <v>92</v>
      </c>
      <c r="E242" s="2" t="s">
        <v>2359</v>
      </c>
      <c r="J242" s="1">
        <v>10.0</v>
      </c>
      <c r="K242" s="1" t="s">
        <v>71</v>
      </c>
      <c r="L242" s="1" t="s">
        <v>72</v>
      </c>
      <c r="M242" s="1" t="s">
        <v>108</v>
      </c>
      <c r="N242" s="1" t="s">
        <v>109</v>
      </c>
      <c r="R242" s="1" t="s">
        <v>2360</v>
      </c>
      <c r="Y242" s="1" t="s">
        <v>138</v>
      </c>
      <c r="Z242" s="1" t="s">
        <v>2361</v>
      </c>
      <c r="AA242" s="1" t="s">
        <v>2362</v>
      </c>
      <c r="AB242" s="1" t="s">
        <v>2363</v>
      </c>
      <c r="AC242" s="1" t="s">
        <v>2364</v>
      </c>
      <c r="AE242" s="1" t="s">
        <v>83</v>
      </c>
    </row>
    <row r="243">
      <c r="A243" s="1" t="s">
        <v>2365</v>
      </c>
      <c r="B243" s="1" t="s">
        <v>2366</v>
      </c>
      <c r="C243" s="1" t="s">
        <v>2367</v>
      </c>
      <c r="D243" s="1" t="s">
        <v>92</v>
      </c>
      <c r="E243" s="2" t="s">
        <v>2368</v>
      </c>
      <c r="J243" s="1">
        <v>10.0</v>
      </c>
      <c r="K243" s="1" t="s">
        <v>630</v>
      </c>
      <c r="L243" s="1" t="s">
        <v>72</v>
      </c>
      <c r="M243" s="1" t="s">
        <v>108</v>
      </c>
      <c r="N243" s="1" t="s">
        <v>109</v>
      </c>
      <c r="Q243" s="1" t="s">
        <v>110</v>
      </c>
      <c r="R243" s="1" t="s">
        <v>2360</v>
      </c>
      <c r="Y243" s="1" t="s">
        <v>138</v>
      </c>
      <c r="Z243" s="1" t="s">
        <v>2369</v>
      </c>
      <c r="AA243" s="1" t="s">
        <v>2370</v>
      </c>
      <c r="AB243" s="1" t="s">
        <v>2371</v>
      </c>
      <c r="AC243" s="1" t="s">
        <v>2372</v>
      </c>
      <c r="AE243" s="1" t="s">
        <v>83</v>
      </c>
    </row>
    <row r="244">
      <c r="A244" s="1" t="s">
        <v>2373</v>
      </c>
      <c r="B244" s="1" t="s">
        <v>2374</v>
      </c>
      <c r="C244" s="1" t="s">
        <v>2375</v>
      </c>
      <c r="D244" s="1" t="s">
        <v>92</v>
      </c>
      <c r="E244" s="2" t="s">
        <v>2376</v>
      </c>
      <c r="J244" s="1">
        <v>18.0</v>
      </c>
      <c r="K244" s="1" t="s">
        <v>71</v>
      </c>
      <c r="L244" s="1" t="s">
        <v>72</v>
      </c>
      <c r="M244" s="1" t="s">
        <v>108</v>
      </c>
      <c r="N244" s="1" t="s">
        <v>109</v>
      </c>
      <c r="Q244" s="1" t="s">
        <v>110</v>
      </c>
      <c r="R244" s="1" t="s">
        <v>204</v>
      </c>
      <c r="Y244" s="1" t="s">
        <v>138</v>
      </c>
      <c r="Z244" s="1" t="s">
        <v>2374</v>
      </c>
      <c r="AA244" s="1" t="s">
        <v>2377</v>
      </c>
      <c r="AB244" s="1" t="s">
        <v>2378</v>
      </c>
      <c r="AC244" s="1" t="s">
        <v>2379</v>
      </c>
      <c r="AE244" s="1" t="s">
        <v>83</v>
      </c>
      <c r="AH244" s="1" t="s">
        <v>85</v>
      </c>
      <c r="AI244" s="1" t="s">
        <v>85</v>
      </c>
      <c r="BE244" s="1" t="s">
        <v>129</v>
      </c>
    </row>
    <row r="245">
      <c r="A245" s="1" t="s">
        <v>2380</v>
      </c>
      <c r="B245" s="1" t="s">
        <v>2381</v>
      </c>
      <c r="C245" s="1" t="s">
        <v>2382</v>
      </c>
      <c r="D245" s="1" t="s">
        <v>92</v>
      </c>
      <c r="E245" s="2" t="s">
        <v>2383</v>
      </c>
      <c r="J245" s="1">
        <v>15.0</v>
      </c>
      <c r="K245" s="1" t="s">
        <v>71</v>
      </c>
      <c r="L245" s="1" t="s">
        <v>72</v>
      </c>
      <c r="N245" s="1" t="s">
        <v>1250</v>
      </c>
      <c r="Q245" s="1" t="s">
        <v>110</v>
      </c>
      <c r="R245" s="1" t="s">
        <v>2384</v>
      </c>
      <c r="Y245" s="1" t="s">
        <v>138</v>
      </c>
      <c r="Z245" s="1" t="s">
        <v>2385</v>
      </c>
      <c r="AA245" s="1" t="s">
        <v>2386</v>
      </c>
      <c r="AB245" s="1" t="s">
        <v>2387</v>
      </c>
      <c r="AC245" s="1" t="s">
        <v>2388</v>
      </c>
      <c r="AE245" s="1" t="s">
        <v>83</v>
      </c>
      <c r="AR245" s="1" t="s">
        <v>85</v>
      </c>
      <c r="BF245" s="1" t="s">
        <v>84</v>
      </c>
      <c r="BO245" s="1" t="s">
        <v>2389</v>
      </c>
    </row>
    <row r="246">
      <c r="A246" s="1" t="s">
        <v>2390</v>
      </c>
      <c r="B246" s="1" t="s">
        <v>2391</v>
      </c>
      <c r="C246" s="1" t="s">
        <v>2392</v>
      </c>
      <c r="D246" s="1" t="s">
        <v>92</v>
      </c>
      <c r="E246" s="2" t="s">
        <v>383</v>
      </c>
      <c r="F246" s="1" t="s">
        <v>2393</v>
      </c>
      <c r="J246" s="1">
        <v>16.0</v>
      </c>
      <c r="K246" s="1" t="s">
        <v>71</v>
      </c>
      <c r="L246" s="1" t="s">
        <v>72</v>
      </c>
      <c r="N246" s="1" t="s">
        <v>442</v>
      </c>
      <c r="Q246" s="1" t="s">
        <v>110</v>
      </c>
      <c r="R246" s="1" t="s">
        <v>2394</v>
      </c>
      <c r="Y246" s="1" t="s">
        <v>78</v>
      </c>
      <c r="Z246" s="1" t="s">
        <v>2395</v>
      </c>
      <c r="AA246" s="1" t="s">
        <v>2396</v>
      </c>
      <c r="AB246" s="1" t="s">
        <v>2397</v>
      </c>
      <c r="AC246" s="1" t="s">
        <v>2398</v>
      </c>
      <c r="AE246" s="1" t="s">
        <v>83</v>
      </c>
      <c r="AR246" s="1" t="s">
        <v>85</v>
      </c>
      <c r="BC246" s="1" t="s">
        <v>84</v>
      </c>
      <c r="BF246" s="1" t="s">
        <v>129</v>
      </c>
      <c r="BN246" s="1" t="s">
        <v>2399</v>
      </c>
      <c r="BO246" s="1" t="s">
        <v>2400</v>
      </c>
    </row>
    <row r="247">
      <c r="A247" s="1" t="s">
        <v>2401</v>
      </c>
      <c r="B247" s="1" t="s">
        <v>2402</v>
      </c>
      <c r="C247" s="1" t="s">
        <v>2403</v>
      </c>
      <c r="D247" s="1" t="s">
        <v>92</v>
      </c>
      <c r="E247" s="2" t="s">
        <v>2404</v>
      </c>
      <c r="J247" s="1">
        <v>28.0</v>
      </c>
      <c r="K247" s="1" t="s">
        <v>2405</v>
      </c>
      <c r="L247" s="1" t="s">
        <v>72</v>
      </c>
      <c r="N247" s="1" t="s">
        <v>109</v>
      </c>
      <c r="Q247" s="1" t="s">
        <v>149</v>
      </c>
      <c r="Y247" s="1" t="s">
        <v>78</v>
      </c>
      <c r="AA247" s="1" t="s">
        <v>2406</v>
      </c>
      <c r="AB247" s="1" t="s">
        <v>2407</v>
      </c>
      <c r="AC247" s="1" t="s">
        <v>2408</v>
      </c>
      <c r="AE247" s="1" t="s">
        <v>83</v>
      </c>
      <c r="AH247" s="1" t="s">
        <v>84</v>
      </c>
      <c r="AI247" s="1" t="s">
        <v>84</v>
      </c>
      <c r="BM247" s="1" t="s">
        <v>86</v>
      </c>
      <c r="BP247" s="1" t="s">
        <v>2409</v>
      </c>
    </row>
    <row r="248">
      <c r="A248" s="1" t="s">
        <v>2410</v>
      </c>
      <c r="B248" s="1" t="s">
        <v>2393</v>
      </c>
      <c r="C248" s="1" t="s">
        <v>2411</v>
      </c>
      <c r="D248" s="1" t="s">
        <v>92</v>
      </c>
      <c r="E248" s="2" t="s">
        <v>2412</v>
      </c>
      <c r="F248" s="1" t="s">
        <v>2391</v>
      </c>
      <c r="J248" s="1">
        <v>17.0</v>
      </c>
      <c r="K248" s="1" t="s">
        <v>71</v>
      </c>
      <c r="L248" s="1" t="s">
        <v>72</v>
      </c>
      <c r="N248" s="1" t="s">
        <v>235</v>
      </c>
      <c r="Q248" s="1" t="s">
        <v>110</v>
      </c>
      <c r="R248" s="1" t="s">
        <v>2394</v>
      </c>
      <c r="Y248" s="1" t="s">
        <v>78</v>
      </c>
      <c r="Z248" s="1" t="s">
        <v>2413</v>
      </c>
      <c r="AA248" s="1" t="s">
        <v>2414</v>
      </c>
      <c r="AB248" s="1" t="s">
        <v>2415</v>
      </c>
      <c r="AC248" s="1" t="s">
        <v>2416</v>
      </c>
      <c r="AE248" s="1" t="s">
        <v>83</v>
      </c>
      <c r="AR248" s="1" t="s">
        <v>85</v>
      </c>
      <c r="BF248" s="1" t="s">
        <v>84</v>
      </c>
      <c r="BO248" s="1" t="s">
        <v>2400</v>
      </c>
    </row>
    <row r="249">
      <c r="A249" s="1" t="s">
        <v>2417</v>
      </c>
      <c r="B249" s="1" t="s">
        <v>2418</v>
      </c>
      <c r="C249" s="1" t="s">
        <v>2419</v>
      </c>
      <c r="D249" s="1" t="s">
        <v>92</v>
      </c>
      <c r="E249" s="2" t="s">
        <v>2420</v>
      </c>
      <c r="J249" s="1">
        <v>13.0</v>
      </c>
      <c r="K249" s="1" t="s">
        <v>71</v>
      </c>
      <c r="L249" s="1" t="s">
        <v>72</v>
      </c>
      <c r="N249" s="1" t="s">
        <v>2421</v>
      </c>
      <c r="Q249" s="1" t="s">
        <v>110</v>
      </c>
      <c r="R249" s="1" t="s">
        <v>2422</v>
      </c>
      <c r="X249" s="1" t="s">
        <v>77</v>
      </c>
      <c r="Y249" s="1" t="s">
        <v>78</v>
      </c>
      <c r="Z249" s="1" t="s">
        <v>2423</v>
      </c>
      <c r="AA249" s="1" t="s">
        <v>2424</v>
      </c>
      <c r="AB249" s="1" t="s">
        <v>2425</v>
      </c>
      <c r="AC249" s="1" t="s">
        <v>2426</v>
      </c>
      <c r="AE249" s="1" t="s">
        <v>83</v>
      </c>
      <c r="BC249" s="1" t="s">
        <v>84</v>
      </c>
      <c r="BF249" s="1" t="s">
        <v>129</v>
      </c>
      <c r="BK249" s="1" t="s">
        <v>86</v>
      </c>
    </row>
    <row r="250">
      <c r="A250" s="1" t="s">
        <v>2427</v>
      </c>
      <c r="B250" s="1" t="s">
        <v>2428</v>
      </c>
      <c r="C250" s="1" t="s">
        <v>2429</v>
      </c>
      <c r="D250" s="1" t="s">
        <v>92</v>
      </c>
      <c r="E250" s="2" t="s">
        <v>2430</v>
      </c>
      <c r="J250" s="1">
        <v>20.0</v>
      </c>
      <c r="K250" s="1" t="s">
        <v>2405</v>
      </c>
      <c r="L250" s="1" t="s">
        <v>72</v>
      </c>
      <c r="M250" s="1" t="s">
        <v>108</v>
      </c>
      <c r="N250" s="1" t="s">
        <v>2431</v>
      </c>
      <c r="Q250" s="1" t="s">
        <v>149</v>
      </c>
      <c r="Y250" s="1" t="s">
        <v>138</v>
      </c>
      <c r="Z250" s="1" t="s">
        <v>2432</v>
      </c>
      <c r="AA250" s="1" t="s">
        <v>2433</v>
      </c>
      <c r="AB250" s="1" t="s">
        <v>2434</v>
      </c>
      <c r="AC250" s="1" t="s">
        <v>2435</v>
      </c>
      <c r="AE250" s="1" t="s">
        <v>83</v>
      </c>
      <c r="AI250" s="1" t="s">
        <v>84</v>
      </c>
      <c r="AT250" s="1" t="s">
        <v>84</v>
      </c>
    </row>
    <row r="251">
      <c r="A251" s="1" t="s">
        <v>2436</v>
      </c>
      <c r="B251" s="1" t="s">
        <v>2437</v>
      </c>
      <c r="C251" s="1" t="s">
        <v>2438</v>
      </c>
      <c r="D251" s="1" t="s">
        <v>92</v>
      </c>
      <c r="E251" s="2" t="s">
        <v>2439</v>
      </c>
      <c r="J251" s="1">
        <v>15.0</v>
      </c>
      <c r="K251" s="1" t="s">
        <v>2405</v>
      </c>
      <c r="L251" s="1" t="s">
        <v>72</v>
      </c>
      <c r="M251" s="1" t="s">
        <v>108</v>
      </c>
      <c r="N251" s="1" t="s">
        <v>2440</v>
      </c>
      <c r="Q251" s="1" t="s">
        <v>149</v>
      </c>
      <c r="Y251" s="1" t="s">
        <v>138</v>
      </c>
      <c r="Z251" s="1" t="s">
        <v>2441</v>
      </c>
      <c r="AA251" s="1" t="s">
        <v>2442</v>
      </c>
      <c r="AB251" s="1" t="s">
        <v>2443</v>
      </c>
      <c r="AC251" s="1" t="s">
        <v>2444</v>
      </c>
      <c r="AE251" s="1" t="s">
        <v>83</v>
      </c>
      <c r="AH251" s="1" t="s">
        <v>84</v>
      </c>
      <c r="AI251" s="1" t="s">
        <v>84</v>
      </c>
      <c r="AT251" s="1" t="s">
        <v>84</v>
      </c>
      <c r="BM251" s="1" t="s">
        <v>86</v>
      </c>
      <c r="BN251" s="1" t="s">
        <v>2445</v>
      </c>
      <c r="BO251" s="1" t="s">
        <v>2446</v>
      </c>
      <c r="BP251" s="1" t="s">
        <v>2447</v>
      </c>
    </row>
    <row r="252">
      <c r="A252" s="1" t="s">
        <v>2448</v>
      </c>
      <c r="B252" s="1" t="s">
        <v>2449</v>
      </c>
      <c r="C252" s="1" t="s">
        <v>2450</v>
      </c>
      <c r="D252" s="1" t="s">
        <v>92</v>
      </c>
      <c r="E252" s="2" t="s">
        <v>2451</v>
      </c>
      <c r="J252" s="1">
        <v>17.0</v>
      </c>
      <c r="K252" s="1" t="s">
        <v>630</v>
      </c>
      <c r="L252" s="1" t="s">
        <v>72</v>
      </c>
      <c r="M252" s="1" t="s">
        <v>108</v>
      </c>
      <c r="Q252" s="1" t="s">
        <v>110</v>
      </c>
      <c r="Z252" s="1" t="s">
        <v>2452</v>
      </c>
      <c r="AA252" s="1" t="s">
        <v>2453</v>
      </c>
      <c r="AB252" s="1" t="s">
        <v>2454</v>
      </c>
      <c r="AC252" s="1" t="s">
        <v>2455</v>
      </c>
      <c r="AE252" s="1" t="s">
        <v>83</v>
      </c>
    </row>
    <row r="253">
      <c r="A253" s="1" t="s">
        <v>2456</v>
      </c>
      <c r="B253" s="1" t="s">
        <v>2457</v>
      </c>
      <c r="C253" s="1" t="s">
        <v>2458</v>
      </c>
      <c r="D253" s="1" t="s">
        <v>92</v>
      </c>
      <c r="E253" s="2" t="s">
        <v>2459</v>
      </c>
      <c r="J253" s="1">
        <v>15.0</v>
      </c>
      <c r="K253" s="1" t="s">
        <v>630</v>
      </c>
      <c r="L253" s="1" t="s">
        <v>72</v>
      </c>
      <c r="M253" s="1" t="s">
        <v>108</v>
      </c>
      <c r="Q253" s="1" t="s">
        <v>110</v>
      </c>
      <c r="Z253" s="1" t="s">
        <v>2460</v>
      </c>
      <c r="AA253" s="1" t="s">
        <v>2461</v>
      </c>
      <c r="AB253" s="1" t="s">
        <v>2462</v>
      </c>
      <c r="AC253" s="1" t="s">
        <v>2463</v>
      </c>
      <c r="AE253" s="1" t="s">
        <v>83</v>
      </c>
    </row>
    <row r="254">
      <c r="A254" s="1" t="s">
        <v>2464</v>
      </c>
      <c r="B254" s="1" t="s">
        <v>2465</v>
      </c>
      <c r="C254" s="1" t="s">
        <v>2466</v>
      </c>
      <c r="D254" s="1" t="s">
        <v>92</v>
      </c>
      <c r="E254" s="2" t="s">
        <v>2467</v>
      </c>
      <c r="J254" s="1">
        <v>6.0</v>
      </c>
      <c r="K254" s="1" t="s">
        <v>630</v>
      </c>
      <c r="L254" s="1" t="s">
        <v>72</v>
      </c>
      <c r="M254" s="1" t="s">
        <v>108</v>
      </c>
      <c r="N254" s="1" t="s">
        <v>44</v>
      </c>
      <c r="P254" s="1" t="s">
        <v>77</v>
      </c>
      <c r="Q254" s="1" t="s">
        <v>110</v>
      </c>
      <c r="Z254" s="1" t="s">
        <v>2468</v>
      </c>
      <c r="AA254" s="1" t="s">
        <v>2469</v>
      </c>
      <c r="AB254" s="1" t="s">
        <v>2470</v>
      </c>
      <c r="AC254" s="1" t="s">
        <v>2471</v>
      </c>
      <c r="AE254" s="1" t="s">
        <v>83</v>
      </c>
    </row>
    <row r="255">
      <c r="A255" s="1" t="s">
        <v>2472</v>
      </c>
      <c r="B255" s="1" t="s">
        <v>2473</v>
      </c>
      <c r="C255" s="1" t="s">
        <v>2474</v>
      </c>
      <c r="D255" s="1" t="s">
        <v>92</v>
      </c>
      <c r="E255" s="2" t="s">
        <v>2475</v>
      </c>
      <c r="J255" s="1">
        <v>32.0</v>
      </c>
      <c r="K255" s="1" t="s">
        <v>2405</v>
      </c>
      <c r="L255" s="1" t="s">
        <v>72</v>
      </c>
      <c r="M255" s="1" t="s">
        <v>73</v>
      </c>
      <c r="N255" s="1" t="s">
        <v>2476</v>
      </c>
      <c r="Q255" s="1" t="s">
        <v>149</v>
      </c>
      <c r="X255" s="1" t="s">
        <v>77</v>
      </c>
      <c r="Y255" s="1" t="s">
        <v>138</v>
      </c>
      <c r="Z255" s="1" t="s">
        <v>2477</v>
      </c>
      <c r="AA255" s="1" t="s">
        <v>2478</v>
      </c>
      <c r="AB255" s="1" t="s">
        <v>2479</v>
      </c>
      <c r="AC255" s="1" t="s">
        <v>2480</v>
      </c>
      <c r="AE255" s="1" t="s">
        <v>83</v>
      </c>
      <c r="AF255" s="1" t="s">
        <v>84</v>
      </c>
      <c r="AJ255" s="1" t="s">
        <v>84</v>
      </c>
      <c r="AK255" s="1" t="s">
        <v>84</v>
      </c>
      <c r="AM255" s="1" t="s">
        <v>129</v>
      </c>
      <c r="AN255" s="1" t="s">
        <v>129</v>
      </c>
      <c r="AU255" s="1" t="s">
        <v>84</v>
      </c>
      <c r="BA255" s="1" t="s">
        <v>129</v>
      </c>
      <c r="BK255" s="1" t="s">
        <v>86</v>
      </c>
      <c r="BM255" s="1" t="s">
        <v>86</v>
      </c>
      <c r="BN255" s="1" t="s">
        <v>2481</v>
      </c>
      <c r="BO255" s="1" t="s">
        <v>2482</v>
      </c>
      <c r="BP255" s="1" t="s">
        <v>2483</v>
      </c>
    </row>
    <row r="256">
      <c r="A256" s="1" t="s">
        <v>2484</v>
      </c>
      <c r="B256" s="1" t="s">
        <v>2485</v>
      </c>
      <c r="C256" s="1" t="s">
        <v>2486</v>
      </c>
      <c r="D256" s="1" t="s">
        <v>92</v>
      </c>
      <c r="J256" s="1">
        <v>11.0</v>
      </c>
      <c r="K256" s="1" t="s">
        <v>630</v>
      </c>
      <c r="L256" s="1" t="s">
        <v>72</v>
      </c>
      <c r="M256" s="1" t="s">
        <v>108</v>
      </c>
      <c r="N256" s="1" t="s">
        <v>44</v>
      </c>
      <c r="Q256" s="1" t="s">
        <v>110</v>
      </c>
      <c r="R256" s="1" t="s">
        <v>2360</v>
      </c>
      <c r="Y256" s="1" t="s">
        <v>78</v>
      </c>
      <c r="Z256" s="1" t="s">
        <v>2487</v>
      </c>
      <c r="AA256" s="1" t="s">
        <v>2488</v>
      </c>
      <c r="AB256" s="1" t="s">
        <v>2489</v>
      </c>
      <c r="AC256" s="1" t="s">
        <v>2490</v>
      </c>
      <c r="AE256" s="1" t="s">
        <v>83</v>
      </c>
      <c r="AF256" s="1" t="s">
        <v>84</v>
      </c>
      <c r="AJ256" s="1" t="s">
        <v>84</v>
      </c>
      <c r="AM256" s="1" t="s">
        <v>84</v>
      </c>
      <c r="AT256" s="1" t="s">
        <v>84</v>
      </c>
    </row>
    <row r="257">
      <c r="A257" s="1" t="s">
        <v>2491</v>
      </c>
      <c r="B257" s="1" t="s">
        <v>2332</v>
      </c>
      <c r="C257" s="1" t="s">
        <v>2492</v>
      </c>
      <c r="D257" s="1" t="s">
        <v>70</v>
      </c>
      <c r="E257" s="2" t="s">
        <v>2493</v>
      </c>
      <c r="F257" s="1" t="s">
        <v>2494</v>
      </c>
      <c r="J257" s="1">
        <v>18.0</v>
      </c>
      <c r="K257" s="1" t="s">
        <v>71</v>
      </c>
      <c r="L257" s="1" t="s">
        <v>72</v>
      </c>
      <c r="N257" s="1" t="s">
        <v>285</v>
      </c>
      <c r="Q257" s="1" t="s">
        <v>149</v>
      </c>
      <c r="W257" s="1" t="s">
        <v>287</v>
      </c>
      <c r="Y257" s="1" t="s">
        <v>78</v>
      </c>
      <c r="AA257" s="1" t="s">
        <v>2495</v>
      </c>
      <c r="AB257" s="1" t="s">
        <v>2496</v>
      </c>
      <c r="AC257" s="1" t="s">
        <v>2497</v>
      </c>
      <c r="AE257" s="1" t="s">
        <v>83</v>
      </c>
      <c r="AN257" s="1" t="s">
        <v>85</v>
      </c>
      <c r="AP257" s="1" t="s">
        <v>84</v>
      </c>
      <c r="AW257" s="1" t="s">
        <v>85</v>
      </c>
      <c r="BA257" s="1" t="s">
        <v>84</v>
      </c>
      <c r="BJ257" s="1" t="s">
        <v>85</v>
      </c>
      <c r="BL257" s="1" t="s">
        <v>86</v>
      </c>
      <c r="BM257" s="1" t="s">
        <v>86</v>
      </c>
      <c r="BP257" s="1" t="s">
        <v>2498</v>
      </c>
    </row>
    <row r="258">
      <c r="A258" s="1" t="s">
        <v>2499</v>
      </c>
      <c r="B258" s="1" t="s">
        <v>2500</v>
      </c>
      <c r="C258" s="1" t="s">
        <v>2501</v>
      </c>
      <c r="D258" s="1" t="s">
        <v>92</v>
      </c>
      <c r="E258" s="2" t="s">
        <v>2502</v>
      </c>
      <c r="J258" s="1">
        <v>38.0</v>
      </c>
      <c r="K258" s="1" t="s">
        <v>630</v>
      </c>
      <c r="L258" s="1" t="s">
        <v>72</v>
      </c>
      <c r="N258" s="1" t="s">
        <v>2503</v>
      </c>
      <c r="Q258" s="1" t="s">
        <v>149</v>
      </c>
      <c r="W258" s="1" t="s">
        <v>287</v>
      </c>
      <c r="Y258" s="1" t="s">
        <v>78</v>
      </c>
      <c r="Z258" s="1" t="s">
        <v>2504</v>
      </c>
      <c r="AA258" s="1" t="s">
        <v>2505</v>
      </c>
      <c r="AB258" s="1" t="s">
        <v>2506</v>
      </c>
      <c r="AC258" s="1" t="s">
        <v>2507</v>
      </c>
      <c r="AE258" s="1" t="s">
        <v>83</v>
      </c>
      <c r="AN258" s="1" t="s">
        <v>85</v>
      </c>
      <c r="AP258" s="1" t="s">
        <v>84</v>
      </c>
      <c r="AW258" s="1" t="s">
        <v>85</v>
      </c>
      <c r="BA258" s="1" t="s">
        <v>84</v>
      </c>
      <c r="BM258" s="1" t="s">
        <v>86</v>
      </c>
      <c r="BP258" s="1" t="s">
        <v>1269</v>
      </c>
    </row>
    <row r="259">
      <c r="A259" s="1" t="s">
        <v>2508</v>
      </c>
      <c r="B259" s="1" t="s">
        <v>2509</v>
      </c>
      <c r="C259" s="1" t="s">
        <v>2510</v>
      </c>
      <c r="D259" s="1" t="s">
        <v>92</v>
      </c>
      <c r="J259" s="1">
        <v>20.0</v>
      </c>
      <c r="K259" s="1" t="s">
        <v>2405</v>
      </c>
      <c r="L259" s="1" t="s">
        <v>72</v>
      </c>
      <c r="M259" s="1" t="s">
        <v>108</v>
      </c>
      <c r="N259" s="1" t="s">
        <v>109</v>
      </c>
      <c r="Q259" s="1" t="s">
        <v>149</v>
      </c>
      <c r="Y259" s="1" t="s">
        <v>138</v>
      </c>
      <c r="AA259" s="1" t="s">
        <v>2511</v>
      </c>
      <c r="AB259" s="1" t="s">
        <v>2512</v>
      </c>
      <c r="AC259" s="1" t="s">
        <v>2513</v>
      </c>
      <c r="AE259" s="1" t="s">
        <v>83</v>
      </c>
      <c r="AH259" s="1" t="s">
        <v>1027</v>
      </c>
      <c r="AJ259" s="1" t="s">
        <v>1027</v>
      </c>
      <c r="BM259" s="1" t="s">
        <v>86</v>
      </c>
      <c r="BP259" s="1" t="s">
        <v>2514</v>
      </c>
    </row>
    <row r="260">
      <c r="A260" s="1" t="s">
        <v>2515</v>
      </c>
      <c r="B260" s="1" t="s">
        <v>2516</v>
      </c>
      <c r="C260" s="1" t="s">
        <v>2517</v>
      </c>
      <c r="D260" s="1" t="s">
        <v>92</v>
      </c>
      <c r="K260" s="1" t="s">
        <v>71</v>
      </c>
      <c r="L260" s="1" t="s">
        <v>72</v>
      </c>
      <c r="M260" s="1" t="s">
        <v>108</v>
      </c>
      <c r="N260" s="1" t="s">
        <v>1010</v>
      </c>
      <c r="Q260" s="1" t="s">
        <v>149</v>
      </c>
      <c r="Y260" s="1" t="s">
        <v>78</v>
      </c>
      <c r="AA260" s="1" t="s">
        <v>2518</v>
      </c>
      <c r="AB260" s="1" t="s">
        <v>2519</v>
      </c>
      <c r="AC260" s="1" t="s">
        <v>2520</v>
      </c>
      <c r="AE260" s="1" t="s">
        <v>83</v>
      </c>
      <c r="BM260" s="1" t="s">
        <v>86</v>
      </c>
      <c r="BP260" s="1" t="s">
        <v>2521</v>
      </c>
    </row>
  </sheetData>
  <hyperlinks>
    <hyperlink r:id="rId1" ref="E3"/>
    <hyperlink r:id="rId2" ref="E4"/>
    <hyperlink r:id="rId3" ref="E5"/>
    <hyperlink r:id="rId4" ref="E8"/>
    <hyperlink r:id="rId5" ref="E9"/>
    <hyperlink r:id="rId6" ref="E10"/>
    <hyperlink r:id="rId7" ref="E11"/>
    <hyperlink r:id="rId8" ref="E12"/>
    <hyperlink r:id="rId9" ref="E13"/>
    <hyperlink r:id="rId10" ref="E15"/>
    <hyperlink r:id="rId11" ref="E16"/>
    <hyperlink r:id="rId12" ref="E17"/>
    <hyperlink r:id="rId13" ref="E18"/>
    <hyperlink r:id="rId14" ref="E19"/>
    <hyperlink r:id="rId15" ref="E21"/>
    <hyperlink r:id="rId16" ref="E22"/>
    <hyperlink r:id="rId17" ref="E23"/>
    <hyperlink r:id="rId18" ref="E24"/>
    <hyperlink r:id="rId19" ref="E25"/>
    <hyperlink r:id="rId20" ref="E26"/>
    <hyperlink r:id="rId21" ref="E27"/>
    <hyperlink r:id="rId22" ref="E28"/>
    <hyperlink r:id="rId23" ref="E29"/>
    <hyperlink r:id="rId24" ref="E30"/>
    <hyperlink r:id="rId25" ref="E31"/>
    <hyperlink r:id="rId26" ref="E32"/>
    <hyperlink r:id="rId27" ref="E33"/>
    <hyperlink r:id="rId28" ref="E34"/>
    <hyperlink r:id="rId29" ref="E35"/>
    <hyperlink r:id="rId30" ref="E36"/>
    <hyperlink r:id="rId31" ref="E37"/>
    <hyperlink r:id="rId32" ref="E39"/>
    <hyperlink r:id="rId33" ref="E40"/>
    <hyperlink r:id="rId34" ref="E41"/>
    <hyperlink r:id="rId35" ref="E42"/>
    <hyperlink r:id="rId36" ref="E43"/>
    <hyperlink r:id="rId37" ref="E44"/>
    <hyperlink r:id="rId38" ref="E45"/>
    <hyperlink r:id="rId39" ref="E47"/>
    <hyperlink r:id="rId40" ref="E48"/>
    <hyperlink r:id="rId41" ref="E49"/>
    <hyperlink r:id="rId42" ref="E50"/>
    <hyperlink r:id="rId43" ref="E51"/>
    <hyperlink r:id="rId44" ref="E52"/>
    <hyperlink r:id="rId45" ref="E53"/>
    <hyperlink r:id="rId46" ref="E54"/>
    <hyperlink r:id="rId47" ref="E56"/>
    <hyperlink r:id="rId48" ref="E57"/>
    <hyperlink r:id="rId49" ref="E58"/>
    <hyperlink r:id="rId50" ref="E61"/>
    <hyperlink r:id="rId51" ref="E62"/>
    <hyperlink r:id="rId52" ref="E63"/>
    <hyperlink r:id="rId53" ref="E64"/>
    <hyperlink r:id="rId54" ref="E65"/>
    <hyperlink r:id="rId55" ref="E66"/>
    <hyperlink r:id="rId56" ref="E67"/>
    <hyperlink r:id="rId57" ref="E68"/>
    <hyperlink r:id="rId58" ref="E69"/>
    <hyperlink r:id="rId59" ref="E70"/>
    <hyperlink r:id="rId60" ref="E71"/>
    <hyperlink r:id="rId61" ref="E72"/>
    <hyperlink r:id="rId62" ref="E73"/>
    <hyperlink r:id="rId63" ref="E74"/>
    <hyperlink r:id="rId64" ref="E75"/>
    <hyperlink r:id="rId65" ref="E76"/>
    <hyperlink r:id="rId66" ref="E77"/>
    <hyperlink r:id="rId67" ref="E78"/>
    <hyperlink r:id="rId68" ref="E79"/>
    <hyperlink r:id="rId69" ref="E80"/>
    <hyperlink r:id="rId70" ref="E81"/>
    <hyperlink r:id="rId71" ref="E82"/>
    <hyperlink r:id="rId72" ref="E83"/>
    <hyperlink r:id="rId73" ref="E84"/>
    <hyperlink r:id="rId74" ref="E85"/>
    <hyperlink r:id="rId75" ref="E86"/>
    <hyperlink r:id="rId76" ref="E87"/>
    <hyperlink r:id="rId77" ref="E88"/>
    <hyperlink r:id="rId78" ref="E89"/>
    <hyperlink r:id="rId79" ref="E90"/>
    <hyperlink r:id="rId80" ref="E91"/>
    <hyperlink r:id="rId81" ref="E92"/>
    <hyperlink r:id="rId82" ref="E93"/>
    <hyperlink r:id="rId83" ref="E94"/>
    <hyperlink r:id="rId84" ref="E95"/>
    <hyperlink r:id="rId85" ref="E96"/>
    <hyperlink r:id="rId86" ref="E97"/>
    <hyperlink r:id="rId87" ref="E98"/>
    <hyperlink r:id="rId88" ref="E99"/>
    <hyperlink r:id="rId89" ref="E100"/>
    <hyperlink r:id="rId90" ref="E101"/>
    <hyperlink r:id="rId91" ref="E102"/>
    <hyperlink r:id="rId92" ref="E103"/>
    <hyperlink r:id="rId93" ref="E104"/>
    <hyperlink r:id="rId94" ref="E105"/>
    <hyperlink r:id="rId95" ref="E106"/>
    <hyperlink r:id="rId96" ref="E107"/>
    <hyperlink r:id="rId97" ref="E108"/>
    <hyperlink r:id="rId98" ref="E109"/>
    <hyperlink r:id="rId99" ref="E110"/>
    <hyperlink r:id="rId100" ref="E111"/>
    <hyperlink r:id="rId101" ref="E112"/>
    <hyperlink r:id="rId102" ref="E113"/>
    <hyperlink r:id="rId103" ref="E114"/>
    <hyperlink r:id="rId104" ref="E115"/>
    <hyperlink r:id="rId105" ref="E116"/>
    <hyperlink r:id="rId106" ref="E117"/>
    <hyperlink r:id="rId107" ref="E123"/>
    <hyperlink r:id="rId108" ref="E126"/>
    <hyperlink r:id="rId109" ref="E127"/>
    <hyperlink r:id="rId110" ref="E128"/>
    <hyperlink r:id="rId111" ref="E129"/>
    <hyperlink r:id="rId112" ref="E130"/>
    <hyperlink r:id="rId113" ref="E131"/>
    <hyperlink r:id="rId114" ref="E132"/>
    <hyperlink r:id="rId115" ref="E146"/>
    <hyperlink r:id="rId116" ref="E148"/>
    <hyperlink r:id="rId117" ref="E150"/>
    <hyperlink r:id="rId118" ref="E151"/>
    <hyperlink r:id="rId119" ref="E152"/>
    <hyperlink r:id="rId120" ref="E153"/>
    <hyperlink r:id="rId121" ref="E154"/>
    <hyperlink r:id="rId122" ref="E155"/>
    <hyperlink r:id="rId123" ref="E156"/>
    <hyperlink r:id="rId124" ref="E157"/>
    <hyperlink r:id="rId125" ref="D159"/>
    <hyperlink r:id="rId126" ref="E160"/>
    <hyperlink r:id="rId127" ref="E161"/>
    <hyperlink r:id="rId128" ref="E162"/>
    <hyperlink r:id="rId129" ref="E163"/>
    <hyperlink r:id="rId130" ref="E164"/>
    <hyperlink r:id="rId131" ref="E165"/>
    <hyperlink r:id="rId132" ref="E166"/>
    <hyperlink r:id="rId133" ref="E167"/>
    <hyperlink r:id="rId134" ref="E168"/>
    <hyperlink r:id="rId135" ref="E169"/>
    <hyperlink r:id="rId136" ref="E170"/>
    <hyperlink r:id="rId137" ref="E171"/>
    <hyperlink r:id="rId138" ref="E172"/>
    <hyperlink r:id="rId139" ref="E173"/>
    <hyperlink r:id="rId140" ref="E174"/>
    <hyperlink r:id="rId141" ref="E175"/>
    <hyperlink r:id="rId142" ref="E176"/>
    <hyperlink r:id="rId143" ref="E177"/>
    <hyperlink r:id="rId144" ref="E178"/>
    <hyperlink r:id="rId145" ref="E179"/>
    <hyperlink r:id="rId146" ref="E180"/>
    <hyperlink r:id="rId147" ref="E181"/>
    <hyperlink r:id="rId148" ref="E182"/>
    <hyperlink r:id="rId149" ref="E183"/>
    <hyperlink r:id="rId150" ref="E184"/>
    <hyperlink r:id="rId151" ref="E185"/>
    <hyperlink r:id="rId152" ref="E186"/>
    <hyperlink r:id="rId153" ref="E187"/>
    <hyperlink r:id="rId154" ref="E188"/>
    <hyperlink r:id="rId155" ref="E189"/>
    <hyperlink r:id="rId156" ref="E190"/>
    <hyperlink r:id="rId157" ref="E191"/>
    <hyperlink r:id="rId158" ref="E192"/>
    <hyperlink r:id="rId159" ref="E193"/>
    <hyperlink r:id="rId160" ref="E194"/>
    <hyperlink r:id="rId161" ref="E195"/>
    <hyperlink r:id="rId162" ref="E196"/>
    <hyperlink r:id="rId163" ref="E197"/>
    <hyperlink r:id="rId164" ref="E198"/>
    <hyperlink r:id="rId165" ref="E199"/>
    <hyperlink r:id="rId166" ref="E200"/>
    <hyperlink r:id="rId167" ref="E201"/>
    <hyperlink r:id="rId168" ref="E202"/>
    <hyperlink r:id="rId169" ref="E203"/>
    <hyperlink r:id="rId170" ref="E204"/>
    <hyperlink r:id="rId171" ref="E205"/>
    <hyperlink r:id="rId172" ref="E206"/>
    <hyperlink r:id="rId173" ref="E207"/>
    <hyperlink r:id="rId174" ref="E208"/>
    <hyperlink r:id="rId175" ref="E209"/>
    <hyperlink r:id="rId176" ref="E210"/>
    <hyperlink r:id="rId177" ref="E211"/>
    <hyperlink r:id="rId178" ref="E212"/>
    <hyperlink r:id="rId179" ref="E213"/>
    <hyperlink r:id="rId180" ref="E214"/>
    <hyperlink r:id="rId181" ref="E215"/>
    <hyperlink r:id="rId182" ref="E216"/>
    <hyperlink r:id="rId183" ref="E217"/>
    <hyperlink r:id="rId184" ref="E218"/>
    <hyperlink r:id="rId185" ref="E219"/>
    <hyperlink r:id="rId186" ref="E220"/>
    <hyperlink r:id="rId187" ref="E221"/>
    <hyperlink r:id="rId188" ref="E222"/>
    <hyperlink r:id="rId189" ref="E223"/>
    <hyperlink r:id="rId190" ref="E224"/>
    <hyperlink r:id="rId191" ref="E225"/>
    <hyperlink r:id="rId192" ref="E226"/>
    <hyperlink r:id="rId193" ref="E227"/>
    <hyperlink r:id="rId194" ref="E228"/>
    <hyperlink r:id="rId195" ref="E229"/>
    <hyperlink r:id="rId196" ref="E230"/>
    <hyperlink r:id="rId197" ref="E231"/>
    <hyperlink r:id="rId198" ref="E232"/>
    <hyperlink r:id="rId199" ref="E233"/>
    <hyperlink r:id="rId200" ref="E234"/>
    <hyperlink r:id="rId201" ref="E235"/>
    <hyperlink r:id="rId202" ref="E236"/>
    <hyperlink r:id="rId203" ref="E237"/>
    <hyperlink r:id="rId204" ref="E238"/>
    <hyperlink r:id="rId205" ref="E239"/>
    <hyperlink r:id="rId206" ref="E240"/>
    <hyperlink r:id="rId207" ref="E241"/>
    <hyperlink r:id="rId208" ref="E242"/>
    <hyperlink r:id="rId209" ref="E243"/>
    <hyperlink r:id="rId210" ref="E244"/>
    <hyperlink r:id="rId211" ref="E245"/>
    <hyperlink r:id="rId212" ref="E246"/>
    <hyperlink r:id="rId213" ref="E247"/>
    <hyperlink r:id="rId214" ref="E248"/>
    <hyperlink r:id="rId215" ref="E249"/>
    <hyperlink r:id="rId216" ref="E250"/>
    <hyperlink r:id="rId217" ref="E251"/>
    <hyperlink r:id="rId218" ref="E252"/>
    <hyperlink r:id="rId219" ref="E253"/>
    <hyperlink r:id="rId220" ref="E254"/>
    <hyperlink r:id="rId221" ref="E255"/>
    <hyperlink r:id="rId222" ref="E257"/>
    <hyperlink r:id="rId223" ref="E258"/>
  </hyperlinks>
  <drawing r:id="rId2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tr">
        <f>IFERROR(__xludf.DUMMYFUNCTION("IMPORTRANGE(""https://docs.google.com/spreadsheets/d/19LQJVKbXmm2ZHHrbGv5jZXUUFYL8F83AeGh4qyKKHYY/edit#gid=1868753004"",""AllSimulations from CMS!$B$1:$BY$400"")"),"#REF!")</f>
        <v>#REF!</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s>
  <sheetData>
    <row r="1">
      <c r="A1" s="4"/>
      <c r="B1" s="5"/>
      <c r="C1" s="6" t="s">
        <v>30</v>
      </c>
      <c r="D1" s="5"/>
      <c r="E1" s="5"/>
      <c r="F1" s="5"/>
      <c r="G1" s="5"/>
      <c r="H1" s="5"/>
      <c r="I1" s="5"/>
      <c r="J1" s="5"/>
      <c r="K1" s="5"/>
      <c r="L1" s="5"/>
      <c r="M1" s="5"/>
      <c r="N1" s="5"/>
      <c r="O1" s="5" t="str">
        <f>COUNTIF(N5:N262,="y")</f>
        <v>#ERROR!</v>
      </c>
      <c r="P1" s="5"/>
      <c r="Q1" s="5"/>
      <c r="R1" s="5"/>
      <c r="S1" s="5"/>
      <c r="T1" s="5"/>
      <c r="U1" s="5"/>
      <c r="V1" s="5"/>
      <c r="W1" s="5"/>
      <c r="X1" s="5"/>
      <c r="Y1" s="5"/>
      <c r="Z1" s="5"/>
    </row>
    <row r="2">
      <c r="A2" s="7" t="s">
        <v>2522</v>
      </c>
      <c r="C2" s="8"/>
      <c r="D2" s="5"/>
      <c r="E2" s="9" t="s">
        <v>2523</v>
      </c>
      <c r="F2" s="10" t="str">
        <f>MATCH(C1,'AllSimulations from CMS'!1:1,0)</f>
        <v>#REF!</v>
      </c>
      <c r="G2" s="11" t="s">
        <v>2524</v>
      </c>
      <c r="H2" s="11" t="str">
        <f>SUBSTITUTE(ADDRESS(1,F2,4), "1", "")</f>
        <v>#REF!</v>
      </c>
      <c r="I2" s="5"/>
      <c r="J2" s="5"/>
      <c r="K2" s="5"/>
      <c r="L2" s="5"/>
      <c r="M2" s="5"/>
      <c r="N2" s="5"/>
      <c r="O2" s="5"/>
      <c r="P2" s="5"/>
      <c r="Q2" s="5"/>
      <c r="R2" s="5"/>
      <c r="S2" s="5"/>
      <c r="T2" s="5"/>
      <c r="U2" s="5"/>
      <c r="V2" s="5"/>
      <c r="W2" s="5"/>
      <c r="X2" s="5"/>
      <c r="Y2" s="5"/>
      <c r="Z2" s="5"/>
    </row>
    <row r="3">
      <c r="A3" s="5"/>
      <c r="B3" s="5"/>
      <c r="C3" s="5"/>
      <c r="D3" s="5"/>
      <c r="E3" s="5"/>
      <c r="F3" s="5"/>
      <c r="G3" s="5"/>
      <c r="H3" s="5"/>
      <c r="I3" s="5"/>
      <c r="J3" s="5"/>
      <c r="K3" s="5"/>
      <c r="L3" s="5"/>
      <c r="M3" s="5"/>
      <c r="N3" s="5"/>
      <c r="O3" s="5"/>
      <c r="P3" s="5"/>
      <c r="Q3" s="5"/>
      <c r="R3" s="5"/>
      <c r="S3" s="5"/>
      <c r="T3" s="5"/>
      <c r="U3" s="5"/>
      <c r="V3" s="5"/>
      <c r="W3" s="5"/>
      <c r="X3" s="5"/>
      <c r="Y3" s="5"/>
      <c r="Z3" s="5"/>
    </row>
    <row r="4">
      <c r="A4" s="12"/>
      <c r="B4" s="13" t="str">
        <f>IFERROR(__xludf.DUMMYFUNCTION("QUERY(AllSimsFromCMS, ""SELECT "" &amp; H2 &amp; "",B,L,Y,Z,AA,AB,AC,M,N,Q,P,X,K,J,D,F,AD,R,BN,BO,BP WHERE "" &amp; H2 &amp; "" is not null and L is not null order by "" &amp; H2,1)"),"#NAME?")</f>
        <v>#NAME?</v>
      </c>
      <c r="C4" s="14"/>
      <c r="D4" s="14"/>
      <c r="E4" s="14"/>
      <c r="F4" s="15"/>
      <c r="G4" s="15"/>
      <c r="H4" s="15"/>
      <c r="I4" s="16"/>
      <c r="J4" s="14"/>
      <c r="K4" s="14"/>
      <c r="L4" s="14"/>
      <c r="M4" s="14"/>
      <c r="N4" s="14"/>
      <c r="O4" s="14"/>
      <c r="P4" s="14"/>
      <c r="Q4" s="14"/>
      <c r="R4" s="14"/>
      <c r="S4" s="14"/>
      <c r="T4" s="14"/>
      <c r="U4" s="14"/>
      <c r="V4" s="14"/>
      <c r="W4" s="14"/>
      <c r="X4" s="14"/>
      <c r="Y4" s="14"/>
      <c r="Z4" s="14"/>
    </row>
    <row r="5">
      <c r="A5" s="5"/>
      <c r="B5" s="17"/>
      <c r="C5" s="18"/>
      <c r="D5" s="19"/>
      <c r="E5" s="20"/>
      <c r="F5" s="21"/>
      <c r="G5" s="21"/>
      <c r="H5" s="21"/>
      <c r="I5" s="22"/>
      <c r="J5" s="20"/>
      <c r="K5" s="23"/>
      <c r="L5" s="23"/>
      <c r="M5" s="5"/>
      <c r="N5" s="5"/>
      <c r="O5" s="24"/>
      <c r="P5" s="23"/>
      <c r="Q5" s="24"/>
      <c r="R5" s="5"/>
      <c r="S5" s="5"/>
      <c r="T5" s="24"/>
      <c r="U5" s="24"/>
      <c r="V5" s="25"/>
      <c r="W5" s="5"/>
      <c r="X5" s="5"/>
      <c r="Y5" s="5"/>
      <c r="Z5" s="5"/>
    </row>
    <row r="6">
      <c r="A6" s="5"/>
      <c r="B6" s="17"/>
      <c r="C6" s="18"/>
      <c r="D6" s="19"/>
      <c r="E6" s="20"/>
      <c r="F6" s="21"/>
      <c r="G6" s="21"/>
      <c r="H6" s="21"/>
      <c r="I6" s="26"/>
      <c r="J6" s="20"/>
      <c r="K6" s="23"/>
      <c r="L6" s="23"/>
      <c r="M6" s="5"/>
      <c r="N6" s="23"/>
      <c r="O6" s="24"/>
      <c r="P6" s="23"/>
      <c r="Q6" s="24"/>
      <c r="R6" s="5"/>
      <c r="S6" s="5"/>
      <c r="T6" s="24"/>
      <c r="U6" s="24"/>
      <c r="V6" s="24"/>
      <c r="W6" s="5"/>
      <c r="X6" s="5"/>
      <c r="Y6" s="5"/>
      <c r="Z6" s="5"/>
    </row>
    <row r="7">
      <c r="A7" s="5"/>
      <c r="B7" s="17"/>
      <c r="C7" s="18"/>
      <c r="D7" s="19"/>
      <c r="E7" s="20"/>
      <c r="F7" s="21"/>
      <c r="G7" s="21"/>
      <c r="H7" s="21"/>
      <c r="I7" s="22"/>
      <c r="J7" s="20"/>
      <c r="K7" s="23"/>
      <c r="L7" s="23"/>
      <c r="M7" s="5"/>
      <c r="N7" s="5"/>
      <c r="O7" s="24"/>
      <c r="P7" s="23"/>
      <c r="Q7" s="24"/>
      <c r="R7" s="27"/>
      <c r="S7" s="5"/>
      <c r="T7" s="24"/>
      <c r="U7" s="24"/>
      <c r="V7" s="25"/>
      <c r="W7" s="28"/>
      <c r="X7" s="5"/>
      <c r="Y7" s="5"/>
      <c r="Z7" s="5"/>
    </row>
    <row r="8">
      <c r="A8" s="5"/>
      <c r="B8" s="17"/>
      <c r="C8" s="18"/>
      <c r="D8" s="19"/>
      <c r="E8" s="20"/>
      <c r="F8" s="21"/>
      <c r="G8" s="21"/>
      <c r="H8" s="21"/>
      <c r="I8" s="26"/>
      <c r="J8" s="20"/>
      <c r="K8" s="23"/>
      <c r="L8" s="23"/>
      <c r="M8" s="5"/>
      <c r="N8" s="5"/>
      <c r="O8" s="24"/>
      <c r="P8" s="23"/>
      <c r="Q8" s="24"/>
      <c r="R8" s="5"/>
      <c r="S8" s="5"/>
      <c r="T8" s="24"/>
      <c r="U8" s="24"/>
      <c r="V8" s="25"/>
      <c r="W8" s="28"/>
      <c r="X8" s="5"/>
      <c r="Y8" s="5"/>
      <c r="Z8" s="5"/>
    </row>
    <row r="9">
      <c r="A9" s="5"/>
      <c r="B9" s="17"/>
      <c r="C9" s="18"/>
      <c r="D9" s="19"/>
      <c r="E9" s="20"/>
      <c r="F9" s="21"/>
      <c r="G9" s="21"/>
      <c r="H9" s="21"/>
      <c r="I9" s="22"/>
      <c r="J9" s="20"/>
      <c r="K9" s="23"/>
      <c r="L9" s="23"/>
      <c r="M9" s="5"/>
      <c r="N9" s="23"/>
      <c r="O9" s="24"/>
      <c r="P9" s="23"/>
      <c r="Q9" s="24"/>
      <c r="R9" s="5"/>
      <c r="S9" s="5"/>
      <c r="T9" s="24"/>
      <c r="U9" s="24"/>
      <c r="V9" s="24"/>
      <c r="W9" s="27"/>
      <c r="X9" s="5"/>
      <c r="Y9" s="5"/>
      <c r="Z9" s="5"/>
    </row>
    <row r="10">
      <c r="A10" s="5"/>
      <c r="B10" s="17"/>
      <c r="C10" s="18"/>
      <c r="D10" s="19"/>
      <c r="E10" s="20"/>
      <c r="F10" s="21"/>
      <c r="G10" s="21"/>
      <c r="H10" s="21"/>
      <c r="I10" s="22"/>
      <c r="J10" s="20"/>
      <c r="K10" s="23"/>
      <c r="L10" s="23"/>
      <c r="M10" s="5"/>
      <c r="N10" s="5"/>
      <c r="O10" s="24"/>
      <c r="P10" s="23"/>
      <c r="Q10" s="24"/>
      <c r="R10" s="5"/>
      <c r="S10" s="5"/>
      <c r="T10" s="24"/>
      <c r="U10" s="24"/>
      <c r="V10" s="25"/>
      <c r="W10" s="28"/>
      <c r="X10" s="5"/>
      <c r="Y10" s="5"/>
      <c r="Z10" s="5"/>
    </row>
    <row r="11">
      <c r="A11" s="5"/>
      <c r="B11" s="17"/>
      <c r="C11" s="18"/>
      <c r="D11" s="19"/>
      <c r="E11" s="20"/>
      <c r="F11" s="21"/>
      <c r="G11" s="21"/>
      <c r="H11" s="21"/>
      <c r="I11" s="26"/>
      <c r="J11" s="20"/>
      <c r="K11" s="23"/>
      <c r="L11" s="23"/>
      <c r="M11" s="5"/>
      <c r="N11" s="5"/>
      <c r="O11" s="24"/>
      <c r="P11" s="23"/>
      <c r="Q11" s="24"/>
      <c r="R11" s="5"/>
      <c r="S11" s="5"/>
      <c r="T11" s="24"/>
      <c r="U11" s="24"/>
      <c r="V11" s="24"/>
      <c r="W11" s="27"/>
      <c r="X11" s="5"/>
      <c r="Y11" s="5"/>
      <c r="Z11" s="5"/>
    </row>
    <row r="12">
      <c r="A12" s="5"/>
      <c r="B12" s="17"/>
      <c r="C12" s="18"/>
      <c r="D12" s="19"/>
      <c r="E12" s="20"/>
      <c r="F12" s="21"/>
      <c r="G12" s="21"/>
      <c r="H12" s="21"/>
      <c r="I12" s="26"/>
      <c r="J12" s="20"/>
      <c r="K12" s="23"/>
      <c r="L12" s="23"/>
      <c r="M12" s="5"/>
      <c r="N12" s="23"/>
      <c r="O12" s="24"/>
      <c r="P12" s="23"/>
      <c r="Q12" s="24"/>
      <c r="R12" s="5"/>
      <c r="S12" s="5"/>
      <c r="T12" s="24"/>
      <c r="U12" s="24"/>
      <c r="V12" s="24"/>
      <c r="W12" s="5"/>
      <c r="X12" s="5"/>
      <c r="Y12" s="5"/>
      <c r="Z12" s="5"/>
    </row>
    <row r="13">
      <c r="A13" s="5"/>
      <c r="B13" s="17"/>
      <c r="C13" s="18"/>
      <c r="D13" s="19"/>
      <c r="E13" s="20"/>
      <c r="F13" s="21"/>
      <c r="G13" s="21"/>
      <c r="H13" s="21"/>
      <c r="I13" s="22"/>
      <c r="J13" s="20"/>
      <c r="K13" s="23"/>
      <c r="L13" s="23"/>
      <c r="M13" s="5"/>
      <c r="N13" s="5"/>
      <c r="O13" s="24"/>
      <c r="P13" s="23"/>
      <c r="Q13" s="24"/>
      <c r="R13" s="5"/>
      <c r="S13" s="5"/>
      <c r="T13" s="24"/>
      <c r="U13" s="24"/>
      <c r="V13" s="25"/>
      <c r="W13" s="5"/>
      <c r="X13" s="5"/>
      <c r="Y13" s="5"/>
      <c r="Z13" s="5"/>
    </row>
    <row r="14">
      <c r="A14" s="5"/>
      <c r="B14" s="17"/>
      <c r="C14" s="18"/>
      <c r="D14" s="19"/>
      <c r="E14" s="20"/>
      <c r="F14" s="21"/>
      <c r="G14" s="21"/>
      <c r="H14" s="21"/>
      <c r="I14" s="22"/>
      <c r="J14" s="20"/>
      <c r="K14" s="23"/>
      <c r="L14" s="23"/>
      <c r="M14" s="5"/>
      <c r="N14" s="23"/>
      <c r="O14" s="24"/>
      <c r="P14" s="23"/>
      <c r="Q14" s="24"/>
      <c r="R14" s="5"/>
      <c r="S14" s="5"/>
      <c r="T14" s="24"/>
      <c r="U14" s="24"/>
      <c r="V14" s="25"/>
      <c r="W14" s="24"/>
      <c r="X14" s="5"/>
      <c r="Y14" s="5"/>
      <c r="Z14" s="5"/>
    </row>
    <row r="15">
      <c r="A15" s="5"/>
      <c r="B15" s="17"/>
      <c r="C15" s="18"/>
      <c r="D15" s="19"/>
      <c r="E15" s="20"/>
      <c r="F15" s="21"/>
      <c r="G15" s="21"/>
      <c r="H15" s="21"/>
      <c r="I15" s="22"/>
      <c r="J15" s="20"/>
      <c r="K15" s="23"/>
      <c r="L15" s="23"/>
      <c r="M15" s="5"/>
      <c r="N15" s="23"/>
      <c r="O15" s="24"/>
      <c r="P15" s="23"/>
      <c r="Q15" s="24"/>
      <c r="R15" s="5"/>
      <c r="S15" s="5"/>
      <c r="T15" s="24"/>
      <c r="U15" s="24"/>
      <c r="V15" s="25"/>
      <c r="W15" s="5"/>
      <c r="X15" s="5"/>
      <c r="Y15" s="5"/>
      <c r="Z15" s="5"/>
    </row>
    <row r="16">
      <c r="A16" s="5"/>
      <c r="B16" s="17"/>
      <c r="C16" s="18"/>
      <c r="D16" s="19"/>
      <c r="E16" s="20"/>
      <c r="F16" s="21"/>
      <c r="G16" s="21"/>
      <c r="H16" s="21"/>
      <c r="I16" s="22"/>
      <c r="J16" s="20"/>
      <c r="K16" s="23"/>
      <c r="L16" s="23"/>
      <c r="M16" s="5"/>
      <c r="N16" s="23"/>
      <c r="O16" s="24"/>
      <c r="P16" s="23"/>
      <c r="Q16" s="24"/>
      <c r="R16" s="27"/>
      <c r="S16" s="5"/>
      <c r="T16" s="24"/>
      <c r="U16" s="24"/>
      <c r="V16" s="24"/>
      <c r="W16" s="27"/>
      <c r="X16" s="5"/>
      <c r="Y16" s="5"/>
      <c r="Z16" s="5"/>
    </row>
    <row r="17">
      <c r="A17" s="5"/>
      <c r="B17" s="17"/>
      <c r="C17" s="18"/>
      <c r="D17" s="19"/>
      <c r="E17" s="20"/>
      <c r="F17" s="21"/>
      <c r="G17" s="21"/>
      <c r="H17" s="21"/>
      <c r="I17" s="22"/>
      <c r="J17" s="20"/>
      <c r="K17" s="23"/>
      <c r="L17" s="23"/>
      <c r="M17" s="5"/>
      <c r="N17" s="5"/>
      <c r="O17" s="24"/>
      <c r="P17" s="23"/>
      <c r="Q17" s="24"/>
      <c r="R17" s="5"/>
      <c r="S17" s="5"/>
      <c r="T17" s="24"/>
      <c r="U17" s="24"/>
      <c r="V17" s="24"/>
      <c r="W17" s="5"/>
      <c r="X17" s="5"/>
      <c r="Y17" s="5"/>
      <c r="Z17" s="5"/>
    </row>
    <row r="18">
      <c r="A18" s="5"/>
      <c r="B18" s="17"/>
      <c r="C18" s="18"/>
      <c r="D18" s="19"/>
      <c r="E18" s="20"/>
      <c r="F18" s="21"/>
      <c r="G18" s="21"/>
      <c r="H18" s="21"/>
      <c r="I18" s="26"/>
      <c r="J18" s="20"/>
      <c r="K18" s="23"/>
      <c r="L18" s="23"/>
      <c r="M18" s="5"/>
      <c r="N18" s="5"/>
      <c r="O18" s="24"/>
      <c r="P18" s="23"/>
      <c r="Q18" s="24"/>
      <c r="R18" s="5"/>
      <c r="S18" s="5"/>
      <c r="T18" s="24"/>
      <c r="U18" s="24"/>
      <c r="V18" s="25"/>
      <c r="W18" s="28"/>
      <c r="X18" s="5"/>
      <c r="Y18" s="5"/>
      <c r="Z18" s="5"/>
    </row>
    <row r="19">
      <c r="A19" s="5"/>
      <c r="B19" s="17"/>
      <c r="C19" s="18"/>
      <c r="D19" s="19"/>
      <c r="E19" s="20"/>
      <c r="F19" s="21"/>
      <c r="G19" s="21"/>
      <c r="H19" s="21"/>
      <c r="I19" s="22"/>
      <c r="J19" s="20"/>
      <c r="K19" s="23"/>
      <c r="L19" s="23"/>
      <c r="M19" s="5"/>
      <c r="N19" s="5"/>
      <c r="O19" s="24"/>
      <c r="P19" s="23"/>
      <c r="Q19" s="24"/>
      <c r="R19" s="27"/>
      <c r="S19" s="5"/>
      <c r="T19" s="24"/>
      <c r="U19" s="24"/>
      <c r="V19" s="24"/>
      <c r="W19" s="27"/>
      <c r="X19" s="5"/>
      <c r="Y19" s="5"/>
      <c r="Z19" s="5"/>
    </row>
    <row r="20">
      <c r="A20" s="5"/>
      <c r="B20" s="17"/>
      <c r="C20" s="18"/>
      <c r="D20" s="19"/>
      <c r="E20" s="20"/>
      <c r="F20" s="21"/>
      <c r="G20" s="21"/>
      <c r="H20" s="21"/>
      <c r="I20" s="22"/>
      <c r="J20" s="20"/>
      <c r="K20" s="23"/>
      <c r="L20" s="23"/>
      <c r="M20" s="5"/>
      <c r="N20" s="23"/>
      <c r="O20" s="24"/>
      <c r="P20" s="23"/>
      <c r="Q20" s="24"/>
      <c r="R20" s="5"/>
      <c r="S20" s="5"/>
      <c r="T20" s="24"/>
      <c r="U20" s="24"/>
      <c r="V20" s="24"/>
      <c r="W20" s="5"/>
      <c r="X20" s="5"/>
      <c r="Y20" s="5"/>
      <c r="Z20" s="5"/>
    </row>
    <row r="21">
      <c r="A21" s="5"/>
      <c r="B21" s="17"/>
      <c r="C21" s="18"/>
      <c r="D21" s="19"/>
      <c r="E21" s="20"/>
      <c r="F21" s="21"/>
      <c r="G21" s="21"/>
      <c r="H21" s="21"/>
      <c r="I21" s="22"/>
      <c r="J21" s="20"/>
      <c r="K21" s="23"/>
      <c r="L21" s="23"/>
      <c r="M21" s="5"/>
      <c r="N21" s="5"/>
      <c r="O21" s="24"/>
      <c r="P21" s="23"/>
      <c r="Q21" s="24"/>
      <c r="R21" s="5"/>
      <c r="S21" s="5"/>
      <c r="T21" s="24"/>
      <c r="U21" s="24"/>
      <c r="V21" s="24"/>
      <c r="W21" s="27"/>
      <c r="X21" s="5"/>
      <c r="Y21" s="5"/>
      <c r="Z21" s="5"/>
    </row>
    <row r="22">
      <c r="A22" s="5"/>
      <c r="B22" s="17"/>
      <c r="C22" s="18"/>
      <c r="D22" s="19"/>
      <c r="E22" s="20"/>
      <c r="F22" s="21"/>
      <c r="G22" s="21"/>
      <c r="H22" s="21"/>
      <c r="I22" s="26"/>
      <c r="J22" s="20"/>
      <c r="K22" s="23"/>
      <c r="L22" s="23"/>
      <c r="M22" s="5"/>
      <c r="N22" s="23"/>
      <c r="O22" s="24"/>
      <c r="P22" s="23"/>
      <c r="Q22" s="24"/>
      <c r="R22" s="27"/>
      <c r="S22" s="5"/>
      <c r="T22" s="24"/>
      <c r="U22" s="24"/>
      <c r="V22" s="24"/>
      <c r="W22" s="27"/>
      <c r="X22" s="5"/>
      <c r="Y22" s="5"/>
      <c r="Z22" s="5"/>
    </row>
    <row r="23">
      <c r="A23" s="5"/>
      <c r="B23" s="17"/>
      <c r="C23" s="18"/>
      <c r="D23" s="19"/>
      <c r="E23" s="20"/>
      <c r="F23" s="21"/>
      <c r="G23" s="21"/>
      <c r="H23" s="21"/>
      <c r="I23" s="22"/>
      <c r="J23" s="20"/>
      <c r="K23" s="23"/>
      <c r="L23" s="23"/>
      <c r="M23" s="5"/>
      <c r="N23" s="5"/>
      <c r="O23" s="24"/>
      <c r="P23" s="23"/>
      <c r="Q23" s="24"/>
      <c r="R23" s="5"/>
      <c r="S23" s="5"/>
      <c r="T23" s="24"/>
      <c r="U23" s="24"/>
      <c r="V23" s="24"/>
      <c r="W23" s="5"/>
      <c r="X23" s="5"/>
      <c r="Y23" s="5"/>
      <c r="Z23" s="5"/>
    </row>
    <row r="24">
      <c r="A24" s="5"/>
      <c r="B24" s="17"/>
      <c r="C24" s="18"/>
      <c r="D24" s="19"/>
      <c r="E24" s="20"/>
      <c r="F24" s="21"/>
      <c r="G24" s="21"/>
      <c r="H24" s="21"/>
      <c r="I24" s="22"/>
      <c r="J24" s="20"/>
      <c r="K24" s="23"/>
      <c r="L24" s="23"/>
      <c r="M24" s="5"/>
      <c r="N24" s="5"/>
      <c r="O24" s="24"/>
      <c r="P24" s="23"/>
      <c r="Q24" s="24"/>
      <c r="R24" s="5"/>
      <c r="S24" s="5"/>
      <c r="T24" s="24"/>
      <c r="U24" s="24"/>
      <c r="V24" s="24"/>
      <c r="W24" s="27"/>
      <c r="X24" s="5"/>
      <c r="Y24" s="5"/>
      <c r="Z24" s="5"/>
    </row>
    <row r="25">
      <c r="A25" s="5"/>
      <c r="B25" s="17"/>
      <c r="C25" s="18"/>
      <c r="D25" s="19"/>
      <c r="E25" s="20"/>
      <c r="F25" s="21"/>
      <c r="G25" s="21"/>
      <c r="H25" s="21"/>
      <c r="I25" s="22"/>
      <c r="J25" s="20"/>
      <c r="K25" s="23"/>
      <c r="L25" s="23"/>
      <c r="M25" s="5"/>
      <c r="N25" s="23"/>
      <c r="O25" s="24"/>
      <c r="P25" s="23"/>
      <c r="Q25" s="24"/>
      <c r="R25" s="5"/>
      <c r="S25" s="5"/>
      <c r="T25" s="24"/>
      <c r="U25" s="24"/>
      <c r="V25" s="24"/>
      <c r="W25" s="27"/>
      <c r="X25" s="5"/>
      <c r="Y25" s="5"/>
      <c r="Z25" s="5"/>
    </row>
    <row r="26">
      <c r="A26" s="5"/>
      <c r="B26" s="17"/>
      <c r="C26" s="18"/>
      <c r="D26" s="19"/>
      <c r="E26" s="20"/>
      <c r="F26" s="21"/>
      <c r="G26" s="21"/>
      <c r="H26" s="21"/>
      <c r="I26" s="22"/>
      <c r="J26" s="20"/>
      <c r="K26" s="23"/>
      <c r="L26" s="23"/>
      <c r="M26" s="5"/>
      <c r="N26" s="5"/>
      <c r="O26" s="24"/>
      <c r="P26" s="23"/>
      <c r="Q26" s="24"/>
      <c r="R26" s="5"/>
      <c r="S26" s="5"/>
      <c r="T26" s="24"/>
      <c r="U26" s="24"/>
      <c r="V26" s="25"/>
      <c r="W26" s="5"/>
      <c r="X26" s="5"/>
      <c r="Y26" s="5"/>
      <c r="Z26" s="5"/>
    </row>
    <row r="27">
      <c r="A27" s="5"/>
      <c r="B27" s="17"/>
      <c r="C27" s="18"/>
      <c r="D27" s="19"/>
      <c r="E27" s="20"/>
      <c r="F27" s="21"/>
      <c r="G27" s="21"/>
      <c r="H27" s="21"/>
      <c r="I27" s="22"/>
      <c r="J27" s="20"/>
      <c r="K27" s="23"/>
      <c r="L27" s="23"/>
      <c r="M27" s="5"/>
      <c r="N27" s="5"/>
      <c r="O27" s="24"/>
      <c r="P27" s="23"/>
      <c r="Q27" s="24"/>
      <c r="R27" s="5"/>
      <c r="S27" s="5"/>
      <c r="T27" s="24"/>
      <c r="U27" s="24"/>
      <c r="V27" s="24"/>
      <c r="W27" s="5"/>
      <c r="X27" s="5"/>
      <c r="Y27" s="5"/>
      <c r="Z27" s="5"/>
    </row>
    <row r="28">
      <c r="A28" s="5"/>
      <c r="B28" s="17"/>
      <c r="C28" s="18"/>
      <c r="D28" s="19"/>
      <c r="E28" s="20"/>
      <c r="F28" s="21"/>
      <c r="G28" s="21"/>
      <c r="H28" s="21"/>
      <c r="I28" s="26"/>
      <c r="J28" s="20"/>
      <c r="K28" s="23"/>
      <c r="L28" s="23"/>
      <c r="M28" s="5"/>
      <c r="N28" s="5"/>
      <c r="O28" s="24"/>
      <c r="P28" s="23"/>
      <c r="Q28" s="24"/>
      <c r="R28" s="5"/>
      <c r="S28" s="5"/>
      <c r="T28" s="24"/>
      <c r="U28" s="24"/>
      <c r="V28" s="25"/>
      <c r="W28" s="28"/>
      <c r="X28" s="5"/>
      <c r="Y28" s="5"/>
      <c r="Z28" s="5"/>
    </row>
    <row r="29">
      <c r="A29" s="5"/>
      <c r="B29" s="17"/>
      <c r="C29" s="18"/>
      <c r="D29" s="19"/>
      <c r="E29" s="20"/>
      <c r="F29" s="21"/>
      <c r="G29" s="21"/>
      <c r="H29" s="21"/>
      <c r="I29" s="22"/>
      <c r="J29" s="20"/>
      <c r="K29" s="23"/>
      <c r="L29" s="23"/>
      <c r="M29" s="5"/>
      <c r="N29" s="23"/>
      <c r="O29" s="24"/>
      <c r="P29" s="23"/>
      <c r="Q29" s="24"/>
      <c r="R29" s="5"/>
      <c r="S29" s="5"/>
      <c r="T29" s="24"/>
      <c r="U29" s="24"/>
      <c r="V29" s="24"/>
      <c r="W29" s="27"/>
      <c r="X29" s="5"/>
      <c r="Y29" s="5"/>
      <c r="Z29" s="5"/>
    </row>
    <row r="30">
      <c r="A30" s="5"/>
      <c r="B30" s="17"/>
      <c r="C30" s="18"/>
      <c r="D30" s="19"/>
      <c r="E30" s="20"/>
      <c r="F30" s="21"/>
      <c r="G30" s="21"/>
      <c r="H30" s="21"/>
      <c r="I30" s="22"/>
      <c r="J30" s="20"/>
      <c r="K30" s="23"/>
      <c r="L30" s="23"/>
      <c r="M30" s="5"/>
      <c r="N30" s="23"/>
      <c r="O30" s="24"/>
      <c r="P30" s="23"/>
      <c r="Q30" s="24"/>
      <c r="R30" s="27"/>
      <c r="S30" s="5"/>
      <c r="T30" s="24"/>
      <c r="U30" s="24"/>
      <c r="V30" s="24"/>
      <c r="W30" s="5"/>
      <c r="X30" s="5"/>
      <c r="Y30" s="5"/>
      <c r="Z30" s="5"/>
    </row>
    <row r="31">
      <c r="A31" s="5"/>
      <c r="B31" s="17"/>
      <c r="C31" s="18"/>
      <c r="D31" s="19"/>
      <c r="E31" s="20"/>
      <c r="F31" s="21"/>
      <c r="G31" s="21"/>
      <c r="H31" s="21"/>
      <c r="I31" s="22"/>
      <c r="J31" s="20"/>
      <c r="K31" s="23"/>
      <c r="L31" s="23"/>
      <c r="M31" s="5"/>
      <c r="N31" s="23"/>
      <c r="O31" s="24"/>
      <c r="P31" s="23"/>
      <c r="Q31" s="24"/>
      <c r="R31" s="5"/>
      <c r="S31" s="5"/>
      <c r="T31" s="24"/>
      <c r="U31" s="24"/>
      <c r="V31" s="24"/>
      <c r="W31" s="5"/>
      <c r="X31" s="5"/>
      <c r="Y31" s="5"/>
      <c r="Z31" s="5"/>
    </row>
    <row r="32">
      <c r="A32" s="5"/>
      <c r="B32" s="17"/>
      <c r="C32" s="18"/>
      <c r="D32" s="19"/>
      <c r="E32" s="20"/>
      <c r="F32" s="21"/>
      <c r="G32" s="21"/>
      <c r="H32" s="21"/>
      <c r="I32" s="26"/>
      <c r="J32" s="20"/>
      <c r="K32" s="23"/>
      <c r="L32" s="23"/>
      <c r="M32" s="5"/>
      <c r="N32" s="23"/>
      <c r="O32" s="24"/>
      <c r="P32" s="23"/>
      <c r="Q32" s="24"/>
      <c r="R32" s="5"/>
      <c r="S32" s="5"/>
      <c r="T32" s="24"/>
      <c r="U32" s="24"/>
      <c r="V32" s="25"/>
      <c r="W32" s="29"/>
      <c r="X32" s="5"/>
      <c r="Y32" s="5"/>
      <c r="Z32" s="5"/>
    </row>
    <row r="33">
      <c r="A33" s="5"/>
      <c r="B33" s="17"/>
      <c r="C33" s="18"/>
      <c r="D33" s="19"/>
      <c r="E33" s="20"/>
      <c r="F33" s="21"/>
      <c r="G33" s="21"/>
      <c r="H33" s="21"/>
      <c r="I33" s="22"/>
      <c r="J33" s="20"/>
      <c r="K33" s="23"/>
      <c r="L33" s="23"/>
      <c r="M33" s="5"/>
      <c r="N33" s="23"/>
      <c r="O33" s="24"/>
      <c r="P33" s="23"/>
      <c r="Q33" s="24"/>
      <c r="R33" s="5"/>
      <c r="S33" s="5"/>
      <c r="T33" s="24"/>
      <c r="U33" s="24"/>
      <c r="V33" s="25"/>
      <c r="W33" s="5"/>
      <c r="X33" s="5"/>
      <c r="Y33" s="5"/>
      <c r="Z33" s="5"/>
    </row>
    <row r="34">
      <c r="A34" s="5"/>
      <c r="B34" s="17"/>
      <c r="C34" s="18"/>
      <c r="D34" s="19"/>
      <c r="E34" s="20"/>
      <c r="F34" s="21"/>
      <c r="G34" s="21"/>
      <c r="H34" s="21"/>
      <c r="I34" s="22"/>
      <c r="J34" s="20"/>
      <c r="K34" s="23"/>
      <c r="L34" s="23"/>
      <c r="M34" s="5"/>
      <c r="N34" s="23"/>
      <c r="O34" s="24"/>
      <c r="P34" s="23"/>
      <c r="Q34" s="24"/>
      <c r="R34" s="5"/>
      <c r="S34" s="5"/>
      <c r="T34" s="24"/>
      <c r="U34" s="24"/>
      <c r="V34" s="24"/>
      <c r="W34" s="5"/>
      <c r="X34" s="5"/>
      <c r="Y34" s="5"/>
      <c r="Z34" s="5"/>
    </row>
    <row r="35">
      <c r="A35" s="5"/>
      <c r="B35" s="17"/>
      <c r="C35" s="18"/>
      <c r="D35" s="19"/>
      <c r="E35" s="20"/>
      <c r="F35" s="21"/>
      <c r="G35" s="21"/>
      <c r="H35" s="21"/>
      <c r="I35" s="26"/>
      <c r="J35" s="20"/>
      <c r="K35" s="23"/>
      <c r="L35" s="23"/>
      <c r="M35" s="5"/>
      <c r="N35" s="5"/>
      <c r="O35" s="24"/>
      <c r="P35" s="23"/>
      <c r="Q35" s="24"/>
      <c r="R35" s="5"/>
      <c r="S35" s="5"/>
      <c r="T35" s="24"/>
      <c r="U35" s="24"/>
      <c r="V35" s="24"/>
      <c r="W35" s="24"/>
      <c r="X35" s="5"/>
      <c r="Y35" s="5"/>
      <c r="Z35" s="5"/>
    </row>
    <row r="36">
      <c r="A36" s="5"/>
      <c r="B36" s="17"/>
      <c r="C36" s="18"/>
      <c r="D36" s="19"/>
      <c r="E36" s="20"/>
      <c r="F36" s="21"/>
      <c r="G36" s="21"/>
      <c r="H36" s="21"/>
      <c r="I36" s="22"/>
      <c r="J36" s="20"/>
      <c r="K36" s="23"/>
      <c r="L36" s="23"/>
      <c r="M36" s="5"/>
      <c r="N36" s="23"/>
      <c r="O36" s="24"/>
      <c r="P36" s="23"/>
      <c r="Q36" s="24"/>
      <c r="R36" s="24"/>
      <c r="S36" s="5"/>
      <c r="T36" s="24"/>
      <c r="U36" s="24"/>
      <c r="V36" s="25"/>
      <c r="W36" s="24"/>
      <c r="X36" s="5"/>
      <c r="Y36" s="5"/>
      <c r="Z36" s="5"/>
    </row>
    <row r="37">
      <c r="A37" s="5"/>
      <c r="B37" s="17"/>
      <c r="C37" s="18"/>
      <c r="D37" s="19"/>
      <c r="E37" s="20"/>
      <c r="F37" s="21"/>
      <c r="G37" s="21"/>
      <c r="H37" s="21"/>
      <c r="I37" s="26"/>
      <c r="J37" s="20"/>
      <c r="K37" s="23"/>
      <c r="L37" s="23"/>
      <c r="M37" s="5"/>
      <c r="N37" s="23"/>
      <c r="O37" s="24"/>
      <c r="P37" s="23"/>
      <c r="Q37" s="24"/>
      <c r="R37" s="5"/>
      <c r="S37" s="5"/>
      <c r="T37" s="24"/>
      <c r="U37" s="24"/>
      <c r="V37" s="24"/>
      <c r="W37" s="5"/>
      <c r="X37" s="5"/>
      <c r="Y37" s="5"/>
      <c r="Z37" s="5"/>
    </row>
    <row r="38">
      <c r="A38" s="5"/>
      <c r="B38" s="17"/>
      <c r="C38" s="18"/>
      <c r="D38" s="19"/>
      <c r="E38" s="20"/>
      <c r="F38" s="21"/>
      <c r="G38" s="21"/>
      <c r="H38" s="21"/>
      <c r="I38" s="26"/>
      <c r="J38" s="20"/>
      <c r="K38" s="23"/>
      <c r="L38" s="23"/>
      <c r="M38" s="5"/>
      <c r="N38" s="5"/>
      <c r="O38" s="24"/>
      <c r="P38" s="23"/>
      <c r="Q38" s="24"/>
      <c r="R38" s="24"/>
      <c r="S38" s="5"/>
      <c r="T38" s="24"/>
      <c r="U38" s="24"/>
      <c r="V38" s="24"/>
      <c r="W38" s="5"/>
      <c r="X38" s="5"/>
      <c r="Y38" s="5"/>
      <c r="Z38" s="5"/>
    </row>
    <row r="39">
      <c r="A39" s="5"/>
      <c r="B39" s="17"/>
      <c r="C39" s="18"/>
      <c r="D39" s="19"/>
      <c r="E39" s="20"/>
      <c r="F39" s="21"/>
      <c r="G39" s="21"/>
      <c r="H39" s="21"/>
      <c r="I39" s="22"/>
      <c r="J39" s="20"/>
      <c r="K39" s="23"/>
      <c r="L39" s="23"/>
      <c r="M39" s="5"/>
      <c r="N39" s="23"/>
      <c r="O39" s="24"/>
      <c r="P39" s="23"/>
      <c r="Q39" s="24"/>
      <c r="R39" s="5"/>
      <c r="S39" s="5"/>
      <c r="T39" s="24"/>
      <c r="U39" s="24"/>
      <c r="V39" s="25"/>
      <c r="W39" s="5"/>
      <c r="X39" s="5"/>
      <c r="Y39" s="5"/>
      <c r="Z39" s="5"/>
    </row>
    <row r="40">
      <c r="A40" s="5"/>
      <c r="B40" s="17"/>
      <c r="C40" s="18"/>
      <c r="D40" s="19"/>
      <c r="E40" s="20"/>
      <c r="F40" s="21"/>
      <c r="G40" s="21"/>
      <c r="H40" s="21"/>
      <c r="I40" s="22"/>
      <c r="J40" s="20"/>
      <c r="K40" s="23"/>
      <c r="L40" s="23"/>
      <c r="M40" s="5"/>
      <c r="N40" s="5"/>
      <c r="O40" s="24"/>
      <c r="P40" s="23"/>
      <c r="Q40" s="24"/>
      <c r="R40" s="5"/>
      <c r="S40" s="5"/>
      <c r="T40" s="24"/>
      <c r="U40" s="24"/>
      <c r="V40" s="25"/>
      <c r="W40" s="5"/>
      <c r="X40" s="5"/>
      <c r="Y40" s="5"/>
      <c r="Z40" s="5"/>
    </row>
    <row r="41">
      <c r="A41" s="5"/>
      <c r="B41" s="17"/>
      <c r="C41" s="18"/>
      <c r="D41" s="19"/>
      <c r="E41" s="20"/>
      <c r="F41" s="21"/>
      <c r="G41" s="21"/>
      <c r="H41" s="21"/>
      <c r="I41" s="22"/>
      <c r="J41" s="20"/>
      <c r="K41" s="23"/>
      <c r="L41" s="23"/>
      <c r="M41" s="5"/>
      <c r="N41" s="23"/>
      <c r="O41" s="24"/>
      <c r="P41" s="23"/>
      <c r="Q41" s="24"/>
      <c r="R41" s="24"/>
      <c r="S41" s="5"/>
      <c r="T41" s="24"/>
      <c r="U41" s="24"/>
      <c r="V41" s="25"/>
      <c r="W41" s="24"/>
      <c r="X41" s="5"/>
      <c r="Y41" s="5"/>
      <c r="Z41" s="5"/>
    </row>
    <row r="42">
      <c r="A42" s="5"/>
      <c r="B42" s="17"/>
      <c r="C42" s="18"/>
      <c r="D42" s="19"/>
      <c r="E42" s="20"/>
      <c r="F42" s="21"/>
      <c r="G42" s="21"/>
      <c r="H42" s="21"/>
      <c r="I42" s="22"/>
      <c r="J42" s="20"/>
      <c r="K42" s="23"/>
      <c r="L42" s="23"/>
      <c r="M42" s="5"/>
      <c r="N42" s="23"/>
      <c r="O42" s="24"/>
      <c r="P42" s="23"/>
      <c r="Q42" s="24"/>
      <c r="R42" s="5"/>
      <c r="S42" s="5"/>
      <c r="T42" s="24"/>
      <c r="U42" s="24"/>
      <c r="V42" s="24"/>
      <c r="W42" s="5"/>
      <c r="X42" s="5"/>
      <c r="Y42" s="5"/>
      <c r="Z42" s="5"/>
    </row>
    <row r="43">
      <c r="A43" s="5"/>
      <c r="B43" s="17"/>
      <c r="C43" s="18"/>
      <c r="D43" s="19"/>
      <c r="E43" s="20"/>
      <c r="F43" s="21"/>
      <c r="G43" s="21"/>
      <c r="H43" s="21"/>
      <c r="I43" s="26"/>
      <c r="J43" s="30"/>
      <c r="K43" s="31"/>
      <c r="L43" s="23"/>
      <c r="M43" s="5"/>
      <c r="N43" s="23"/>
      <c r="O43" s="24"/>
      <c r="P43" s="23"/>
      <c r="Q43" s="24"/>
      <c r="R43" s="5"/>
      <c r="S43" s="5"/>
      <c r="T43" s="24"/>
      <c r="U43" s="24"/>
      <c r="V43" s="25"/>
      <c r="W43" s="24"/>
      <c r="X43" s="5"/>
      <c r="Y43" s="5"/>
      <c r="Z43" s="5"/>
    </row>
    <row r="44">
      <c r="A44" s="5"/>
      <c r="B44" s="17"/>
      <c r="C44" s="18"/>
      <c r="D44" s="19"/>
      <c r="E44" s="20"/>
      <c r="F44" s="21"/>
      <c r="G44" s="21"/>
      <c r="H44" s="21"/>
      <c r="I44" s="22"/>
      <c r="J44" s="20"/>
      <c r="K44" s="23"/>
      <c r="L44" s="23"/>
      <c r="M44" s="5"/>
      <c r="N44" s="23"/>
      <c r="O44" s="24"/>
      <c r="P44" s="23"/>
      <c r="Q44" s="24"/>
      <c r="R44" s="5"/>
      <c r="S44" s="5"/>
      <c r="T44" s="24"/>
      <c r="U44" s="24"/>
      <c r="V44" s="24"/>
      <c r="W44" s="5"/>
      <c r="X44" s="5"/>
      <c r="Y44" s="5"/>
      <c r="Z44" s="5"/>
    </row>
    <row r="45">
      <c r="A45" s="5"/>
      <c r="B45" s="17"/>
      <c r="C45" s="18"/>
      <c r="D45" s="19"/>
      <c r="E45" s="20"/>
      <c r="F45" s="21"/>
      <c r="G45" s="21"/>
      <c r="H45" s="21"/>
      <c r="I45" s="22"/>
      <c r="J45" s="20"/>
      <c r="K45" s="23"/>
      <c r="L45" s="23"/>
      <c r="M45" s="5"/>
      <c r="N45" s="23"/>
      <c r="O45" s="24"/>
      <c r="P45" s="23"/>
      <c r="Q45" s="24"/>
      <c r="R45" s="5"/>
      <c r="S45" s="5"/>
      <c r="T45" s="24"/>
      <c r="U45" s="24"/>
      <c r="V45" s="25"/>
      <c r="W45" s="5"/>
      <c r="X45" s="5"/>
      <c r="Y45" s="5"/>
      <c r="Z45" s="5"/>
    </row>
    <row r="46">
      <c r="A46" s="5"/>
      <c r="B46" s="17"/>
      <c r="C46" s="18"/>
      <c r="D46" s="19"/>
      <c r="E46" s="20"/>
      <c r="F46" s="21"/>
      <c r="G46" s="21"/>
      <c r="H46" s="21"/>
      <c r="I46" s="22"/>
      <c r="J46" s="20"/>
      <c r="K46" s="23"/>
      <c r="L46" s="23"/>
      <c r="M46" s="5"/>
      <c r="N46" s="23"/>
      <c r="O46" s="24"/>
      <c r="P46" s="23"/>
      <c r="Q46" s="24"/>
      <c r="R46" s="5"/>
      <c r="S46" s="5"/>
      <c r="T46" s="24"/>
      <c r="U46" s="24"/>
      <c r="V46" s="25"/>
      <c r="W46" s="5"/>
      <c r="X46" s="5"/>
      <c r="Y46" s="5"/>
      <c r="Z46" s="5"/>
    </row>
    <row r="47">
      <c r="A47" s="5"/>
      <c r="B47" s="17"/>
      <c r="C47" s="18"/>
      <c r="D47" s="19"/>
      <c r="E47" s="20"/>
      <c r="F47" s="21"/>
      <c r="G47" s="21"/>
      <c r="H47" s="21"/>
      <c r="I47" s="22"/>
      <c r="J47" s="20"/>
      <c r="K47" s="23"/>
      <c r="L47" s="23"/>
      <c r="M47" s="5"/>
      <c r="N47" s="23"/>
      <c r="O47" s="24"/>
      <c r="P47" s="23"/>
      <c r="Q47" s="24"/>
      <c r="R47" s="27"/>
      <c r="S47" s="5"/>
      <c r="T47" s="24"/>
      <c r="U47" s="24"/>
      <c r="V47" s="24"/>
      <c r="W47" s="25"/>
      <c r="X47" s="5"/>
      <c r="Y47" s="5"/>
      <c r="Z47" s="5"/>
    </row>
    <row r="48">
      <c r="A48" s="5"/>
      <c r="B48" s="17"/>
      <c r="C48" s="18"/>
      <c r="D48" s="19"/>
      <c r="E48" s="20"/>
      <c r="F48" s="21"/>
      <c r="G48" s="21"/>
      <c r="H48" s="21"/>
      <c r="I48" s="26"/>
      <c r="J48" s="20"/>
      <c r="K48" s="23"/>
      <c r="L48" s="23"/>
      <c r="M48" s="5"/>
      <c r="N48" s="23"/>
      <c r="O48" s="24"/>
      <c r="P48" s="23"/>
      <c r="Q48" s="24"/>
      <c r="R48" s="5"/>
      <c r="S48" s="5"/>
      <c r="T48" s="24"/>
      <c r="U48" s="24"/>
      <c r="V48" s="25"/>
      <c r="W48" s="28"/>
      <c r="X48" s="5"/>
      <c r="Y48" s="5"/>
      <c r="Z48" s="5"/>
    </row>
    <row r="49">
      <c r="A49" s="5"/>
      <c r="B49" s="17"/>
      <c r="C49" s="18"/>
      <c r="D49" s="19"/>
      <c r="E49" s="20"/>
      <c r="F49" s="21"/>
      <c r="G49" s="21"/>
      <c r="H49" s="21"/>
      <c r="I49" s="22"/>
      <c r="J49" s="20"/>
      <c r="K49" s="23"/>
      <c r="L49" s="23"/>
      <c r="M49" s="5"/>
      <c r="N49" s="23"/>
      <c r="O49" s="24"/>
      <c r="P49" s="23"/>
      <c r="Q49" s="24"/>
      <c r="R49" s="5"/>
      <c r="S49" s="5"/>
      <c r="T49" s="24"/>
      <c r="U49" s="24"/>
      <c r="V49" s="24"/>
      <c r="W49" s="27"/>
      <c r="X49" s="5"/>
      <c r="Y49" s="5"/>
      <c r="Z49" s="5"/>
    </row>
    <row r="50">
      <c r="A50" s="5"/>
      <c r="B50" s="17"/>
      <c r="C50" s="18"/>
      <c r="D50" s="19"/>
      <c r="E50" s="20"/>
      <c r="F50" s="21"/>
      <c r="G50" s="21"/>
      <c r="H50" s="21"/>
      <c r="I50" s="26"/>
      <c r="J50" s="30"/>
      <c r="K50" s="31"/>
      <c r="L50" s="23"/>
      <c r="M50" s="5"/>
      <c r="N50" s="23"/>
      <c r="O50" s="24"/>
      <c r="P50" s="23"/>
      <c r="Q50" s="24"/>
      <c r="R50" s="5"/>
      <c r="S50" s="5"/>
      <c r="T50" s="24"/>
      <c r="U50" s="24"/>
      <c r="V50" s="25"/>
      <c r="W50" s="28"/>
      <c r="X50" s="5"/>
      <c r="Y50" s="5"/>
      <c r="Z50" s="5"/>
    </row>
    <row r="51">
      <c r="A51" s="5"/>
      <c r="B51" s="17"/>
      <c r="C51" s="18"/>
      <c r="D51" s="19"/>
      <c r="E51" s="20"/>
      <c r="F51" s="21"/>
      <c r="G51" s="21"/>
      <c r="H51" s="21"/>
      <c r="I51" s="26"/>
      <c r="J51" s="20"/>
      <c r="K51" s="23"/>
      <c r="L51" s="23"/>
      <c r="M51" s="5"/>
      <c r="N51" s="23"/>
      <c r="O51" s="24"/>
      <c r="P51" s="23"/>
      <c r="Q51" s="24"/>
      <c r="R51" s="5"/>
      <c r="S51" s="5"/>
      <c r="T51" s="24"/>
      <c r="U51" s="24"/>
      <c r="V51" s="25"/>
      <c r="W51" s="29"/>
      <c r="X51" s="5"/>
      <c r="Y51" s="5"/>
      <c r="Z51" s="5"/>
    </row>
    <row r="52">
      <c r="A52" s="5"/>
      <c r="B52" s="17"/>
      <c r="C52" s="18"/>
      <c r="D52" s="19"/>
      <c r="E52" s="20"/>
      <c r="F52" s="21"/>
      <c r="G52" s="21"/>
      <c r="H52" s="21"/>
      <c r="I52" s="26"/>
      <c r="J52" s="30"/>
      <c r="K52" s="31"/>
      <c r="L52" s="23"/>
      <c r="M52" s="5"/>
      <c r="N52" s="23"/>
      <c r="O52" s="24"/>
      <c r="P52" s="23"/>
      <c r="Q52" s="24"/>
      <c r="R52" s="5"/>
      <c r="S52" s="5"/>
      <c r="T52" s="24"/>
      <c r="U52" s="24"/>
      <c r="V52" s="25"/>
      <c r="W52" s="5"/>
      <c r="X52" s="5"/>
      <c r="Y52" s="5"/>
      <c r="Z52" s="5"/>
    </row>
    <row r="53">
      <c r="A53" s="5"/>
      <c r="B53" s="17"/>
      <c r="C53" s="18"/>
      <c r="D53" s="19"/>
      <c r="E53" s="20"/>
      <c r="F53" s="21"/>
      <c r="G53" s="21"/>
      <c r="H53" s="21"/>
      <c r="I53" s="22"/>
      <c r="J53" s="20"/>
      <c r="K53" s="23"/>
      <c r="L53" s="23"/>
      <c r="M53" s="5"/>
      <c r="N53" s="23"/>
      <c r="O53" s="24"/>
      <c r="P53" s="23"/>
      <c r="Q53" s="24"/>
      <c r="R53" s="5"/>
      <c r="S53" s="5"/>
      <c r="T53" s="24"/>
      <c r="U53" s="24"/>
      <c r="V53" s="25"/>
      <c r="W53" s="5"/>
      <c r="X53" s="5"/>
      <c r="Y53" s="5"/>
      <c r="Z53" s="5"/>
    </row>
    <row r="54">
      <c r="A54" s="5"/>
      <c r="B54" s="17"/>
      <c r="C54" s="18"/>
      <c r="D54" s="19"/>
      <c r="E54" s="20"/>
      <c r="F54" s="21"/>
      <c r="G54" s="21"/>
      <c r="H54" s="21"/>
      <c r="I54" s="22"/>
      <c r="J54" s="20"/>
      <c r="K54" s="23"/>
      <c r="L54" s="23"/>
      <c r="M54" s="5"/>
      <c r="N54" s="5"/>
      <c r="O54" s="24"/>
      <c r="P54" s="23"/>
      <c r="Q54" s="24"/>
      <c r="R54" s="27"/>
      <c r="S54" s="5"/>
      <c r="T54" s="24"/>
      <c r="U54" s="24"/>
      <c r="V54" s="24"/>
      <c r="W54" s="27"/>
      <c r="X54" s="5"/>
      <c r="Y54" s="5"/>
      <c r="Z54" s="5"/>
    </row>
    <row r="55">
      <c r="A55" s="5"/>
      <c r="B55" s="17"/>
      <c r="C55" s="18"/>
      <c r="D55" s="19"/>
      <c r="E55" s="20"/>
      <c r="F55" s="21"/>
      <c r="G55" s="21"/>
      <c r="H55" s="21"/>
      <c r="I55" s="22"/>
      <c r="J55" s="20"/>
      <c r="K55" s="23"/>
      <c r="L55" s="23"/>
      <c r="M55" s="5"/>
      <c r="N55" s="23"/>
      <c r="O55" s="24"/>
      <c r="P55" s="23"/>
      <c r="Q55" s="24"/>
      <c r="R55" s="5"/>
      <c r="S55" s="5"/>
      <c r="T55" s="24"/>
      <c r="U55" s="24"/>
      <c r="V55" s="24"/>
      <c r="W55" s="5"/>
      <c r="X55" s="5"/>
      <c r="Y55" s="5"/>
      <c r="Z55" s="5"/>
    </row>
    <row r="56">
      <c r="A56" s="5"/>
      <c r="B56" s="17"/>
      <c r="C56" s="18"/>
      <c r="D56" s="19"/>
      <c r="E56" s="20"/>
      <c r="F56" s="21"/>
      <c r="G56" s="21"/>
      <c r="H56" s="21"/>
      <c r="I56" s="22"/>
      <c r="J56" s="20"/>
      <c r="K56" s="23"/>
      <c r="L56" s="23"/>
      <c r="M56" s="5"/>
      <c r="N56" s="5"/>
      <c r="O56" s="24"/>
      <c r="P56" s="23"/>
      <c r="Q56" s="24"/>
      <c r="R56" s="5"/>
      <c r="S56" s="5"/>
      <c r="T56" s="24"/>
      <c r="U56" s="24"/>
      <c r="V56" s="25"/>
      <c r="W56" s="5"/>
      <c r="X56" s="5"/>
      <c r="Y56" s="5"/>
      <c r="Z56" s="5"/>
    </row>
    <row r="57">
      <c r="A57" s="5"/>
      <c r="B57" s="17"/>
      <c r="C57" s="18"/>
      <c r="D57" s="19"/>
      <c r="E57" s="20"/>
      <c r="F57" s="21"/>
      <c r="G57" s="21"/>
      <c r="H57" s="21"/>
      <c r="I57" s="22"/>
      <c r="J57" s="20"/>
      <c r="K57" s="23"/>
      <c r="L57" s="23"/>
      <c r="M57" s="5"/>
      <c r="N57" s="23"/>
      <c r="O57" s="24"/>
      <c r="P57" s="23"/>
      <c r="Q57" s="24"/>
      <c r="R57" s="27"/>
      <c r="S57" s="5"/>
      <c r="T57" s="24"/>
      <c r="U57" s="24"/>
      <c r="V57" s="24"/>
      <c r="W57" s="25"/>
      <c r="X57" s="5"/>
      <c r="Y57" s="5"/>
      <c r="Z57" s="5"/>
    </row>
    <row r="58">
      <c r="A58" s="5"/>
      <c r="B58" s="17"/>
      <c r="C58" s="18"/>
      <c r="D58" s="19"/>
      <c r="E58" s="20"/>
      <c r="F58" s="21"/>
      <c r="G58" s="21"/>
      <c r="H58" s="21"/>
      <c r="I58" s="22"/>
      <c r="J58" s="20"/>
      <c r="K58" s="23"/>
      <c r="L58" s="23"/>
      <c r="M58" s="5"/>
      <c r="N58" s="23"/>
      <c r="O58" s="24"/>
      <c r="P58" s="23"/>
      <c r="Q58" s="24"/>
      <c r="R58" s="5"/>
      <c r="S58" s="5"/>
      <c r="T58" s="24"/>
      <c r="U58" s="24"/>
      <c r="V58" s="24"/>
      <c r="W58" s="5"/>
      <c r="X58" s="5"/>
      <c r="Y58" s="5"/>
      <c r="Z58" s="5"/>
    </row>
    <row r="59">
      <c r="A59" s="5"/>
      <c r="B59" s="17"/>
      <c r="C59" s="18"/>
      <c r="D59" s="19"/>
      <c r="E59" s="20"/>
      <c r="F59" s="21"/>
      <c r="G59" s="21"/>
      <c r="H59" s="21"/>
      <c r="I59" s="22"/>
      <c r="J59" s="20"/>
      <c r="K59" s="23"/>
      <c r="L59" s="23"/>
      <c r="M59" s="5"/>
      <c r="N59" s="23"/>
      <c r="O59" s="24"/>
      <c r="P59" s="23"/>
      <c r="Q59" s="24"/>
      <c r="R59" s="5"/>
      <c r="S59" s="5"/>
      <c r="T59" s="24"/>
      <c r="U59" s="24"/>
      <c r="V59" s="24"/>
      <c r="W59" s="27"/>
      <c r="X59" s="5"/>
      <c r="Y59" s="5"/>
      <c r="Z59" s="5"/>
    </row>
    <row r="60">
      <c r="A60" s="5"/>
      <c r="B60" s="17"/>
      <c r="C60" s="18"/>
      <c r="D60" s="19"/>
      <c r="E60" s="20"/>
      <c r="F60" s="21"/>
      <c r="G60" s="21"/>
      <c r="H60" s="21"/>
      <c r="I60" s="26"/>
      <c r="J60" s="30"/>
      <c r="K60" s="31"/>
      <c r="L60" s="23"/>
      <c r="M60" s="5"/>
      <c r="N60" s="5"/>
      <c r="O60" s="24"/>
      <c r="P60" s="23"/>
      <c r="Q60" s="24"/>
      <c r="R60" s="27"/>
      <c r="S60" s="5"/>
      <c r="T60" s="24"/>
      <c r="U60" s="24"/>
      <c r="V60" s="24"/>
      <c r="W60" s="27"/>
      <c r="X60" s="5"/>
      <c r="Y60" s="5"/>
      <c r="Z60" s="5"/>
    </row>
    <row r="61">
      <c r="A61" s="5"/>
      <c r="B61" s="17"/>
      <c r="C61" s="18"/>
      <c r="D61" s="19"/>
      <c r="E61" s="20"/>
      <c r="F61" s="21"/>
      <c r="G61" s="21"/>
      <c r="H61" s="21"/>
      <c r="I61" s="22"/>
      <c r="J61" s="20"/>
      <c r="K61" s="23"/>
      <c r="L61" s="23"/>
      <c r="M61" s="5"/>
      <c r="N61" s="23"/>
      <c r="O61" s="24"/>
      <c r="P61" s="23"/>
      <c r="Q61" s="24"/>
      <c r="R61" s="5"/>
      <c r="S61" s="5"/>
      <c r="T61" s="24"/>
      <c r="U61" s="24"/>
      <c r="V61" s="24"/>
      <c r="W61" s="27"/>
      <c r="X61" s="5"/>
      <c r="Y61" s="5"/>
      <c r="Z61" s="5"/>
    </row>
    <row r="62">
      <c r="A62" s="5"/>
      <c r="B62" s="17"/>
      <c r="C62" s="18"/>
      <c r="D62" s="19"/>
      <c r="E62" s="20"/>
      <c r="F62" s="21"/>
      <c r="G62" s="21"/>
      <c r="H62" s="21"/>
      <c r="I62" s="26"/>
      <c r="J62" s="20"/>
      <c r="K62" s="23"/>
      <c r="L62" s="23"/>
      <c r="M62" s="5"/>
      <c r="N62" s="23"/>
      <c r="O62" s="24"/>
      <c r="P62" s="23"/>
      <c r="Q62" s="24"/>
      <c r="R62" s="5"/>
      <c r="S62" s="5"/>
      <c r="T62" s="24"/>
      <c r="U62" s="24"/>
      <c r="V62" s="25"/>
      <c r="W62" s="28"/>
      <c r="X62" s="5"/>
      <c r="Y62" s="5"/>
      <c r="Z62" s="5"/>
    </row>
    <row r="63">
      <c r="A63" s="5"/>
      <c r="B63" s="17"/>
      <c r="C63" s="18"/>
      <c r="D63" s="19"/>
      <c r="E63" s="20"/>
      <c r="F63" s="21"/>
      <c r="G63" s="21"/>
      <c r="H63" s="21"/>
      <c r="I63" s="22"/>
      <c r="J63" s="20"/>
      <c r="K63" s="23"/>
      <c r="L63" s="23"/>
      <c r="M63" s="5"/>
      <c r="N63" s="23"/>
      <c r="O63" s="24"/>
      <c r="P63" s="23"/>
      <c r="Q63" s="24"/>
      <c r="R63" s="5"/>
      <c r="S63" s="5"/>
      <c r="T63" s="24"/>
      <c r="U63" s="24"/>
      <c r="V63" s="24"/>
      <c r="W63" s="24"/>
      <c r="X63" s="5"/>
      <c r="Y63" s="5"/>
      <c r="Z63" s="5"/>
    </row>
    <row r="64">
      <c r="A64" s="5"/>
      <c r="B64" s="17"/>
      <c r="C64" s="18"/>
      <c r="D64" s="19"/>
      <c r="E64" s="20"/>
      <c r="F64" s="21"/>
      <c r="G64" s="21"/>
      <c r="H64" s="21"/>
      <c r="I64" s="22"/>
      <c r="J64" s="20"/>
      <c r="K64" s="23"/>
      <c r="L64" s="23"/>
      <c r="M64" s="5"/>
      <c r="N64" s="23"/>
      <c r="O64" s="24"/>
      <c r="P64" s="23"/>
      <c r="Q64" s="24"/>
      <c r="R64" s="24"/>
      <c r="S64" s="5"/>
      <c r="T64" s="24"/>
      <c r="U64" s="24"/>
      <c r="V64" s="24"/>
      <c r="W64" s="24"/>
      <c r="X64" s="5"/>
      <c r="Y64" s="5"/>
      <c r="Z64" s="5"/>
    </row>
    <row r="65">
      <c r="A65" s="5"/>
      <c r="B65" s="17"/>
      <c r="C65" s="18"/>
      <c r="D65" s="19"/>
      <c r="E65" s="20"/>
      <c r="F65" s="21"/>
      <c r="G65" s="21"/>
      <c r="H65" s="21"/>
      <c r="I65" s="22"/>
      <c r="J65" s="20"/>
      <c r="K65" s="23"/>
      <c r="L65" s="23"/>
      <c r="M65" s="5"/>
      <c r="N65" s="23"/>
      <c r="O65" s="24"/>
      <c r="P65" s="23"/>
      <c r="Q65" s="24"/>
      <c r="R65" s="5"/>
      <c r="S65" s="5"/>
      <c r="T65" s="24"/>
      <c r="U65" s="24"/>
      <c r="V65" s="24"/>
      <c r="W65" s="27"/>
      <c r="X65" s="5"/>
      <c r="Y65" s="5"/>
      <c r="Z65" s="5"/>
    </row>
    <row r="66">
      <c r="A66" s="5"/>
      <c r="B66" s="17"/>
      <c r="C66" s="18"/>
      <c r="D66" s="19"/>
      <c r="E66" s="20"/>
      <c r="F66" s="21"/>
      <c r="G66" s="21"/>
      <c r="H66" s="21"/>
      <c r="I66" s="22"/>
      <c r="J66" s="20"/>
      <c r="K66" s="23"/>
      <c r="L66" s="23"/>
      <c r="M66" s="5"/>
      <c r="N66" s="5"/>
      <c r="O66" s="24"/>
      <c r="P66" s="23"/>
      <c r="Q66" s="24"/>
      <c r="R66" s="5"/>
      <c r="S66" s="5"/>
      <c r="T66" s="24"/>
      <c r="U66" s="24"/>
      <c r="V66" s="24"/>
      <c r="W66" s="5"/>
      <c r="X66" s="5"/>
      <c r="Y66" s="5"/>
      <c r="Z66" s="5"/>
    </row>
    <row r="67">
      <c r="A67" s="5"/>
      <c r="B67" s="17"/>
      <c r="C67" s="18"/>
      <c r="D67" s="19"/>
      <c r="E67" s="20"/>
      <c r="F67" s="21"/>
      <c r="G67" s="21"/>
      <c r="H67" s="21"/>
      <c r="I67" s="22"/>
      <c r="J67" s="20"/>
      <c r="K67" s="23"/>
      <c r="L67" s="23"/>
      <c r="M67" s="5"/>
      <c r="N67" s="23"/>
      <c r="O67" s="24"/>
      <c r="P67" s="23"/>
      <c r="Q67" s="24"/>
      <c r="R67" s="5"/>
      <c r="S67" s="5"/>
      <c r="T67" s="24"/>
      <c r="U67" s="24"/>
      <c r="V67" s="24"/>
      <c r="W67" s="5"/>
      <c r="X67" s="5"/>
      <c r="Y67" s="5"/>
      <c r="Z67" s="5"/>
    </row>
    <row r="68">
      <c r="A68" s="5"/>
      <c r="B68" s="17"/>
      <c r="C68" s="18"/>
      <c r="D68" s="19"/>
      <c r="E68" s="20"/>
      <c r="F68" s="21"/>
      <c r="G68" s="21"/>
      <c r="H68" s="21"/>
      <c r="I68" s="22"/>
      <c r="J68" s="20"/>
      <c r="K68" s="23"/>
      <c r="L68" s="23"/>
      <c r="M68" s="5"/>
      <c r="N68" s="23"/>
      <c r="O68" s="24"/>
      <c r="P68" s="23"/>
      <c r="Q68" s="24"/>
      <c r="R68" s="5"/>
      <c r="S68" s="5"/>
      <c r="T68" s="24"/>
      <c r="U68" s="24"/>
      <c r="V68" s="24"/>
      <c r="W68" s="5"/>
      <c r="X68" s="5"/>
      <c r="Y68" s="5"/>
      <c r="Z68" s="5"/>
    </row>
    <row r="69">
      <c r="A69" s="5"/>
      <c r="B69" s="17"/>
      <c r="C69" s="18"/>
      <c r="D69" s="19"/>
      <c r="E69" s="20"/>
      <c r="F69" s="21"/>
      <c r="G69" s="21"/>
      <c r="H69" s="21"/>
      <c r="I69" s="22"/>
      <c r="J69" s="20"/>
      <c r="K69" s="23"/>
      <c r="L69" s="23"/>
      <c r="M69" s="5"/>
      <c r="N69" s="5"/>
      <c r="O69" s="24"/>
      <c r="P69" s="23"/>
      <c r="Q69" s="24"/>
      <c r="R69" s="5"/>
      <c r="S69" s="5"/>
      <c r="T69" s="24"/>
      <c r="U69" s="24"/>
      <c r="V69" s="24"/>
      <c r="W69" s="5"/>
      <c r="X69" s="5"/>
      <c r="Y69" s="5"/>
      <c r="Z69" s="5"/>
    </row>
    <row r="70">
      <c r="A70" s="5"/>
      <c r="B70" s="17"/>
      <c r="C70" s="18"/>
      <c r="D70" s="19"/>
      <c r="E70" s="20"/>
      <c r="F70" s="21"/>
      <c r="G70" s="21"/>
      <c r="H70" s="21"/>
      <c r="I70" s="22"/>
      <c r="J70" s="20"/>
      <c r="K70" s="23"/>
      <c r="L70" s="23"/>
      <c r="M70" s="5"/>
      <c r="N70" s="23"/>
      <c r="O70" s="24"/>
      <c r="P70" s="23"/>
      <c r="Q70" s="24"/>
      <c r="R70" s="5"/>
      <c r="S70" s="5"/>
      <c r="T70" s="24"/>
      <c r="U70" s="24"/>
      <c r="V70" s="25"/>
      <c r="W70" s="24"/>
      <c r="X70" s="5"/>
      <c r="Y70" s="5"/>
      <c r="Z70" s="5"/>
    </row>
    <row r="71">
      <c r="A71" s="5"/>
      <c r="B71" s="17"/>
      <c r="C71" s="18"/>
      <c r="D71" s="19"/>
      <c r="E71" s="20"/>
      <c r="F71" s="21"/>
      <c r="G71" s="21"/>
      <c r="H71" s="21"/>
      <c r="I71" s="22"/>
      <c r="J71" s="20"/>
      <c r="K71" s="23"/>
      <c r="L71" s="23"/>
      <c r="M71" s="5"/>
      <c r="N71" s="23"/>
      <c r="O71" s="24"/>
      <c r="P71" s="23"/>
      <c r="Q71" s="24"/>
      <c r="R71" s="5"/>
      <c r="S71" s="5"/>
      <c r="T71" s="24"/>
      <c r="U71" s="24"/>
      <c r="V71" s="25"/>
      <c r="W71" s="28"/>
      <c r="X71" s="5"/>
      <c r="Y71" s="5"/>
      <c r="Z71" s="5"/>
    </row>
    <row r="72">
      <c r="A72" s="5"/>
      <c r="B72" s="17"/>
      <c r="C72" s="18"/>
      <c r="D72" s="19"/>
      <c r="E72" s="20"/>
      <c r="F72" s="21"/>
      <c r="G72" s="21"/>
      <c r="H72" s="21"/>
      <c r="I72" s="22"/>
      <c r="J72" s="20"/>
      <c r="K72" s="23"/>
      <c r="L72" s="23"/>
      <c r="M72" s="5"/>
      <c r="N72" s="23"/>
      <c r="O72" s="24"/>
      <c r="P72" s="23"/>
      <c r="Q72" s="24"/>
      <c r="R72" s="5"/>
      <c r="S72" s="5"/>
      <c r="T72" s="24"/>
      <c r="U72" s="24"/>
      <c r="V72" s="25"/>
      <c r="W72" s="28"/>
      <c r="X72" s="5"/>
      <c r="Y72" s="5"/>
      <c r="Z72" s="5"/>
    </row>
    <row r="73">
      <c r="A73" s="5"/>
      <c r="B73" s="17"/>
      <c r="C73" s="18"/>
      <c r="D73" s="19"/>
      <c r="E73" s="20"/>
      <c r="F73" s="21"/>
      <c r="G73" s="21"/>
      <c r="H73" s="21"/>
      <c r="I73" s="22"/>
      <c r="J73" s="20"/>
      <c r="K73" s="23"/>
      <c r="L73" s="23"/>
      <c r="M73" s="5"/>
      <c r="N73" s="23"/>
      <c r="O73" s="24"/>
      <c r="P73" s="23"/>
      <c r="Q73" s="24"/>
      <c r="R73" s="24"/>
      <c r="S73" s="5"/>
      <c r="T73" s="24"/>
      <c r="U73" s="24"/>
      <c r="V73" s="24"/>
      <c r="W73" s="24"/>
      <c r="X73" s="5"/>
      <c r="Y73" s="5"/>
      <c r="Z73" s="5"/>
    </row>
    <row r="74">
      <c r="A74" s="5"/>
      <c r="B74" s="17"/>
      <c r="C74" s="18"/>
      <c r="D74" s="19"/>
      <c r="E74" s="20"/>
      <c r="F74" s="21"/>
      <c r="G74" s="21"/>
      <c r="H74" s="21"/>
      <c r="I74" s="22"/>
      <c r="J74" s="20"/>
      <c r="K74" s="23"/>
      <c r="L74" s="23"/>
      <c r="M74" s="5"/>
      <c r="N74" s="23"/>
      <c r="O74" s="24"/>
      <c r="P74" s="23"/>
      <c r="Q74" s="24"/>
      <c r="R74" s="24"/>
      <c r="S74" s="5"/>
      <c r="T74" s="24"/>
      <c r="U74" s="24"/>
      <c r="V74" s="25"/>
      <c r="W74" s="24"/>
      <c r="X74" s="5"/>
      <c r="Y74" s="5"/>
      <c r="Z74" s="5"/>
    </row>
    <row r="75">
      <c r="A75" s="5"/>
      <c r="B75" s="17"/>
      <c r="C75" s="18"/>
      <c r="D75" s="19"/>
      <c r="E75" s="20"/>
      <c r="F75" s="21"/>
      <c r="G75" s="21"/>
      <c r="H75" s="21"/>
      <c r="I75" s="22"/>
      <c r="J75" s="20"/>
      <c r="K75" s="23"/>
      <c r="L75" s="23"/>
      <c r="M75" s="5"/>
      <c r="N75" s="5"/>
      <c r="O75" s="24"/>
      <c r="P75" s="23"/>
      <c r="Q75" s="24"/>
      <c r="R75" s="27"/>
      <c r="S75" s="5"/>
      <c r="T75" s="24"/>
      <c r="U75" s="24"/>
      <c r="V75" s="24"/>
      <c r="W75" s="27"/>
      <c r="X75" s="5"/>
      <c r="Y75" s="5"/>
      <c r="Z75" s="5"/>
    </row>
    <row r="76">
      <c r="A76" s="5"/>
      <c r="B76" s="17"/>
      <c r="C76" s="18"/>
      <c r="D76" s="19"/>
      <c r="E76" s="20"/>
      <c r="F76" s="21"/>
      <c r="G76" s="21"/>
      <c r="H76" s="21"/>
      <c r="I76" s="26"/>
      <c r="J76" s="30"/>
      <c r="K76" s="31"/>
      <c r="L76" s="23"/>
      <c r="M76" s="5"/>
      <c r="N76" s="23"/>
      <c r="O76" s="24"/>
      <c r="P76" s="23"/>
      <c r="Q76" s="24"/>
      <c r="R76" s="5"/>
      <c r="S76" s="5"/>
      <c r="T76" s="24"/>
      <c r="U76" s="24"/>
      <c r="V76" s="24"/>
      <c r="W76" s="27"/>
      <c r="X76" s="5"/>
      <c r="Y76" s="5"/>
      <c r="Z76" s="5"/>
    </row>
    <row r="77">
      <c r="A77" s="5"/>
      <c r="B77" s="17"/>
      <c r="C77" s="18"/>
      <c r="D77" s="19"/>
      <c r="E77" s="20"/>
      <c r="F77" s="21"/>
      <c r="G77" s="21"/>
      <c r="H77" s="21"/>
      <c r="I77" s="22"/>
      <c r="J77" s="20"/>
      <c r="K77" s="23"/>
      <c r="L77" s="23"/>
      <c r="M77" s="5"/>
      <c r="N77" s="23"/>
      <c r="O77" s="24"/>
      <c r="P77" s="23"/>
      <c r="Q77" s="24"/>
      <c r="R77" s="5"/>
      <c r="S77" s="5"/>
      <c r="T77" s="24"/>
      <c r="U77" s="24"/>
      <c r="V77" s="24"/>
      <c r="W77" s="27"/>
      <c r="X77" s="5"/>
      <c r="Y77" s="5"/>
      <c r="Z77" s="5"/>
    </row>
    <row r="78">
      <c r="A78" s="5"/>
      <c r="B78" s="17"/>
      <c r="C78" s="18"/>
      <c r="D78" s="19"/>
      <c r="E78" s="20"/>
      <c r="F78" s="21"/>
      <c r="G78" s="21"/>
      <c r="H78" s="21"/>
      <c r="I78" s="22"/>
      <c r="J78" s="20"/>
      <c r="K78" s="23"/>
      <c r="L78" s="23"/>
      <c r="M78" s="5"/>
      <c r="N78" s="23"/>
      <c r="O78" s="24"/>
      <c r="P78" s="23"/>
      <c r="Q78" s="24"/>
      <c r="R78" s="27"/>
      <c r="S78" s="5"/>
      <c r="T78" s="24"/>
      <c r="U78" s="24"/>
      <c r="V78" s="24"/>
      <c r="W78" s="27"/>
      <c r="X78" s="5"/>
      <c r="Y78" s="5"/>
      <c r="Z78" s="5"/>
    </row>
    <row r="79">
      <c r="A79" s="5"/>
      <c r="B79" s="17"/>
      <c r="C79" s="18"/>
      <c r="D79" s="19"/>
      <c r="E79" s="20"/>
      <c r="F79" s="21"/>
      <c r="G79" s="21"/>
      <c r="H79" s="21"/>
      <c r="I79" s="22"/>
      <c r="J79" s="20"/>
      <c r="K79" s="23"/>
      <c r="L79" s="23"/>
      <c r="M79" s="5"/>
      <c r="N79" s="23"/>
      <c r="O79" s="24"/>
      <c r="P79" s="23"/>
      <c r="Q79" s="24"/>
      <c r="R79" s="5"/>
      <c r="S79" s="5"/>
      <c r="T79" s="24"/>
      <c r="U79" s="24"/>
      <c r="V79" s="25"/>
      <c r="W79" s="24"/>
      <c r="X79" s="5"/>
      <c r="Y79" s="5"/>
      <c r="Z79" s="5"/>
    </row>
    <row r="80">
      <c r="A80" s="5"/>
      <c r="B80" s="17"/>
      <c r="C80" s="18"/>
      <c r="D80" s="19"/>
      <c r="E80" s="20"/>
      <c r="F80" s="21"/>
      <c r="G80" s="21"/>
      <c r="H80" s="21"/>
      <c r="I80" s="22"/>
      <c r="J80" s="20"/>
      <c r="K80" s="23"/>
      <c r="L80" s="23"/>
      <c r="M80" s="5"/>
      <c r="N80" s="23"/>
      <c r="O80" s="24"/>
      <c r="P80" s="23"/>
      <c r="Q80" s="24"/>
      <c r="R80" s="5"/>
      <c r="S80" s="5"/>
      <c r="T80" s="24"/>
      <c r="U80" s="24"/>
      <c r="V80" s="24"/>
      <c r="W80" s="24"/>
      <c r="X80" s="5"/>
      <c r="Y80" s="5"/>
      <c r="Z80" s="5"/>
    </row>
    <row r="81">
      <c r="A81" s="5"/>
      <c r="B81" s="17"/>
      <c r="C81" s="18"/>
      <c r="D81" s="19"/>
      <c r="E81" s="20"/>
      <c r="F81" s="21"/>
      <c r="G81" s="21"/>
      <c r="H81" s="21"/>
      <c r="I81" s="22"/>
      <c r="J81" s="20"/>
      <c r="K81" s="23"/>
      <c r="L81" s="23"/>
      <c r="M81" s="5"/>
      <c r="N81" s="5"/>
      <c r="O81" s="24"/>
      <c r="P81" s="23"/>
      <c r="Q81" s="24"/>
      <c r="R81" s="5"/>
      <c r="S81" s="5"/>
      <c r="T81" s="24"/>
      <c r="U81" s="24"/>
      <c r="V81" s="24"/>
      <c r="W81" s="27"/>
      <c r="X81" s="5"/>
      <c r="Y81" s="5"/>
      <c r="Z81" s="5"/>
    </row>
    <row r="82">
      <c r="A82" s="5"/>
      <c r="B82" s="17"/>
      <c r="C82" s="18"/>
      <c r="D82" s="19"/>
      <c r="E82" s="20"/>
      <c r="F82" s="21"/>
      <c r="G82" s="21"/>
      <c r="H82" s="21"/>
      <c r="I82" s="26"/>
      <c r="J82" s="20"/>
      <c r="K82" s="23"/>
      <c r="L82" s="23"/>
      <c r="M82" s="5"/>
      <c r="N82" s="23"/>
      <c r="O82" s="24"/>
      <c r="P82" s="23"/>
      <c r="Q82" s="24"/>
      <c r="R82" s="25"/>
      <c r="S82" s="5"/>
      <c r="T82" s="24"/>
      <c r="U82" s="24"/>
      <c r="V82" s="24"/>
      <c r="W82" s="27"/>
      <c r="X82" s="5"/>
      <c r="Y82" s="5"/>
      <c r="Z82" s="5"/>
    </row>
    <row r="83">
      <c r="A83" s="5"/>
      <c r="B83" s="17"/>
      <c r="C83" s="18"/>
      <c r="D83" s="19"/>
      <c r="E83" s="20"/>
      <c r="F83" s="21"/>
      <c r="G83" s="21"/>
      <c r="H83" s="21"/>
      <c r="I83" s="22"/>
      <c r="J83" s="20"/>
      <c r="K83" s="23"/>
      <c r="L83" s="23"/>
      <c r="M83" s="5"/>
      <c r="N83" s="23"/>
      <c r="O83" s="24"/>
      <c r="P83" s="23"/>
      <c r="Q83" s="24"/>
      <c r="R83" s="24"/>
      <c r="S83" s="5"/>
      <c r="T83" s="24"/>
      <c r="U83" s="24"/>
      <c r="V83" s="24"/>
      <c r="W83" s="24"/>
      <c r="X83" s="5"/>
      <c r="Y83" s="5"/>
      <c r="Z83" s="5"/>
    </row>
    <row r="84">
      <c r="A84" s="5"/>
      <c r="B84" s="17"/>
      <c r="C84" s="18"/>
      <c r="D84" s="19"/>
      <c r="E84" s="20"/>
      <c r="F84" s="21"/>
      <c r="G84" s="21"/>
      <c r="H84" s="21"/>
      <c r="I84" s="22"/>
      <c r="J84" s="20"/>
      <c r="K84" s="23"/>
      <c r="L84" s="23"/>
      <c r="M84" s="5"/>
      <c r="N84" s="23"/>
      <c r="O84" s="24"/>
      <c r="P84" s="23"/>
      <c r="Q84" s="24"/>
      <c r="R84" s="24"/>
      <c r="S84" s="5"/>
      <c r="T84" s="24"/>
      <c r="U84" s="24"/>
      <c r="V84" s="25"/>
      <c r="W84" s="24"/>
      <c r="X84" s="5"/>
      <c r="Y84" s="5"/>
      <c r="Z84" s="5"/>
    </row>
    <row r="85">
      <c r="A85" s="5"/>
      <c r="B85" s="17"/>
      <c r="C85" s="18"/>
      <c r="D85" s="19"/>
      <c r="E85" s="20"/>
      <c r="F85" s="21"/>
      <c r="G85" s="21"/>
      <c r="H85" s="21"/>
      <c r="I85" s="22"/>
      <c r="J85" s="20"/>
      <c r="K85" s="23"/>
      <c r="L85" s="23"/>
      <c r="M85" s="5"/>
      <c r="N85" s="23"/>
      <c r="O85" s="24"/>
      <c r="P85" s="23"/>
      <c r="Q85" s="24"/>
      <c r="R85" s="25"/>
      <c r="S85" s="5"/>
      <c r="T85" s="24"/>
      <c r="U85" s="24"/>
      <c r="V85" s="24"/>
      <c r="W85" s="25"/>
      <c r="X85" s="5"/>
      <c r="Y85" s="5"/>
      <c r="Z85" s="5"/>
    </row>
    <row r="86">
      <c r="A86" s="5"/>
      <c r="B86" s="17"/>
      <c r="C86" s="18"/>
      <c r="D86" s="19"/>
      <c r="E86" s="20"/>
      <c r="F86" s="21"/>
      <c r="G86" s="21"/>
      <c r="H86" s="21"/>
      <c r="I86" s="22"/>
      <c r="J86" s="20"/>
      <c r="K86" s="23"/>
      <c r="L86" s="23"/>
      <c r="M86" s="5"/>
      <c r="N86" s="23"/>
      <c r="O86" s="24"/>
      <c r="P86" s="23"/>
      <c r="Q86" s="24"/>
      <c r="R86" s="25"/>
      <c r="S86" s="5"/>
      <c r="T86" s="24"/>
      <c r="U86" s="24"/>
      <c r="V86" s="24"/>
      <c r="W86" s="25"/>
      <c r="X86" s="5"/>
      <c r="Y86" s="5"/>
      <c r="Z86" s="5"/>
    </row>
    <row r="87">
      <c r="A87" s="5"/>
      <c r="B87" s="17"/>
      <c r="C87" s="18"/>
      <c r="D87" s="19"/>
      <c r="E87" s="20"/>
      <c r="F87" s="21"/>
      <c r="G87" s="21"/>
      <c r="H87" s="21"/>
      <c r="I87" s="22"/>
      <c r="J87" s="20"/>
      <c r="K87" s="23"/>
      <c r="L87" s="23"/>
      <c r="M87" s="5"/>
      <c r="N87" s="23"/>
      <c r="O87" s="24"/>
      <c r="P87" s="23"/>
      <c r="Q87" s="24"/>
      <c r="R87" s="5"/>
      <c r="S87" s="5"/>
      <c r="T87" s="24"/>
      <c r="U87" s="24"/>
      <c r="V87" s="24"/>
      <c r="W87" s="24"/>
      <c r="X87" s="5"/>
      <c r="Y87" s="5"/>
      <c r="Z87" s="5"/>
    </row>
    <row r="88">
      <c r="A88" s="5"/>
      <c r="B88" s="17"/>
      <c r="C88" s="18"/>
      <c r="D88" s="19"/>
      <c r="E88" s="20"/>
      <c r="F88" s="21"/>
      <c r="G88" s="21"/>
      <c r="H88" s="21"/>
      <c r="I88" s="22"/>
      <c r="J88" s="20"/>
      <c r="K88" s="23"/>
      <c r="L88" s="23"/>
      <c r="M88" s="5"/>
      <c r="N88" s="23"/>
      <c r="O88" s="24"/>
      <c r="P88" s="23"/>
      <c r="Q88" s="24"/>
      <c r="R88" s="25"/>
      <c r="S88" s="5"/>
      <c r="T88" s="24"/>
      <c r="U88" s="24"/>
      <c r="V88" s="24"/>
      <c r="W88" s="25"/>
      <c r="X88" s="5"/>
      <c r="Y88" s="5"/>
      <c r="Z88" s="5"/>
    </row>
    <row r="89">
      <c r="A89" s="5"/>
      <c r="B89" s="17"/>
      <c r="C89" s="18"/>
      <c r="D89" s="19"/>
      <c r="E89" s="20"/>
      <c r="F89" s="21"/>
      <c r="G89" s="21"/>
      <c r="H89" s="21"/>
      <c r="I89" s="22"/>
      <c r="J89" s="20"/>
      <c r="K89" s="23"/>
      <c r="L89" s="23"/>
      <c r="M89" s="5"/>
      <c r="N89" s="23"/>
      <c r="O89" s="24"/>
      <c r="P89" s="23"/>
      <c r="Q89" s="24"/>
      <c r="R89" s="25"/>
      <c r="S89" s="5"/>
      <c r="T89" s="24"/>
      <c r="U89" s="24"/>
      <c r="V89" s="24"/>
      <c r="W89" s="25"/>
      <c r="X89" s="5"/>
      <c r="Y89" s="5"/>
      <c r="Z89" s="5"/>
    </row>
    <row r="90">
      <c r="A90" s="5"/>
      <c r="B90" s="17"/>
      <c r="C90" s="18"/>
      <c r="D90" s="19"/>
      <c r="E90" s="20"/>
      <c r="F90" s="21"/>
      <c r="G90" s="21"/>
      <c r="H90" s="21"/>
      <c r="I90" s="22"/>
      <c r="J90" s="20"/>
      <c r="K90" s="23"/>
      <c r="L90" s="23"/>
      <c r="M90" s="5"/>
      <c r="N90" s="23"/>
      <c r="O90" s="24"/>
      <c r="P90" s="23"/>
      <c r="Q90" s="24"/>
      <c r="R90" s="24"/>
      <c r="S90" s="5"/>
      <c r="T90" s="24"/>
      <c r="U90" s="24"/>
      <c r="V90" s="25"/>
      <c r="W90" s="24"/>
      <c r="X90" s="5"/>
      <c r="Y90" s="5"/>
      <c r="Z90" s="5"/>
    </row>
    <row r="91">
      <c r="A91" s="5"/>
      <c r="B91" s="17"/>
      <c r="C91" s="18"/>
      <c r="D91" s="19"/>
      <c r="E91" s="20"/>
      <c r="F91" s="21"/>
      <c r="G91" s="21"/>
      <c r="H91" s="21"/>
      <c r="I91" s="22"/>
      <c r="J91" s="20"/>
      <c r="K91" s="23"/>
      <c r="L91" s="23"/>
      <c r="M91" s="5"/>
      <c r="N91" s="23"/>
      <c r="O91" s="24"/>
      <c r="P91" s="23"/>
      <c r="Q91" s="24"/>
      <c r="R91" s="24"/>
      <c r="S91" s="5"/>
      <c r="T91" s="24"/>
      <c r="U91" s="24"/>
      <c r="V91" s="24"/>
      <c r="W91" s="24"/>
      <c r="X91" s="5"/>
      <c r="Y91" s="5"/>
      <c r="Z91" s="5"/>
    </row>
    <row r="92">
      <c r="A92" s="5"/>
      <c r="B92" s="17"/>
      <c r="C92" s="18"/>
      <c r="D92" s="19"/>
      <c r="E92" s="20"/>
      <c r="F92" s="21"/>
      <c r="G92" s="21"/>
      <c r="H92" s="21"/>
      <c r="I92" s="22"/>
      <c r="J92" s="20"/>
      <c r="K92" s="23"/>
      <c r="L92" s="23"/>
      <c r="M92" s="5"/>
      <c r="N92" s="5"/>
      <c r="O92" s="24"/>
      <c r="P92" s="23"/>
      <c r="Q92" s="24"/>
      <c r="R92" s="5"/>
      <c r="S92" s="5"/>
      <c r="T92" s="24"/>
      <c r="U92" s="24"/>
      <c r="V92" s="24"/>
      <c r="W92" s="25"/>
      <c r="X92" s="5"/>
      <c r="Y92" s="5"/>
      <c r="Z92" s="5"/>
    </row>
    <row r="93">
      <c r="A93" s="5"/>
      <c r="B93" s="17"/>
      <c r="C93" s="18"/>
      <c r="D93" s="19"/>
      <c r="E93" s="20"/>
      <c r="F93" s="21"/>
      <c r="G93" s="21"/>
      <c r="H93" s="21"/>
      <c r="I93" s="22"/>
      <c r="J93" s="20"/>
      <c r="K93" s="23"/>
      <c r="L93" s="23"/>
      <c r="M93" s="5"/>
      <c r="N93" s="23"/>
      <c r="O93" s="24"/>
      <c r="P93" s="23"/>
      <c r="Q93" s="24"/>
      <c r="R93" s="24"/>
      <c r="S93" s="5"/>
      <c r="T93" s="24"/>
      <c r="U93" s="24"/>
      <c r="V93" s="24"/>
      <c r="W93" s="24"/>
      <c r="X93" s="5"/>
      <c r="Y93" s="5"/>
      <c r="Z93" s="5"/>
    </row>
    <row r="94">
      <c r="A94" s="5"/>
      <c r="B94" s="17"/>
      <c r="C94" s="18"/>
      <c r="D94" s="19"/>
      <c r="E94" s="20"/>
      <c r="F94" s="21"/>
      <c r="G94" s="21"/>
      <c r="H94" s="21"/>
      <c r="I94" s="22"/>
      <c r="J94" s="20"/>
      <c r="K94" s="23"/>
      <c r="L94" s="23"/>
      <c r="M94" s="5"/>
      <c r="N94" s="23"/>
      <c r="O94" s="24"/>
      <c r="P94" s="23"/>
      <c r="Q94" s="24"/>
      <c r="R94" s="24"/>
      <c r="S94" s="5"/>
      <c r="T94" s="24"/>
      <c r="U94" s="24"/>
      <c r="V94" s="24"/>
      <c r="W94" s="24"/>
      <c r="X94" s="5"/>
      <c r="Y94" s="5"/>
      <c r="Z94" s="5"/>
    </row>
    <row r="95">
      <c r="A95" s="5"/>
      <c r="B95" s="17"/>
      <c r="C95" s="18"/>
      <c r="D95" s="19"/>
      <c r="E95" s="20"/>
      <c r="F95" s="21"/>
      <c r="G95" s="21"/>
      <c r="H95" s="21"/>
      <c r="I95" s="22"/>
      <c r="J95" s="20"/>
      <c r="K95" s="23"/>
      <c r="L95" s="23"/>
      <c r="M95" s="5"/>
      <c r="N95" s="23"/>
      <c r="O95" s="24"/>
      <c r="P95" s="23"/>
      <c r="Q95" s="24"/>
      <c r="R95" s="5"/>
      <c r="S95" s="5"/>
      <c r="T95" s="24"/>
      <c r="U95" s="24"/>
      <c r="V95" s="24"/>
      <c r="W95" s="27"/>
      <c r="X95" s="5"/>
      <c r="Y95" s="5"/>
      <c r="Z95" s="5"/>
    </row>
    <row r="96">
      <c r="A96" s="5"/>
      <c r="B96" s="17"/>
      <c r="C96" s="18"/>
      <c r="D96" s="19"/>
      <c r="E96" s="20"/>
      <c r="F96" s="21"/>
      <c r="G96" s="21"/>
      <c r="H96" s="21"/>
      <c r="I96" s="22"/>
      <c r="J96" s="20"/>
      <c r="K96" s="23"/>
      <c r="L96" s="23"/>
      <c r="M96" s="5"/>
      <c r="N96" s="23"/>
      <c r="O96" s="24"/>
      <c r="P96" s="23"/>
      <c r="Q96" s="24"/>
      <c r="R96" s="5"/>
      <c r="S96" s="5"/>
      <c r="T96" s="24"/>
      <c r="U96" s="24"/>
      <c r="V96" s="25"/>
      <c r="W96" s="28"/>
      <c r="X96" s="5"/>
      <c r="Y96" s="5"/>
      <c r="Z96" s="5"/>
    </row>
    <row r="97">
      <c r="A97" s="5"/>
      <c r="B97" s="17"/>
      <c r="C97" s="18"/>
      <c r="D97" s="19"/>
      <c r="E97" s="20"/>
      <c r="F97" s="21"/>
      <c r="G97" s="21"/>
      <c r="H97" s="21"/>
      <c r="I97" s="22"/>
      <c r="J97" s="20"/>
      <c r="K97" s="23"/>
      <c r="L97" s="23"/>
      <c r="M97" s="5"/>
      <c r="N97" s="23"/>
      <c r="O97" s="24"/>
      <c r="P97" s="23"/>
      <c r="Q97" s="24"/>
      <c r="R97" s="25"/>
      <c r="S97" s="5"/>
      <c r="T97" s="24"/>
      <c r="U97" s="24"/>
      <c r="V97" s="24"/>
      <c r="W97" s="27"/>
      <c r="X97" s="5"/>
      <c r="Y97" s="5"/>
      <c r="Z97" s="5"/>
    </row>
    <row r="98">
      <c r="A98" s="5"/>
      <c r="B98" s="17"/>
      <c r="C98" s="18"/>
      <c r="D98" s="19"/>
      <c r="E98" s="20"/>
      <c r="F98" s="21"/>
      <c r="G98" s="21"/>
      <c r="H98" s="21"/>
      <c r="I98" s="22"/>
      <c r="J98" s="20"/>
      <c r="K98" s="23"/>
      <c r="L98" s="23"/>
      <c r="M98" s="5"/>
      <c r="N98" s="23"/>
      <c r="O98" s="24"/>
      <c r="P98" s="23"/>
      <c r="Q98" s="24"/>
      <c r="R98" s="25"/>
      <c r="S98" s="5"/>
      <c r="T98" s="24"/>
      <c r="U98" s="24"/>
      <c r="V98" s="24"/>
      <c r="W98" s="27"/>
      <c r="X98" s="5"/>
      <c r="Y98" s="5"/>
      <c r="Z98" s="5"/>
    </row>
    <row r="99">
      <c r="A99" s="5"/>
      <c r="B99" s="17"/>
      <c r="C99" s="18"/>
      <c r="D99" s="19"/>
      <c r="E99" s="20"/>
      <c r="F99" s="21"/>
      <c r="G99" s="21"/>
      <c r="H99" s="21"/>
      <c r="I99" s="22"/>
      <c r="J99" s="20"/>
      <c r="K99" s="23"/>
      <c r="L99" s="23"/>
      <c r="M99" s="5"/>
      <c r="N99" s="23"/>
      <c r="O99" s="24"/>
      <c r="P99" s="23"/>
      <c r="Q99" s="24"/>
      <c r="R99" s="27"/>
      <c r="S99" s="5"/>
      <c r="T99" s="24"/>
      <c r="U99" s="24"/>
      <c r="V99" s="24"/>
      <c r="W99" s="25"/>
      <c r="X99" s="5"/>
      <c r="Y99" s="5"/>
      <c r="Z99" s="5"/>
    </row>
    <row r="100">
      <c r="A100" s="5"/>
      <c r="B100" s="17"/>
      <c r="C100" s="18"/>
      <c r="D100" s="19"/>
      <c r="E100" s="20"/>
      <c r="F100" s="21"/>
      <c r="G100" s="21"/>
      <c r="H100" s="21"/>
      <c r="I100" s="22"/>
      <c r="J100" s="20"/>
      <c r="K100" s="23"/>
      <c r="L100" s="23"/>
      <c r="M100" s="5"/>
      <c r="N100" s="23"/>
      <c r="O100" s="24"/>
      <c r="P100" s="23"/>
      <c r="Q100" s="24"/>
      <c r="R100" s="27"/>
      <c r="S100" s="5"/>
      <c r="T100" s="24"/>
      <c r="U100" s="24"/>
      <c r="V100" s="24"/>
      <c r="W100" s="27"/>
      <c r="X100" s="5"/>
      <c r="Y100" s="5"/>
      <c r="Z100" s="5"/>
    </row>
    <row r="101">
      <c r="A101" s="5"/>
      <c r="B101" s="17"/>
      <c r="C101" s="18"/>
      <c r="D101" s="19"/>
      <c r="E101" s="20"/>
      <c r="F101" s="21"/>
      <c r="G101" s="21"/>
      <c r="H101" s="21"/>
      <c r="I101" s="22"/>
      <c r="J101" s="20"/>
      <c r="K101" s="23"/>
      <c r="L101" s="23"/>
      <c r="M101" s="5"/>
      <c r="N101" s="23"/>
      <c r="O101" s="24"/>
      <c r="P101" s="23"/>
      <c r="Q101" s="24"/>
      <c r="R101" s="25"/>
      <c r="S101" s="5"/>
      <c r="T101" s="24"/>
      <c r="U101" s="24"/>
      <c r="V101" s="24"/>
      <c r="W101" s="25"/>
      <c r="X101" s="5"/>
      <c r="Y101" s="5"/>
      <c r="Z101" s="5"/>
    </row>
    <row r="102">
      <c r="A102" s="5"/>
      <c r="B102" s="17"/>
      <c r="C102" s="18"/>
      <c r="D102" s="19"/>
      <c r="E102" s="20"/>
      <c r="F102" s="21"/>
      <c r="G102" s="21"/>
      <c r="H102" s="21"/>
      <c r="I102" s="22"/>
      <c r="J102" s="20"/>
      <c r="K102" s="23"/>
      <c r="L102" s="23"/>
      <c r="M102" s="5"/>
      <c r="N102" s="23"/>
      <c r="O102" s="24"/>
      <c r="P102" s="23"/>
      <c r="Q102" s="24"/>
      <c r="R102" s="27"/>
      <c r="S102" s="5"/>
      <c r="T102" s="24"/>
      <c r="U102" s="24"/>
      <c r="V102" s="24"/>
      <c r="W102" s="25"/>
      <c r="X102" s="5"/>
      <c r="Y102" s="5"/>
      <c r="Z102" s="5"/>
    </row>
    <row r="103">
      <c r="A103" s="5"/>
      <c r="B103" s="17"/>
      <c r="C103" s="18"/>
      <c r="D103" s="19"/>
      <c r="E103" s="20"/>
      <c r="F103" s="21"/>
      <c r="G103" s="21"/>
      <c r="H103" s="21"/>
      <c r="I103" s="22"/>
      <c r="J103" s="20"/>
      <c r="K103" s="23"/>
      <c r="L103" s="23"/>
      <c r="M103" s="5"/>
      <c r="N103" s="23"/>
      <c r="O103" s="24"/>
      <c r="P103" s="23"/>
      <c r="Q103" s="24"/>
      <c r="R103" s="25"/>
      <c r="S103" s="5"/>
      <c r="T103" s="24"/>
      <c r="U103" s="24"/>
      <c r="V103" s="24"/>
      <c r="W103" s="25"/>
      <c r="X103" s="5"/>
      <c r="Y103" s="5"/>
      <c r="Z103" s="5"/>
    </row>
    <row r="104">
      <c r="A104" s="5"/>
      <c r="B104" s="17"/>
      <c r="C104" s="18"/>
      <c r="D104" s="19"/>
      <c r="E104" s="20"/>
      <c r="F104" s="21"/>
      <c r="G104" s="21"/>
      <c r="H104" s="21"/>
      <c r="I104" s="22"/>
      <c r="J104" s="20"/>
      <c r="K104" s="23"/>
      <c r="L104" s="23"/>
      <c r="M104" s="5"/>
      <c r="N104" s="23"/>
      <c r="O104" s="24"/>
      <c r="P104" s="23"/>
      <c r="Q104" s="24"/>
      <c r="R104" s="25"/>
      <c r="S104" s="5"/>
      <c r="T104" s="24"/>
      <c r="U104" s="24"/>
      <c r="V104" s="24"/>
      <c r="W104" s="25"/>
      <c r="X104" s="5"/>
      <c r="Y104" s="5"/>
      <c r="Z104" s="5"/>
    </row>
    <row r="105">
      <c r="A105" s="5"/>
      <c r="B105" s="17"/>
      <c r="C105" s="18"/>
      <c r="D105" s="19"/>
      <c r="E105" s="20"/>
      <c r="F105" s="21"/>
      <c r="G105" s="21"/>
      <c r="H105" s="21"/>
      <c r="I105" s="22"/>
      <c r="J105" s="20"/>
      <c r="K105" s="23"/>
      <c r="L105" s="23"/>
      <c r="M105" s="5"/>
      <c r="N105" s="5"/>
      <c r="O105" s="24"/>
      <c r="P105" s="23"/>
      <c r="Q105" s="24"/>
      <c r="R105" s="27"/>
      <c r="S105" s="5"/>
      <c r="T105" s="24"/>
      <c r="U105" s="24"/>
      <c r="V105" s="24"/>
      <c r="W105" s="27"/>
      <c r="X105" s="5"/>
      <c r="Y105" s="5"/>
      <c r="Z105" s="5"/>
    </row>
    <row r="106">
      <c r="A106" s="5"/>
      <c r="B106" s="17"/>
      <c r="C106" s="18"/>
      <c r="D106" s="19"/>
      <c r="E106" s="20"/>
      <c r="F106" s="21"/>
      <c r="G106" s="21"/>
      <c r="H106" s="21"/>
      <c r="I106" s="22"/>
      <c r="J106" s="20"/>
      <c r="K106" s="23"/>
      <c r="L106" s="23"/>
      <c r="M106" s="5"/>
      <c r="N106" s="5"/>
      <c r="O106" s="24"/>
      <c r="P106" s="23"/>
      <c r="Q106" s="24"/>
      <c r="R106" s="27"/>
      <c r="S106" s="5"/>
      <c r="T106" s="24"/>
      <c r="U106" s="24"/>
      <c r="V106" s="24"/>
      <c r="W106" s="27"/>
      <c r="X106" s="5"/>
      <c r="Y106" s="5"/>
      <c r="Z106" s="5"/>
    </row>
    <row r="107">
      <c r="A107" s="5"/>
      <c r="B107" s="17"/>
      <c r="C107" s="18"/>
      <c r="D107" s="19"/>
      <c r="E107" s="20"/>
      <c r="F107" s="21"/>
      <c r="G107" s="21"/>
      <c r="H107" s="21"/>
      <c r="I107" s="22"/>
      <c r="J107" s="20"/>
      <c r="K107" s="23"/>
      <c r="L107" s="23"/>
      <c r="M107" s="5"/>
      <c r="N107" s="23"/>
      <c r="O107" s="24"/>
      <c r="P107" s="23"/>
      <c r="Q107" s="24"/>
      <c r="R107" s="27"/>
      <c r="S107" s="5"/>
      <c r="T107" s="24"/>
      <c r="U107" s="24"/>
      <c r="V107" s="24"/>
      <c r="W107" s="25"/>
      <c r="X107" s="5"/>
      <c r="Y107" s="5"/>
      <c r="Z107" s="5"/>
    </row>
    <row r="108">
      <c r="A108" s="5"/>
      <c r="B108" s="17"/>
      <c r="C108" s="18"/>
      <c r="D108" s="19"/>
      <c r="E108" s="20"/>
      <c r="F108" s="21"/>
      <c r="G108" s="21"/>
      <c r="H108" s="21"/>
      <c r="I108" s="22"/>
      <c r="J108" s="20"/>
      <c r="K108" s="23"/>
      <c r="L108" s="23"/>
      <c r="M108" s="5"/>
      <c r="N108" s="23"/>
      <c r="O108" s="24"/>
      <c r="P108" s="23"/>
      <c r="Q108" s="24"/>
      <c r="R108" s="5"/>
      <c r="S108" s="5"/>
      <c r="T108" s="24"/>
      <c r="U108" s="24"/>
      <c r="V108" s="24"/>
      <c r="W108" s="27"/>
      <c r="X108" s="5"/>
      <c r="Y108" s="5"/>
      <c r="Z108" s="5"/>
    </row>
    <row r="109">
      <c r="A109" s="5"/>
      <c r="B109" s="17"/>
      <c r="C109" s="18"/>
      <c r="D109" s="19"/>
      <c r="E109" s="20"/>
      <c r="F109" s="21"/>
      <c r="G109" s="21"/>
      <c r="H109" s="21"/>
      <c r="I109" s="22"/>
      <c r="J109" s="20"/>
      <c r="K109" s="23"/>
      <c r="L109" s="23"/>
      <c r="M109" s="5"/>
      <c r="N109" s="23"/>
      <c r="O109" s="24"/>
      <c r="P109" s="23"/>
      <c r="Q109" s="24"/>
      <c r="R109" s="25"/>
      <c r="S109" s="5"/>
      <c r="T109" s="24"/>
      <c r="U109" s="24"/>
      <c r="V109" s="24"/>
      <c r="W109" s="25"/>
      <c r="X109" s="5"/>
      <c r="Y109" s="5"/>
      <c r="Z109" s="5"/>
    </row>
    <row r="110">
      <c r="A110" s="5"/>
      <c r="B110" s="17"/>
      <c r="C110" s="18"/>
      <c r="D110" s="19"/>
      <c r="E110" s="20"/>
      <c r="F110" s="21"/>
      <c r="G110" s="21"/>
      <c r="H110" s="21"/>
      <c r="I110" s="22"/>
      <c r="J110" s="20"/>
      <c r="K110" s="23"/>
      <c r="L110" s="23"/>
      <c r="M110" s="5"/>
      <c r="N110" s="23"/>
      <c r="O110" s="24"/>
      <c r="P110" s="23"/>
      <c r="Q110" s="24"/>
      <c r="R110" s="24"/>
      <c r="S110" s="5"/>
      <c r="T110" s="24"/>
      <c r="U110" s="24"/>
      <c r="V110" s="24"/>
      <c r="W110" s="25"/>
      <c r="X110" s="5"/>
      <c r="Y110" s="5"/>
      <c r="Z110" s="5"/>
    </row>
    <row r="111">
      <c r="A111" s="5"/>
      <c r="B111" s="17"/>
      <c r="C111" s="18"/>
      <c r="D111" s="19"/>
      <c r="E111" s="20"/>
      <c r="F111" s="21"/>
      <c r="G111" s="21"/>
      <c r="H111" s="21"/>
      <c r="I111" s="22"/>
      <c r="J111" s="20"/>
      <c r="K111" s="23"/>
      <c r="L111" s="23"/>
      <c r="M111" s="5"/>
      <c r="N111" s="23"/>
      <c r="O111" s="24"/>
      <c r="P111" s="23"/>
      <c r="Q111" s="24"/>
      <c r="R111" s="27"/>
      <c r="S111" s="5"/>
      <c r="T111" s="24"/>
      <c r="U111" s="24"/>
      <c r="V111" s="24"/>
      <c r="W111" s="25"/>
      <c r="X111" s="5"/>
      <c r="Y111" s="5"/>
      <c r="Z111" s="5"/>
    </row>
    <row r="112">
      <c r="A112" s="5"/>
      <c r="B112" s="17"/>
      <c r="C112" s="18"/>
      <c r="D112" s="19"/>
      <c r="E112" s="20"/>
      <c r="F112" s="21"/>
      <c r="G112" s="21"/>
      <c r="H112" s="21"/>
      <c r="I112" s="22"/>
      <c r="J112" s="20"/>
      <c r="K112" s="23"/>
      <c r="L112" s="23"/>
      <c r="M112" s="5"/>
      <c r="N112" s="23"/>
      <c r="O112" s="24"/>
      <c r="P112" s="23"/>
      <c r="Q112" s="24"/>
      <c r="R112" s="27"/>
      <c r="S112" s="5"/>
      <c r="T112" s="24"/>
      <c r="U112" s="24"/>
      <c r="V112" s="24"/>
      <c r="W112" s="27"/>
      <c r="X112" s="5"/>
      <c r="Y112" s="5"/>
      <c r="Z112" s="5"/>
    </row>
    <row r="113">
      <c r="A113" s="5"/>
      <c r="B113" s="17"/>
      <c r="C113" s="18"/>
      <c r="D113" s="19"/>
      <c r="E113" s="20"/>
      <c r="F113" s="21"/>
      <c r="G113" s="21"/>
      <c r="H113" s="21"/>
      <c r="I113" s="22"/>
      <c r="J113" s="20"/>
      <c r="K113" s="23"/>
      <c r="L113" s="23"/>
      <c r="M113" s="5"/>
      <c r="N113" s="23"/>
      <c r="O113" s="24"/>
      <c r="P113" s="23"/>
      <c r="Q113" s="24"/>
      <c r="R113" s="27"/>
      <c r="S113" s="5"/>
      <c r="T113" s="24"/>
      <c r="U113" s="24"/>
      <c r="V113" s="24"/>
      <c r="W113" s="25"/>
      <c r="X113" s="5"/>
      <c r="Y113" s="5"/>
      <c r="Z113" s="5"/>
    </row>
    <row r="114">
      <c r="A114" s="5"/>
      <c r="B114" s="17"/>
      <c r="C114" s="18"/>
      <c r="D114" s="19"/>
      <c r="E114" s="20"/>
      <c r="F114" s="21"/>
      <c r="G114" s="21"/>
      <c r="H114" s="21"/>
      <c r="I114" s="22"/>
      <c r="J114" s="20"/>
      <c r="K114" s="23"/>
      <c r="L114" s="23"/>
      <c r="M114" s="5"/>
      <c r="N114" s="23"/>
      <c r="O114" s="24"/>
      <c r="P114" s="23"/>
      <c r="Q114" s="24"/>
      <c r="R114" s="27"/>
      <c r="S114" s="5"/>
      <c r="T114" s="24"/>
      <c r="U114" s="24"/>
      <c r="V114" s="24"/>
      <c r="W114" s="27"/>
      <c r="X114" s="5"/>
      <c r="Y114" s="5"/>
      <c r="Z114" s="5"/>
    </row>
    <row r="115">
      <c r="A115" s="5"/>
      <c r="B115" s="17"/>
      <c r="C115" s="18"/>
      <c r="D115" s="19"/>
      <c r="E115" s="20"/>
      <c r="F115" s="21"/>
      <c r="G115" s="21"/>
      <c r="H115" s="21"/>
      <c r="I115" s="22"/>
      <c r="J115" s="20"/>
      <c r="K115" s="23"/>
      <c r="L115" s="23"/>
      <c r="M115" s="5"/>
      <c r="N115" s="23"/>
      <c r="O115" s="24"/>
      <c r="P115" s="23"/>
      <c r="Q115" s="24"/>
      <c r="R115" s="5"/>
      <c r="S115" s="5"/>
      <c r="T115" s="24"/>
      <c r="U115" s="24"/>
      <c r="V115" s="24"/>
      <c r="W115" s="25"/>
      <c r="X115" s="5"/>
      <c r="Y115" s="5"/>
      <c r="Z115" s="5"/>
    </row>
    <row r="116">
      <c r="A116" s="5"/>
      <c r="B116" s="17"/>
      <c r="C116" s="18"/>
      <c r="D116" s="19"/>
      <c r="E116" s="20"/>
      <c r="F116" s="21"/>
      <c r="G116" s="21"/>
      <c r="H116" s="21"/>
      <c r="I116" s="22"/>
      <c r="J116" s="20"/>
      <c r="K116" s="23"/>
      <c r="L116" s="23"/>
      <c r="M116" s="5"/>
      <c r="N116" s="23"/>
      <c r="O116" s="24"/>
      <c r="P116" s="23"/>
      <c r="Q116" s="24"/>
      <c r="R116" s="5"/>
      <c r="S116" s="5"/>
      <c r="T116" s="24"/>
      <c r="U116" s="24"/>
      <c r="V116" s="24"/>
      <c r="W116" s="27"/>
      <c r="X116" s="5"/>
      <c r="Y116" s="5"/>
      <c r="Z116" s="5"/>
    </row>
    <row r="117">
      <c r="A117" s="5"/>
      <c r="B117" s="17"/>
      <c r="C117" s="18"/>
      <c r="D117" s="19"/>
      <c r="E117" s="20"/>
      <c r="F117" s="21"/>
      <c r="G117" s="21"/>
      <c r="H117" s="21"/>
      <c r="I117" s="26"/>
      <c r="J117" s="20"/>
      <c r="K117" s="23"/>
      <c r="L117" s="23"/>
      <c r="M117" s="5"/>
      <c r="N117" s="23"/>
      <c r="O117" s="24"/>
      <c r="P117" s="23"/>
      <c r="Q117" s="24"/>
      <c r="R117" s="27"/>
      <c r="S117" s="5"/>
      <c r="T117" s="24"/>
      <c r="U117" s="24"/>
      <c r="V117" s="24"/>
      <c r="W117" s="27"/>
      <c r="X117" s="5"/>
      <c r="Y117" s="5"/>
      <c r="Z117" s="5"/>
    </row>
    <row r="118">
      <c r="A118" s="5"/>
      <c r="B118" s="17"/>
      <c r="C118" s="18"/>
      <c r="D118" s="19"/>
      <c r="E118" s="20"/>
      <c r="F118" s="21"/>
      <c r="G118" s="21"/>
      <c r="H118" s="21"/>
      <c r="I118" s="26"/>
      <c r="J118" s="20"/>
      <c r="K118" s="23"/>
      <c r="L118" s="23"/>
      <c r="M118" s="5"/>
      <c r="N118" s="23"/>
      <c r="O118" s="24"/>
      <c r="P118" s="23"/>
      <c r="Q118" s="24"/>
      <c r="R118" s="5"/>
      <c r="S118" s="5"/>
      <c r="T118" s="24"/>
      <c r="U118" s="24"/>
      <c r="V118" s="24"/>
      <c r="W118" s="5"/>
      <c r="X118" s="5"/>
      <c r="Y118" s="5"/>
      <c r="Z118" s="5"/>
    </row>
    <row r="119">
      <c r="A119" s="5"/>
      <c r="B119" s="17"/>
      <c r="C119" s="18"/>
      <c r="D119" s="19"/>
      <c r="E119" s="20"/>
      <c r="F119" s="21"/>
      <c r="G119" s="21"/>
      <c r="H119" s="21"/>
      <c r="I119" s="22"/>
      <c r="J119" s="20"/>
      <c r="K119" s="23"/>
      <c r="L119" s="23"/>
      <c r="M119" s="23"/>
      <c r="N119" s="23"/>
      <c r="O119" s="24"/>
      <c r="P119" s="23"/>
      <c r="Q119" s="24"/>
      <c r="R119" s="24"/>
      <c r="S119" s="5"/>
      <c r="T119" s="24"/>
      <c r="U119" s="24"/>
      <c r="V119" s="24"/>
      <c r="W119" s="27"/>
      <c r="X119" s="5"/>
      <c r="Y119" s="5"/>
      <c r="Z119" s="5"/>
    </row>
    <row r="120">
      <c r="A120" s="5"/>
      <c r="B120" s="17"/>
      <c r="C120" s="18"/>
      <c r="D120" s="19"/>
      <c r="E120" s="20"/>
      <c r="F120" s="21"/>
      <c r="G120" s="21"/>
      <c r="H120" s="21"/>
      <c r="I120" s="22"/>
      <c r="J120" s="20"/>
      <c r="K120" s="23"/>
      <c r="L120" s="23"/>
      <c r="M120" s="5"/>
      <c r="N120" s="23"/>
      <c r="O120" s="24"/>
      <c r="P120" s="23"/>
      <c r="Q120" s="24"/>
      <c r="R120" s="5"/>
      <c r="S120" s="5"/>
      <c r="T120" s="24"/>
      <c r="U120" s="24"/>
      <c r="V120" s="24"/>
      <c r="W120" s="27"/>
      <c r="X120" s="5"/>
      <c r="Y120" s="5"/>
      <c r="Z120" s="5"/>
    </row>
    <row r="121">
      <c r="A121" s="5"/>
      <c r="B121" s="17"/>
      <c r="C121" s="18"/>
      <c r="D121" s="19"/>
      <c r="E121" s="20"/>
      <c r="F121" s="21"/>
      <c r="G121" s="21"/>
      <c r="H121" s="21"/>
      <c r="I121" s="22"/>
      <c r="J121" s="20"/>
      <c r="K121" s="23"/>
      <c r="L121" s="23"/>
      <c r="M121" s="5"/>
      <c r="N121" s="23"/>
      <c r="O121" s="24"/>
      <c r="P121" s="23"/>
      <c r="Q121" s="24"/>
      <c r="R121" s="5"/>
      <c r="S121" s="5"/>
      <c r="T121" s="24"/>
      <c r="U121" s="24"/>
      <c r="V121" s="24"/>
      <c r="W121" s="27"/>
      <c r="X121" s="5"/>
      <c r="Y121" s="5"/>
      <c r="Z121" s="5"/>
    </row>
    <row r="122">
      <c r="A122" s="5"/>
      <c r="B122" s="17"/>
      <c r="C122" s="18"/>
      <c r="D122" s="19"/>
      <c r="E122" s="20"/>
      <c r="F122" s="21"/>
      <c r="G122" s="21"/>
      <c r="H122" s="21"/>
      <c r="I122" s="22"/>
      <c r="J122" s="20"/>
      <c r="K122" s="23"/>
      <c r="L122" s="23"/>
      <c r="M122" s="5"/>
      <c r="N122" s="5"/>
      <c r="O122" s="24"/>
      <c r="P122" s="23"/>
      <c r="Q122" s="24"/>
      <c r="R122" s="5"/>
      <c r="S122" s="5"/>
      <c r="T122" s="24"/>
      <c r="U122" s="24"/>
      <c r="V122" s="24"/>
      <c r="W122" s="27"/>
      <c r="X122" s="5"/>
      <c r="Y122" s="5"/>
      <c r="Z122" s="5"/>
    </row>
    <row r="123">
      <c r="A123" s="5"/>
      <c r="B123" s="17"/>
      <c r="C123" s="18"/>
      <c r="D123" s="19"/>
      <c r="E123" s="20"/>
      <c r="F123" s="21"/>
      <c r="G123" s="21"/>
      <c r="H123" s="21"/>
      <c r="I123" s="22"/>
      <c r="J123" s="20"/>
      <c r="K123" s="23"/>
      <c r="L123" s="23"/>
      <c r="M123" s="5"/>
      <c r="N123" s="5"/>
      <c r="O123" s="24"/>
      <c r="P123" s="23"/>
      <c r="Q123" s="24"/>
      <c r="R123" s="5"/>
      <c r="S123" s="5"/>
      <c r="T123" s="24"/>
      <c r="U123" s="24"/>
      <c r="V123" s="25"/>
      <c r="W123" s="5"/>
      <c r="X123" s="5"/>
      <c r="Y123" s="5"/>
      <c r="Z123" s="5"/>
    </row>
    <row r="124">
      <c r="A124" s="5"/>
      <c r="B124" s="17"/>
      <c r="C124" s="18"/>
      <c r="D124" s="19"/>
      <c r="E124" s="20"/>
      <c r="F124" s="21"/>
      <c r="G124" s="21"/>
      <c r="H124" s="21"/>
      <c r="I124" s="22"/>
      <c r="J124" s="20"/>
      <c r="K124" s="23"/>
      <c r="L124" s="23"/>
      <c r="M124" s="5"/>
      <c r="N124" s="23"/>
      <c r="O124" s="24"/>
      <c r="P124" s="23"/>
      <c r="Q124" s="24"/>
      <c r="R124" s="5"/>
      <c r="S124" s="5"/>
      <c r="T124" s="24"/>
      <c r="U124" s="24"/>
      <c r="V124" s="24"/>
      <c r="W124" s="5"/>
      <c r="X124" s="5"/>
      <c r="Y124" s="5"/>
      <c r="Z124" s="5"/>
    </row>
    <row r="125">
      <c r="A125" s="5"/>
      <c r="B125" s="17"/>
      <c r="C125" s="18"/>
      <c r="D125" s="19"/>
      <c r="E125" s="20"/>
      <c r="F125" s="21"/>
      <c r="G125" s="21"/>
      <c r="H125" s="21"/>
      <c r="I125" s="22"/>
      <c r="J125" s="20"/>
      <c r="K125" s="23"/>
      <c r="L125" s="23"/>
      <c r="M125" s="5"/>
      <c r="N125" s="23"/>
      <c r="O125" s="24"/>
      <c r="P125" s="23"/>
      <c r="Q125" s="24"/>
      <c r="R125" s="5"/>
      <c r="S125" s="5"/>
      <c r="T125" s="24"/>
      <c r="U125" s="24"/>
      <c r="V125" s="25"/>
      <c r="W125" s="28"/>
      <c r="X125" s="5"/>
      <c r="Y125" s="5"/>
      <c r="Z125" s="5"/>
    </row>
    <row r="126">
      <c r="A126" s="5"/>
      <c r="B126" s="17"/>
      <c r="C126" s="18"/>
      <c r="D126" s="19"/>
      <c r="E126" s="20"/>
      <c r="F126" s="21"/>
      <c r="G126" s="21"/>
      <c r="H126" s="21"/>
      <c r="I126" s="22"/>
      <c r="J126" s="20"/>
      <c r="K126" s="23"/>
      <c r="L126" s="23"/>
      <c r="M126" s="5"/>
      <c r="N126" s="23"/>
      <c r="O126" s="24"/>
      <c r="P126" s="23"/>
      <c r="Q126" s="24"/>
      <c r="R126" s="5"/>
      <c r="S126" s="5"/>
      <c r="T126" s="24"/>
      <c r="U126" s="24"/>
      <c r="V126" s="25"/>
      <c r="W126" s="24"/>
      <c r="X126" s="5"/>
      <c r="Y126" s="5"/>
      <c r="Z126" s="5"/>
    </row>
    <row r="127">
      <c r="A127" s="5"/>
      <c r="B127" s="17"/>
      <c r="C127" s="18"/>
      <c r="D127" s="19"/>
      <c r="E127" s="20"/>
      <c r="F127" s="21"/>
      <c r="G127" s="21"/>
      <c r="H127" s="21"/>
      <c r="I127" s="22"/>
      <c r="J127" s="20"/>
      <c r="K127" s="23"/>
      <c r="L127" s="23"/>
      <c r="M127" s="5"/>
      <c r="N127" s="5"/>
      <c r="O127" s="24"/>
      <c r="P127" s="23"/>
      <c r="Q127" s="24"/>
      <c r="R127" s="5"/>
      <c r="S127" s="5"/>
      <c r="T127" s="24"/>
      <c r="U127" s="24"/>
      <c r="V127" s="25"/>
      <c r="W127" s="5"/>
      <c r="X127" s="5"/>
      <c r="Y127" s="5"/>
      <c r="Z127" s="5"/>
    </row>
    <row r="128">
      <c r="A128" s="5"/>
      <c r="B128" s="17"/>
      <c r="C128" s="18"/>
      <c r="D128" s="19"/>
      <c r="E128" s="20"/>
      <c r="F128" s="21"/>
      <c r="G128" s="21"/>
      <c r="H128" s="21"/>
      <c r="I128" s="22"/>
      <c r="J128" s="20"/>
      <c r="K128" s="23"/>
      <c r="L128" s="23"/>
      <c r="M128" s="5"/>
      <c r="N128" s="5"/>
      <c r="O128" s="24"/>
      <c r="P128" s="23"/>
      <c r="Q128" s="24"/>
      <c r="R128" s="5"/>
      <c r="S128" s="5"/>
      <c r="T128" s="24"/>
      <c r="U128" s="24"/>
      <c r="V128" s="24"/>
      <c r="W128" s="5"/>
      <c r="X128" s="5"/>
      <c r="Y128" s="5"/>
      <c r="Z128" s="5"/>
    </row>
    <row r="129">
      <c r="A129" s="5"/>
      <c r="B129" s="17"/>
      <c r="C129" s="18"/>
      <c r="D129" s="19"/>
      <c r="E129" s="20"/>
      <c r="F129" s="21"/>
      <c r="G129" s="21"/>
      <c r="H129" s="21"/>
      <c r="I129" s="22"/>
      <c r="J129" s="20"/>
      <c r="K129" s="23"/>
      <c r="L129" s="23"/>
      <c r="M129" s="5"/>
      <c r="N129" s="5"/>
      <c r="O129" s="24"/>
      <c r="P129" s="23"/>
      <c r="Q129" s="24"/>
      <c r="R129" s="5"/>
      <c r="S129" s="5"/>
      <c r="T129" s="24"/>
      <c r="U129" s="24"/>
      <c r="V129" s="25"/>
      <c r="W129" s="5"/>
      <c r="X129" s="5"/>
      <c r="Y129" s="5"/>
      <c r="Z129" s="5"/>
    </row>
    <row r="130">
      <c r="A130" s="5"/>
      <c r="B130" s="17"/>
      <c r="C130" s="18"/>
      <c r="D130" s="19"/>
      <c r="E130" s="20"/>
      <c r="F130" s="21"/>
      <c r="G130" s="21"/>
      <c r="H130" s="21"/>
      <c r="I130" s="22"/>
      <c r="J130" s="20"/>
      <c r="K130" s="23"/>
      <c r="L130" s="23"/>
      <c r="M130" s="5"/>
      <c r="N130" s="5"/>
      <c r="O130" s="24"/>
      <c r="P130" s="23"/>
      <c r="Q130" s="24"/>
      <c r="R130" s="5"/>
      <c r="S130" s="5"/>
      <c r="T130" s="24"/>
      <c r="U130" s="24"/>
      <c r="V130" s="24"/>
      <c r="W130" s="5"/>
      <c r="X130" s="5"/>
      <c r="Y130" s="5"/>
      <c r="Z130" s="5"/>
    </row>
    <row r="131">
      <c r="A131" s="5"/>
      <c r="B131" s="17"/>
      <c r="C131" s="18"/>
      <c r="D131" s="19"/>
      <c r="E131" s="20"/>
      <c r="F131" s="21"/>
      <c r="G131" s="21"/>
      <c r="H131" s="21"/>
      <c r="I131" s="22"/>
      <c r="J131" s="20"/>
      <c r="K131" s="23"/>
      <c r="L131" s="23"/>
      <c r="M131" s="5"/>
      <c r="N131" s="23"/>
      <c r="O131" s="24"/>
      <c r="P131" s="23"/>
      <c r="Q131" s="24"/>
      <c r="R131" s="5"/>
      <c r="S131" s="5"/>
      <c r="T131" s="24"/>
      <c r="U131" s="24"/>
      <c r="V131" s="24"/>
      <c r="W131" s="5"/>
      <c r="X131" s="5"/>
      <c r="Y131" s="5"/>
      <c r="Z131" s="5"/>
    </row>
    <row r="132">
      <c r="A132" s="5"/>
      <c r="B132" s="17"/>
      <c r="C132" s="18"/>
      <c r="D132" s="19"/>
      <c r="E132" s="20"/>
      <c r="F132" s="21"/>
      <c r="G132" s="21"/>
      <c r="H132" s="21"/>
      <c r="I132" s="22"/>
      <c r="J132" s="20"/>
      <c r="K132" s="23"/>
      <c r="L132" s="23"/>
      <c r="M132" s="5"/>
      <c r="N132" s="23"/>
      <c r="O132" s="24"/>
      <c r="P132" s="23"/>
      <c r="Q132" s="24"/>
      <c r="R132" s="5"/>
      <c r="S132" s="5"/>
      <c r="T132" s="24"/>
      <c r="U132" s="24"/>
      <c r="V132" s="24"/>
      <c r="W132" s="27"/>
      <c r="X132" s="5"/>
      <c r="Y132" s="5"/>
      <c r="Z132" s="5"/>
    </row>
    <row r="133">
      <c r="A133" s="5"/>
      <c r="B133" s="17"/>
      <c r="C133" s="18"/>
      <c r="D133" s="19"/>
      <c r="E133" s="20"/>
      <c r="F133" s="21"/>
      <c r="G133" s="21"/>
      <c r="H133" s="21"/>
      <c r="I133" s="22"/>
      <c r="J133" s="20"/>
      <c r="K133" s="23"/>
      <c r="L133" s="23"/>
      <c r="M133" s="5"/>
      <c r="N133" s="23"/>
      <c r="O133" s="24"/>
      <c r="P133" s="23"/>
      <c r="Q133" s="24"/>
      <c r="R133" s="5"/>
      <c r="S133" s="5"/>
      <c r="T133" s="24"/>
      <c r="U133" s="24"/>
      <c r="V133" s="25"/>
      <c r="W133" s="5"/>
      <c r="X133" s="5"/>
      <c r="Y133" s="5"/>
      <c r="Z133" s="5"/>
    </row>
    <row r="134">
      <c r="A134" s="5"/>
      <c r="B134" s="17"/>
      <c r="C134" s="18"/>
      <c r="D134" s="19"/>
      <c r="E134" s="20"/>
      <c r="F134" s="21"/>
      <c r="G134" s="21"/>
      <c r="H134" s="21"/>
      <c r="I134" s="22"/>
      <c r="J134" s="20"/>
      <c r="K134" s="23"/>
      <c r="L134" s="23"/>
      <c r="M134" s="5"/>
      <c r="N134" s="23"/>
      <c r="O134" s="24"/>
      <c r="P134" s="23"/>
      <c r="Q134" s="24"/>
      <c r="R134" s="5"/>
      <c r="S134" s="5"/>
      <c r="T134" s="24"/>
      <c r="U134" s="24"/>
      <c r="V134" s="24"/>
      <c r="W134" s="25"/>
      <c r="X134" s="5"/>
      <c r="Y134" s="5"/>
      <c r="Z134" s="5"/>
    </row>
    <row r="135">
      <c r="A135" s="5"/>
      <c r="B135" s="17"/>
      <c r="C135" s="18"/>
      <c r="D135" s="19"/>
      <c r="E135" s="20"/>
      <c r="F135" s="21"/>
      <c r="G135" s="21"/>
      <c r="H135" s="21"/>
      <c r="I135" s="22"/>
      <c r="J135" s="20"/>
      <c r="K135" s="23"/>
      <c r="L135" s="23"/>
      <c r="M135" s="5"/>
      <c r="N135" s="5"/>
      <c r="O135" s="24"/>
      <c r="P135" s="23"/>
      <c r="Q135" s="24"/>
      <c r="R135" s="5"/>
      <c r="S135" s="5"/>
      <c r="T135" s="24"/>
      <c r="U135" s="24"/>
      <c r="V135" s="24"/>
      <c r="W135" s="5"/>
      <c r="X135" s="5"/>
      <c r="Y135" s="5"/>
      <c r="Z135" s="5"/>
    </row>
    <row r="136">
      <c r="A136" s="5"/>
      <c r="B136" s="17"/>
      <c r="C136" s="18"/>
      <c r="D136" s="19"/>
      <c r="E136" s="20"/>
      <c r="F136" s="21"/>
      <c r="G136" s="21"/>
      <c r="H136" s="21"/>
      <c r="I136" s="22"/>
      <c r="J136" s="20"/>
      <c r="K136" s="23"/>
      <c r="L136" s="23"/>
      <c r="M136" s="5"/>
      <c r="N136" s="23"/>
      <c r="O136" s="24"/>
      <c r="P136" s="23"/>
      <c r="Q136" s="24"/>
      <c r="R136" s="5"/>
      <c r="S136" s="5"/>
      <c r="T136" s="24"/>
      <c r="U136" s="24"/>
      <c r="V136" s="24"/>
      <c r="W136" s="5"/>
      <c r="X136" s="5"/>
      <c r="Y136" s="5"/>
      <c r="Z136" s="5"/>
    </row>
    <row r="137">
      <c r="A137" s="5"/>
      <c r="B137" s="17"/>
      <c r="C137" s="18"/>
      <c r="D137" s="19"/>
      <c r="E137" s="20"/>
      <c r="F137" s="21"/>
      <c r="G137" s="21"/>
      <c r="H137" s="21"/>
      <c r="I137" s="22"/>
      <c r="J137" s="20"/>
      <c r="K137" s="23"/>
      <c r="L137" s="23"/>
      <c r="M137" s="5"/>
      <c r="N137" s="23"/>
      <c r="O137" s="24"/>
      <c r="P137" s="23"/>
      <c r="Q137" s="24"/>
      <c r="R137" s="5"/>
      <c r="S137" s="5"/>
      <c r="T137" s="24"/>
      <c r="U137" s="24"/>
      <c r="V137" s="24"/>
      <c r="W137" s="5"/>
      <c r="X137" s="5"/>
      <c r="Y137" s="5"/>
      <c r="Z137" s="5"/>
    </row>
    <row r="138">
      <c r="A138" s="5"/>
      <c r="B138" s="17"/>
      <c r="C138" s="18"/>
      <c r="D138" s="19"/>
      <c r="E138" s="20"/>
      <c r="F138" s="21"/>
      <c r="G138" s="21"/>
      <c r="H138" s="21"/>
      <c r="I138" s="22"/>
      <c r="J138" s="20"/>
      <c r="K138" s="23"/>
      <c r="L138" s="23"/>
      <c r="M138" s="5"/>
      <c r="N138" s="23"/>
      <c r="O138" s="24"/>
      <c r="P138" s="23"/>
      <c r="Q138" s="24"/>
      <c r="R138" s="5"/>
      <c r="S138" s="5"/>
      <c r="T138" s="24"/>
      <c r="U138" s="24"/>
      <c r="V138" s="25"/>
      <c r="W138" s="5"/>
      <c r="X138" s="5"/>
      <c r="Y138" s="5"/>
      <c r="Z138" s="5"/>
    </row>
    <row r="139">
      <c r="A139" s="5"/>
      <c r="B139" s="17"/>
      <c r="C139" s="18"/>
      <c r="D139" s="19"/>
      <c r="E139" s="20"/>
      <c r="F139" s="21"/>
      <c r="G139" s="21"/>
      <c r="H139" s="21"/>
      <c r="I139" s="22"/>
      <c r="J139" s="20"/>
      <c r="K139" s="23"/>
      <c r="L139" s="23"/>
      <c r="M139" s="5"/>
      <c r="N139" s="23"/>
      <c r="O139" s="24"/>
      <c r="P139" s="23"/>
      <c r="Q139" s="24"/>
      <c r="R139" s="5"/>
      <c r="S139" s="5"/>
      <c r="T139" s="24"/>
      <c r="U139" s="24"/>
      <c r="V139" s="24"/>
      <c r="W139" s="5"/>
      <c r="X139" s="5"/>
      <c r="Y139" s="5"/>
      <c r="Z139" s="5"/>
    </row>
    <row r="140">
      <c r="A140" s="5"/>
      <c r="B140" s="17"/>
      <c r="C140" s="18"/>
      <c r="D140" s="19"/>
      <c r="E140" s="20"/>
      <c r="F140" s="21"/>
      <c r="G140" s="21"/>
      <c r="H140" s="21"/>
      <c r="I140" s="22"/>
      <c r="J140" s="20"/>
      <c r="K140" s="23"/>
      <c r="L140" s="23"/>
      <c r="M140" s="5"/>
      <c r="N140" s="23"/>
      <c r="O140" s="24"/>
      <c r="P140" s="23"/>
      <c r="Q140" s="24"/>
      <c r="R140" s="5"/>
      <c r="S140" s="5"/>
      <c r="T140" s="24"/>
      <c r="U140" s="24"/>
      <c r="V140" s="25"/>
      <c r="W140" s="5"/>
      <c r="X140" s="5"/>
      <c r="Y140" s="5"/>
      <c r="Z140" s="5"/>
    </row>
    <row r="141">
      <c r="A141" s="5"/>
      <c r="B141" s="17"/>
      <c r="C141" s="18"/>
      <c r="D141" s="19"/>
      <c r="E141" s="20"/>
      <c r="F141" s="21"/>
      <c r="G141" s="21"/>
      <c r="H141" s="21"/>
      <c r="I141" s="22"/>
      <c r="J141" s="20"/>
      <c r="K141" s="23"/>
      <c r="L141" s="23"/>
      <c r="M141" s="5"/>
      <c r="N141" s="23"/>
      <c r="O141" s="24"/>
      <c r="P141" s="23"/>
      <c r="Q141" s="24"/>
      <c r="R141" s="5"/>
      <c r="S141" s="5"/>
      <c r="T141" s="24"/>
      <c r="U141" s="24"/>
      <c r="V141" s="24"/>
      <c r="W141" s="5"/>
      <c r="X141" s="5"/>
      <c r="Y141" s="5"/>
      <c r="Z141" s="5"/>
    </row>
    <row r="142">
      <c r="A142" s="5"/>
      <c r="B142" s="17"/>
      <c r="C142" s="18"/>
      <c r="D142" s="19"/>
      <c r="E142" s="20"/>
      <c r="F142" s="21"/>
      <c r="G142" s="21"/>
      <c r="H142" s="21"/>
      <c r="I142" s="22"/>
      <c r="J142" s="20"/>
      <c r="K142" s="23"/>
      <c r="L142" s="23"/>
      <c r="M142" s="5"/>
      <c r="N142" s="23"/>
      <c r="O142" s="24"/>
      <c r="P142" s="23"/>
      <c r="Q142" s="24"/>
      <c r="R142" s="5"/>
      <c r="S142" s="5"/>
      <c r="T142" s="24"/>
      <c r="U142" s="24"/>
      <c r="V142" s="24"/>
      <c r="W142" s="5"/>
      <c r="X142" s="5"/>
      <c r="Y142" s="5"/>
      <c r="Z142" s="5"/>
    </row>
    <row r="143">
      <c r="A143" s="5"/>
      <c r="B143" s="17"/>
      <c r="C143" s="18"/>
      <c r="D143" s="19"/>
      <c r="E143" s="20"/>
      <c r="F143" s="21"/>
      <c r="G143" s="21"/>
      <c r="H143" s="21"/>
      <c r="I143" s="22"/>
      <c r="J143" s="20"/>
      <c r="K143" s="23"/>
      <c r="L143" s="23"/>
      <c r="M143" s="5"/>
      <c r="N143" s="23"/>
      <c r="O143" s="24"/>
      <c r="P143" s="23"/>
      <c r="Q143" s="24"/>
      <c r="R143" s="5"/>
      <c r="S143" s="5"/>
      <c r="T143" s="24"/>
      <c r="U143" s="24"/>
      <c r="V143" s="25"/>
      <c r="W143" s="28"/>
      <c r="X143" s="5"/>
      <c r="Y143" s="5"/>
      <c r="Z143" s="5"/>
    </row>
    <row r="144">
      <c r="A144" s="5"/>
      <c r="B144" s="17"/>
      <c r="C144" s="18"/>
      <c r="D144" s="19"/>
      <c r="E144" s="20"/>
      <c r="F144" s="21"/>
      <c r="G144" s="21"/>
      <c r="H144" s="21"/>
      <c r="I144" s="22"/>
      <c r="J144" s="20"/>
      <c r="K144" s="23"/>
      <c r="L144" s="23"/>
      <c r="M144" s="5"/>
      <c r="N144" s="23"/>
      <c r="O144" s="24"/>
      <c r="P144" s="23"/>
      <c r="Q144" s="24"/>
      <c r="R144" s="5"/>
      <c r="S144" s="5"/>
      <c r="T144" s="24"/>
      <c r="U144" s="24"/>
      <c r="V144" s="25"/>
      <c r="W144" s="29"/>
      <c r="X144" s="5"/>
      <c r="Y144" s="5"/>
      <c r="Z144" s="5"/>
    </row>
    <row r="145">
      <c r="A145" s="5"/>
      <c r="B145" s="17"/>
      <c r="C145" s="18"/>
      <c r="D145" s="19"/>
      <c r="E145" s="20"/>
      <c r="F145" s="21"/>
      <c r="G145" s="21"/>
      <c r="H145" s="21"/>
      <c r="I145" s="22"/>
      <c r="J145" s="20"/>
      <c r="K145" s="23"/>
      <c r="L145" s="23"/>
      <c r="M145" s="5"/>
      <c r="N145" s="5"/>
      <c r="O145" s="24"/>
      <c r="P145" s="23"/>
      <c r="Q145" s="24"/>
      <c r="R145" s="5"/>
      <c r="S145" s="5"/>
      <c r="T145" s="24"/>
      <c r="U145" s="24"/>
      <c r="V145" s="25"/>
      <c r="W145" s="29"/>
      <c r="X145" s="5"/>
      <c r="Y145" s="5"/>
      <c r="Z145" s="5"/>
    </row>
    <row r="146">
      <c r="A146" s="5"/>
      <c r="B146" s="17"/>
      <c r="C146" s="18"/>
      <c r="D146" s="19"/>
      <c r="E146" s="20"/>
      <c r="F146" s="21"/>
      <c r="G146" s="21"/>
      <c r="H146" s="21"/>
      <c r="I146" s="22"/>
      <c r="J146" s="20"/>
      <c r="K146" s="23"/>
      <c r="L146" s="23"/>
      <c r="M146" s="5"/>
      <c r="N146" s="23"/>
      <c r="O146" s="24"/>
      <c r="P146" s="23"/>
      <c r="Q146" s="24"/>
      <c r="R146" s="5"/>
      <c r="S146" s="5"/>
      <c r="T146" s="24"/>
      <c r="U146" s="24"/>
      <c r="V146" s="25"/>
      <c r="W146" s="5"/>
      <c r="X146" s="5"/>
      <c r="Y146" s="5"/>
      <c r="Z146" s="5"/>
    </row>
    <row r="147">
      <c r="A147" s="5"/>
      <c r="B147" s="17"/>
      <c r="C147" s="18"/>
      <c r="D147" s="19"/>
      <c r="E147" s="20"/>
      <c r="F147" s="21"/>
      <c r="G147" s="21"/>
      <c r="H147" s="21"/>
      <c r="I147" s="22"/>
      <c r="J147" s="20"/>
      <c r="K147" s="23"/>
      <c r="L147" s="23"/>
      <c r="M147" s="5"/>
      <c r="N147" s="23"/>
      <c r="O147" s="24"/>
      <c r="P147" s="23"/>
      <c r="Q147" s="24"/>
      <c r="R147" s="5"/>
      <c r="S147" s="5"/>
      <c r="T147" s="24"/>
      <c r="U147" s="24"/>
      <c r="V147" s="25"/>
      <c r="W147" s="5"/>
      <c r="X147" s="5"/>
      <c r="Y147" s="5"/>
      <c r="Z147" s="5"/>
    </row>
    <row r="148">
      <c r="A148" s="5"/>
      <c r="B148" s="17"/>
      <c r="C148" s="18"/>
      <c r="D148" s="19"/>
      <c r="E148" s="20"/>
      <c r="F148" s="21"/>
      <c r="G148" s="21"/>
      <c r="H148" s="21"/>
      <c r="I148" s="22"/>
      <c r="J148" s="20"/>
      <c r="K148" s="23"/>
      <c r="L148" s="23"/>
      <c r="M148" s="5"/>
      <c r="N148" s="23"/>
      <c r="O148" s="24"/>
      <c r="P148" s="23"/>
      <c r="Q148" s="24"/>
      <c r="R148" s="5"/>
      <c r="S148" s="5"/>
      <c r="T148" s="24"/>
      <c r="U148" s="24"/>
      <c r="V148" s="25"/>
      <c r="W148" s="5"/>
      <c r="X148" s="5"/>
      <c r="Y148" s="5"/>
      <c r="Z148" s="5"/>
    </row>
    <row r="149">
      <c r="A149" s="5"/>
      <c r="B149" s="17"/>
      <c r="C149" s="18"/>
      <c r="D149" s="19"/>
      <c r="E149" s="20"/>
      <c r="F149" s="21"/>
      <c r="G149" s="21"/>
      <c r="H149" s="21"/>
      <c r="I149" s="22"/>
      <c r="J149" s="20"/>
      <c r="K149" s="23"/>
      <c r="L149" s="23"/>
      <c r="M149" s="5"/>
      <c r="N149" s="23"/>
      <c r="O149" s="24"/>
      <c r="P149" s="23"/>
      <c r="Q149" s="24"/>
      <c r="R149" s="5"/>
      <c r="S149" s="5"/>
      <c r="T149" s="24"/>
      <c r="U149" s="24"/>
      <c r="V149" s="25"/>
      <c r="W149" s="5"/>
      <c r="X149" s="5"/>
      <c r="Y149" s="5"/>
      <c r="Z149" s="5"/>
    </row>
    <row r="150">
      <c r="A150" s="5"/>
      <c r="B150" s="17"/>
      <c r="C150" s="18"/>
      <c r="D150" s="19"/>
      <c r="E150" s="20"/>
      <c r="F150" s="21"/>
      <c r="G150" s="21"/>
      <c r="H150" s="21"/>
      <c r="I150" s="22"/>
      <c r="J150" s="20"/>
      <c r="K150" s="23"/>
      <c r="L150" s="23"/>
      <c r="M150" s="5"/>
      <c r="N150" s="23"/>
      <c r="O150" s="24"/>
      <c r="P150" s="23"/>
      <c r="Q150" s="24"/>
      <c r="R150" s="5"/>
      <c r="S150" s="5"/>
      <c r="T150" s="24"/>
      <c r="U150" s="24"/>
      <c r="V150" s="25"/>
      <c r="W150" s="5"/>
      <c r="X150" s="5"/>
      <c r="Y150" s="5"/>
      <c r="Z150" s="5"/>
    </row>
    <row r="151">
      <c r="A151" s="5"/>
      <c r="B151" s="17"/>
      <c r="C151" s="18"/>
      <c r="D151" s="19"/>
      <c r="E151" s="20"/>
      <c r="F151" s="21"/>
      <c r="G151" s="21"/>
      <c r="H151" s="21"/>
      <c r="I151" s="22"/>
      <c r="J151" s="20"/>
      <c r="K151" s="23"/>
      <c r="L151" s="23"/>
      <c r="M151" s="5"/>
      <c r="N151" s="5"/>
      <c r="O151" s="24"/>
      <c r="P151" s="23"/>
      <c r="Q151" s="24"/>
      <c r="R151" s="5"/>
      <c r="S151" s="5"/>
      <c r="T151" s="24"/>
      <c r="U151" s="24"/>
      <c r="V151" s="25"/>
      <c r="W151" s="5"/>
      <c r="X151" s="5"/>
      <c r="Y151" s="5"/>
      <c r="Z151" s="5"/>
    </row>
    <row r="152">
      <c r="A152" s="5"/>
      <c r="B152" s="17"/>
      <c r="C152" s="18"/>
      <c r="D152" s="19"/>
      <c r="E152" s="20"/>
      <c r="F152" s="21"/>
      <c r="G152" s="21"/>
      <c r="H152" s="21"/>
      <c r="I152" s="22"/>
      <c r="J152" s="20"/>
      <c r="K152" s="23"/>
      <c r="L152" s="23"/>
      <c r="M152" s="5"/>
      <c r="N152" s="5"/>
      <c r="O152" s="24"/>
      <c r="P152" s="23"/>
      <c r="Q152" s="24"/>
      <c r="R152" s="5"/>
      <c r="S152" s="5"/>
      <c r="T152" s="24"/>
      <c r="U152" s="24"/>
      <c r="V152" s="25"/>
      <c r="W152" s="28"/>
      <c r="X152" s="5"/>
      <c r="Y152" s="5"/>
      <c r="Z152" s="5"/>
    </row>
    <row r="153">
      <c r="A153" s="5"/>
      <c r="B153" s="17"/>
      <c r="C153" s="18"/>
      <c r="D153" s="19"/>
      <c r="E153" s="20"/>
      <c r="F153" s="21"/>
      <c r="G153" s="21"/>
      <c r="H153" s="21"/>
      <c r="I153" s="22"/>
      <c r="J153" s="20"/>
      <c r="K153" s="23"/>
      <c r="L153" s="23"/>
      <c r="M153" s="5"/>
      <c r="N153" s="5"/>
      <c r="O153" s="24"/>
      <c r="P153" s="23"/>
      <c r="Q153" s="24"/>
      <c r="R153" s="5"/>
      <c r="S153" s="5"/>
      <c r="T153" s="24"/>
      <c r="U153" s="24"/>
      <c r="V153" s="25"/>
      <c r="W153" s="5"/>
      <c r="X153" s="5"/>
      <c r="Y153" s="5"/>
      <c r="Z153" s="5"/>
    </row>
    <row r="154">
      <c r="A154" s="5"/>
      <c r="B154" s="17"/>
      <c r="C154" s="18"/>
      <c r="D154" s="19"/>
      <c r="E154" s="20"/>
      <c r="F154" s="21"/>
      <c r="G154" s="21"/>
      <c r="H154" s="21"/>
      <c r="I154" s="22"/>
      <c r="J154" s="20"/>
      <c r="K154" s="23"/>
      <c r="L154" s="23"/>
      <c r="M154" s="5"/>
      <c r="N154" s="5"/>
      <c r="O154" s="24"/>
      <c r="P154" s="23"/>
      <c r="Q154" s="24"/>
      <c r="R154" s="5"/>
      <c r="S154" s="5"/>
      <c r="T154" s="24"/>
      <c r="U154" s="24"/>
      <c r="V154" s="25"/>
      <c r="W154" s="28"/>
      <c r="X154" s="5"/>
      <c r="Y154" s="5"/>
      <c r="Z154" s="5"/>
    </row>
    <row r="155">
      <c r="A155" s="5"/>
      <c r="B155" s="17"/>
      <c r="C155" s="18"/>
      <c r="D155" s="19"/>
      <c r="E155" s="20"/>
      <c r="F155" s="21"/>
      <c r="G155" s="21"/>
      <c r="H155" s="21"/>
      <c r="I155" s="26"/>
      <c r="J155" s="20"/>
      <c r="K155" s="23"/>
      <c r="L155" s="23"/>
      <c r="M155" s="5"/>
      <c r="N155" s="23"/>
      <c r="O155" s="24"/>
      <c r="P155" s="23"/>
      <c r="Q155" s="24"/>
      <c r="R155" s="5"/>
      <c r="S155" s="5"/>
      <c r="T155" s="24"/>
      <c r="U155" s="24"/>
      <c r="V155" s="25"/>
      <c r="W155" s="5"/>
      <c r="X155" s="5"/>
      <c r="Y155" s="5"/>
      <c r="Z155" s="5"/>
    </row>
    <row r="156">
      <c r="A156" s="5"/>
      <c r="B156" s="17"/>
      <c r="C156" s="18"/>
      <c r="D156" s="19"/>
      <c r="E156" s="20"/>
      <c r="F156" s="21"/>
      <c r="G156" s="21"/>
      <c r="H156" s="21"/>
      <c r="I156" s="22"/>
      <c r="J156" s="20"/>
      <c r="K156" s="23"/>
      <c r="L156" s="23"/>
      <c r="M156" s="5"/>
      <c r="N156" s="5"/>
      <c r="O156" s="24"/>
      <c r="P156" s="23"/>
      <c r="Q156" s="24"/>
      <c r="R156" s="5"/>
      <c r="S156" s="5"/>
      <c r="T156" s="24"/>
      <c r="U156" s="24"/>
      <c r="V156" s="24"/>
      <c r="W156" s="5"/>
      <c r="X156" s="5"/>
      <c r="Y156" s="5"/>
      <c r="Z156" s="5"/>
    </row>
    <row r="157">
      <c r="A157" s="5"/>
      <c r="B157" s="17"/>
      <c r="C157" s="18"/>
      <c r="D157" s="19"/>
      <c r="E157" s="20"/>
      <c r="F157" s="21"/>
      <c r="G157" s="21"/>
      <c r="H157" s="21"/>
      <c r="I157" s="22"/>
      <c r="J157" s="20"/>
      <c r="K157" s="23"/>
      <c r="L157" s="23"/>
      <c r="M157" s="5"/>
      <c r="N157" s="5"/>
      <c r="O157" s="24"/>
      <c r="P157" s="23"/>
      <c r="Q157" s="24"/>
      <c r="R157" s="24"/>
      <c r="S157" s="5"/>
      <c r="T157" s="24"/>
      <c r="U157" s="24"/>
      <c r="V157" s="25"/>
      <c r="W157" s="5"/>
      <c r="X157" s="5"/>
      <c r="Y157" s="5"/>
      <c r="Z157" s="5"/>
    </row>
    <row r="158">
      <c r="A158" s="5"/>
      <c r="B158" s="17"/>
      <c r="C158" s="18"/>
      <c r="D158" s="19"/>
      <c r="E158" s="20"/>
      <c r="F158" s="21"/>
      <c r="G158" s="21"/>
      <c r="H158" s="21"/>
      <c r="I158" s="22"/>
      <c r="J158" s="20"/>
      <c r="K158" s="23"/>
      <c r="L158" s="23"/>
      <c r="M158" s="5"/>
      <c r="N158" s="23"/>
      <c r="O158" s="24"/>
      <c r="P158" s="23"/>
      <c r="Q158" s="24"/>
      <c r="R158" s="5"/>
      <c r="S158" s="5"/>
      <c r="T158" s="24"/>
      <c r="U158" s="24"/>
      <c r="V158" s="24"/>
      <c r="W158" s="5"/>
      <c r="X158" s="5"/>
      <c r="Y158" s="5"/>
      <c r="Z158" s="5"/>
    </row>
    <row r="159">
      <c r="A159" s="5"/>
      <c r="B159" s="17"/>
      <c r="C159" s="18"/>
      <c r="D159" s="19"/>
      <c r="E159" s="20"/>
      <c r="F159" s="21"/>
      <c r="G159" s="21"/>
      <c r="H159" s="21"/>
      <c r="I159" s="22"/>
      <c r="J159" s="20"/>
      <c r="K159" s="23"/>
      <c r="L159" s="23"/>
      <c r="M159" s="5"/>
      <c r="N159" s="23"/>
      <c r="O159" s="24"/>
      <c r="P159" s="23"/>
      <c r="Q159" s="24"/>
      <c r="R159" s="5"/>
      <c r="S159" s="5"/>
      <c r="T159" s="24"/>
      <c r="U159" s="24"/>
      <c r="V159" s="25"/>
      <c r="W159" s="5"/>
      <c r="X159" s="5"/>
      <c r="Y159" s="5"/>
      <c r="Z159" s="5"/>
    </row>
    <row r="160">
      <c r="A160" s="5"/>
      <c r="B160" s="17"/>
      <c r="C160" s="18"/>
      <c r="D160" s="19"/>
      <c r="E160" s="20"/>
      <c r="F160" s="21"/>
      <c r="G160" s="21"/>
      <c r="H160" s="21"/>
      <c r="I160" s="22"/>
      <c r="J160" s="20"/>
      <c r="K160" s="23"/>
      <c r="L160" s="23"/>
      <c r="M160" s="5"/>
      <c r="N160" s="5"/>
      <c r="O160" s="24"/>
      <c r="P160" s="23"/>
      <c r="Q160" s="24"/>
      <c r="R160" s="5"/>
      <c r="S160" s="5"/>
      <c r="T160" s="24"/>
      <c r="U160" s="24"/>
      <c r="V160" s="24"/>
      <c r="W160" s="5"/>
      <c r="X160" s="5"/>
      <c r="Y160" s="5"/>
      <c r="Z160" s="5"/>
    </row>
    <row r="161">
      <c r="A161" s="5"/>
      <c r="B161" s="17"/>
      <c r="C161" s="18"/>
      <c r="D161" s="19"/>
      <c r="E161" s="20"/>
      <c r="F161" s="21"/>
      <c r="G161" s="21"/>
      <c r="H161" s="21"/>
      <c r="I161" s="22"/>
      <c r="J161" s="20"/>
      <c r="K161" s="23"/>
      <c r="L161" s="23"/>
      <c r="M161" s="5"/>
      <c r="N161" s="5"/>
      <c r="O161" s="24"/>
      <c r="P161" s="23"/>
      <c r="Q161" s="24"/>
      <c r="R161" s="5"/>
      <c r="S161" s="5"/>
      <c r="T161" s="24"/>
      <c r="U161" s="24"/>
      <c r="V161" s="25"/>
      <c r="W161" s="5"/>
      <c r="X161" s="5"/>
      <c r="Y161" s="5"/>
      <c r="Z161" s="5"/>
    </row>
    <row r="162">
      <c r="A162" s="5"/>
      <c r="B162" s="17"/>
      <c r="C162" s="18"/>
      <c r="D162" s="19"/>
      <c r="E162" s="20"/>
      <c r="F162" s="21"/>
      <c r="G162" s="21"/>
      <c r="H162" s="21"/>
      <c r="I162" s="22"/>
      <c r="J162" s="20"/>
      <c r="K162" s="23"/>
      <c r="L162" s="23"/>
      <c r="M162" s="5"/>
      <c r="N162" s="5"/>
      <c r="O162" s="24"/>
      <c r="P162" s="23"/>
      <c r="Q162" s="24"/>
      <c r="R162" s="5"/>
      <c r="S162" s="5"/>
      <c r="T162" s="24"/>
      <c r="U162" s="24"/>
      <c r="V162" s="24"/>
      <c r="W162" s="24"/>
      <c r="X162" s="5"/>
      <c r="Y162" s="5"/>
      <c r="Z162" s="5"/>
    </row>
    <row r="163">
      <c r="A163" s="5"/>
      <c r="B163" s="17"/>
      <c r="C163" s="18"/>
      <c r="D163" s="19"/>
      <c r="E163" s="20"/>
      <c r="F163" s="21"/>
      <c r="G163" s="21"/>
      <c r="H163" s="21"/>
      <c r="I163" s="22"/>
      <c r="J163" s="20"/>
      <c r="K163" s="23"/>
      <c r="L163" s="23"/>
      <c r="M163" s="5"/>
      <c r="N163" s="5"/>
      <c r="O163" s="24"/>
      <c r="P163" s="23"/>
      <c r="Q163" s="24"/>
      <c r="R163" s="5"/>
      <c r="S163" s="5"/>
      <c r="T163" s="24"/>
      <c r="U163" s="24"/>
      <c r="V163" s="24"/>
      <c r="W163" s="5"/>
      <c r="X163" s="5"/>
      <c r="Y163" s="5"/>
      <c r="Z163" s="5"/>
    </row>
    <row r="164">
      <c r="A164" s="5"/>
      <c r="B164" s="17"/>
      <c r="C164" s="18"/>
      <c r="D164" s="19"/>
      <c r="E164" s="20"/>
      <c r="F164" s="21"/>
      <c r="G164" s="21"/>
      <c r="H164" s="21"/>
      <c r="I164" s="22"/>
      <c r="J164" s="20"/>
      <c r="K164" s="23"/>
      <c r="L164" s="23"/>
      <c r="M164" s="5"/>
      <c r="N164" s="5"/>
      <c r="O164" s="24"/>
      <c r="P164" s="23"/>
      <c r="Q164" s="24"/>
      <c r="R164" s="5"/>
      <c r="S164" s="5"/>
      <c r="T164" s="24"/>
      <c r="U164" s="24"/>
      <c r="V164" s="24"/>
      <c r="W164" s="5"/>
      <c r="X164" s="5"/>
      <c r="Y164" s="5"/>
      <c r="Z164" s="5"/>
    </row>
    <row r="165">
      <c r="A165" s="5"/>
      <c r="B165" s="17"/>
      <c r="C165" s="18"/>
      <c r="D165" s="19"/>
      <c r="E165" s="20"/>
      <c r="F165" s="21"/>
      <c r="G165" s="21"/>
      <c r="H165" s="21"/>
      <c r="I165" s="22"/>
      <c r="J165" s="20"/>
      <c r="K165" s="23"/>
      <c r="L165" s="23"/>
      <c r="M165" s="5"/>
      <c r="N165" s="5"/>
      <c r="O165" s="24"/>
      <c r="P165" s="23"/>
      <c r="Q165" s="24"/>
      <c r="R165" s="5"/>
      <c r="S165" s="5"/>
      <c r="T165" s="24"/>
      <c r="U165" s="24"/>
      <c r="V165" s="24"/>
      <c r="W165" s="5"/>
      <c r="X165" s="5"/>
      <c r="Y165" s="5"/>
      <c r="Z165" s="5"/>
    </row>
    <row r="166">
      <c r="A166" s="5"/>
      <c r="B166" s="17"/>
      <c r="C166" s="18"/>
      <c r="D166" s="19"/>
      <c r="E166" s="20"/>
      <c r="F166" s="21"/>
      <c r="G166" s="21"/>
      <c r="H166" s="21"/>
      <c r="I166" s="22"/>
      <c r="J166" s="20"/>
      <c r="K166" s="23"/>
      <c r="L166" s="23"/>
      <c r="M166" s="5"/>
      <c r="N166" s="23"/>
      <c r="O166" s="24"/>
      <c r="P166" s="23"/>
      <c r="Q166" s="24"/>
      <c r="R166" s="5"/>
      <c r="S166" s="5"/>
      <c r="T166" s="24"/>
      <c r="U166" s="24"/>
      <c r="V166" s="24"/>
      <c r="W166" s="27"/>
      <c r="X166" s="5"/>
      <c r="Y166" s="5"/>
      <c r="Z166" s="5"/>
    </row>
    <row r="167">
      <c r="A167" s="5"/>
      <c r="B167" s="17"/>
      <c r="C167" s="18"/>
      <c r="D167" s="19"/>
      <c r="E167" s="20"/>
      <c r="F167" s="21"/>
      <c r="G167" s="21"/>
      <c r="H167" s="21"/>
      <c r="I167" s="22"/>
      <c r="J167" s="20"/>
      <c r="K167" s="23"/>
      <c r="L167" s="23"/>
      <c r="M167" s="5"/>
      <c r="N167" s="23"/>
      <c r="O167" s="24"/>
      <c r="P167" s="23"/>
      <c r="Q167" s="24"/>
      <c r="R167" s="5"/>
      <c r="S167" s="5"/>
      <c r="T167" s="24"/>
      <c r="U167" s="24"/>
      <c r="V167" s="24"/>
      <c r="W167" s="5"/>
      <c r="X167" s="5"/>
      <c r="Y167" s="5"/>
      <c r="Z167" s="5"/>
    </row>
    <row r="168">
      <c r="A168" s="5"/>
      <c r="B168" s="17"/>
      <c r="C168" s="18"/>
      <c r="D168" s="19"/>
      <c r="E168" s="20"/>
      <c r="F168" s="21"/>
      <c r="G168" s="21"/>
      <c r="H168" s="21"/>
      <c r="I168" s="22"/>
      <c r="J168" s="20"/>
      <c r="K168" s="23"/>
      <c r="L168" s="23"/>
      <c r="M168" s="5"/>
      <c r="N168" s="23"/>
      <c r="O168" s="24"/>
      <c r="P168" s="23"/>
      <c r="Q168" s="24"/>
      <c r="R168" s="5"/>
      <c r="S168" s="5"/>
      <c r="T168" s="24"/>
      <c r="U168" s="24"/>
      <c r="V168" s="24"/>
      <c r="W168" s="27"/>
      <c r="X168" s="5"/>
      <c r="Y168" s="5"/>
      <c r="Z168" s="5"/>
    </row>
    <row r="169">
      <c r="A169" s="5"/>
      <c r="B169" s="17"/>
      <c r="C169" s="18"/>
      <c r="D169" s="19"/>
      <c r="E169" s="20"/>
      <c r="F169" s="21"/>
      <c r="G169" s="21"/>
      <c r="H169" s="21"/>
      <c r="I169" s="22"/>
      <c r="J169" s="20"/>
      <c r="K169" s="23"/>
      <c r="L169" s="23"/>
      <c r="M169" s="5"/>
      <c r="N169" s="23"/>
      <c r="O169" s="24"/>
      <c r="P169" s="23"/>
      <c r="Q169" s="24"/>
      <c r="R169" s="5"/>
      <c r="S169" s="5"/>
      <c r="T169" s="24"/>
      <c r="U169" s="24"/>
      <c r="V169" s="25"/>
      <c r="W169" s="5"/>
      <c r="X169" s="5"/>
      <c r="Y169" s="5"/>
      <c r="Z169" s="5"/>
    </row>
    <row r="170">
      <c r="A170" s="5"/>
      <c r="B170" s="17"/>
      <c r="C170" s="18"/>
      <c r="D170" s="19"/>
      <c r="E170" s="20"/>
      <c r="F170" s="21"/>
      <c r="G170" s="21"/>
      <c r="H170" s="21"/>
      <c r="I170" s="22"/>
      <c r="J170" s="20"/>
      <c r="K170" s="23"/>
      <c r="L170" s="23"/>
      <c r="M170" s="5"/>
      <c r="N170" s="23"/>
      <c r="O170" s="24"/>
      <c r="P170" s="23"/>
      <c r="Q170" s="24"/>
      <c r="R170" s="5"/>
      <c r="S170" s="5"/>
      <c r="T170" s="24"/>
      <c r="U170" s="24"/>
      <c r="V170" s="24"/>
      <c r="W170" s="5"/>
      <c r="X170" s="5"/>
      <c r="Y170" s="5"/>
      <c r="Z170" s="5"/>
    </row>
    <row r="171">
      <c r="A171" s="5"/>
      <c r="B171" s="17"/>
      <c r="C171" s="18"/>
      <c r="D171" s="19"/>
      <c r="E171" s="20"/>
      <c r="F171" s="21"/>
      <c r="G171" s="21"/>
      <c r="H171" s="21"/>
      <c r="I171" s="22"/>
      <c r="J171" s="20"/>
      <c r="K171" s="23"/>
      <c r="L171" s="23"/>
      <c r="M171" s="5"/>
      <c r="N171" s="23"/>
      <c r="O171" s="24"/>
      <c r="P171" s="23"/>
      <c r="Q171" s="24"/>
      <c r="R171" s="5"/>
      <c r="S171" s="5"/>
      <c r="T171" s="24"/>
      <c r="U171" s="24"/>
      <c r="V171" s="24"/>
      <c r="W171" s="24"/>
      <c r="X171" s="5"/>
      <c r="Y171" s="5"/>
      <c r="Z171" s="5"/>
    </row>
    <row r="172">
      <c r="A172" s="5"/>
      <c r="B172" s="17"/>
      <c r="C172" s="18"/>
      <c r="D172" s="19"/>
      <c r="E172" s="20"/>
      <c r="F172" s="21"/>
      <c r="G172" s="21"/>
      <c r="H172" s="21"/>
      <c r="I172" s="22"/>
      <c r="J172" s="20"/>
      <c r="K172" s="23"/>
      <c r="L172" s="23"/>
      <c r="M172" s="5"/>
      <c r="N172" s="23"/>
      <c r="O172" s="24"/>
      <c r="P172" s="23"/>
      <c r="Q172" s="24"/>
      <c r="R172" s="5"/>
      <c r="S172" s="5"/>
      <c r="T172" s="24"/>
      <c r="U172" s="24"/>
      <c r="V172" s="24"/>
      <c r="W172" s="5"/>
      <c r="X172" s="5"/>
      <c r="Y172" s="5"/>
      <c r="Z172" s="5"/>
    </row>
    <row r="173">
      <c r="A173" s="5"/>
      <c r="B173" s="17"/>
      <c r="C173" s="18"/>
      <c r="D173" s="19"/>
      <c r="E173" s="20"/>
      <c r="F173" s="21"/>
      <c r="G173" s="21"/>
      <c r="H173" s="21"/>
      <c r="I173" s="26"/>
      <c r="J173" s="20"/>
      <c r="K173" s="23"/>
      <c r="L173" s="23"/>
      <c r="M173" s="5"/>
      <c r="N173" s="23"/>
      <c r="O173" s="24"/>
      <c r="P173" s="23"/>
      <c r="Q173" s="24"/>
      <c r="R173" s="5"/>
      <c r="S173" s="5"/>
      <c r="T173" s="24"/>
      <c r="U173" s="24"/>
      <c r="V173" s="25"/>
      <c r="W173" s="5"/>
      <c r="X173" s="5"/>
      <c r="Y173" s="5"/>
      <c r="Z173" s="5"/>
    </row>
    <row r="174">
      <c r="A174" s="5"/>
      <c r="B174" s="17"/>
      <c r="C174" s="18"/>
      <c r="D174" s="19"/>
      <c r="E174" s="20"/>
      <c r="F174" s="21"/>
      <c r="G174" s="21"/>
      <c r="H174" s="21"/>
      <c r="I174" s="22"/>
      <c r="J174" s="20"/>
      <c r="K174" s="23"/>
      <c r="L174" s="23"/>
      <c r="M174" s="5"/>
      <c r="N174" s="23"/>
      <c r="O174" s="24"/>
      <c r="P174" s="23"/>
      <c r="Q174" s="24"/>
      <c r="R174" s="5"/>
      <c r="S174" s="5"/>
      <c r="T174" s="24"/>
      <c r="U174" s="24"/>
      <c r="V174" s="24"/>
      <c r="W174" s="5"/>
      <c r="X174" s="5"/>
      <c r="Y174" s="5"/>
      <c r="Z174" s="5"/>
    </row>
    <row r="175">
      <c r="A175" s="5"/>
      <c r="B175" s="17"/>
      <c r="C175" s="18"/>
      <c r="D175" s="19"/>
      <c r="E175" s="20"/>
      <c r="F175" s="21"/>
      <c r="G175" s="21"/>
      <c r="H175" s="21"/>
      <c r="I175" s="26"/>
      <c r="J175" s="20"/>
      <c r="K175" s="23"/>
      <c r="L175" s="23"/>
      <c r="M175" s="5"/>
      <c r="N175" s="23"/>
      <c r="O175" s="24"/>
      <c r="P175" s="23"/>
      <c r="Q175" s="24"/>
      <c r="R175" s="5"/>
      <c r="S175" s="5"/>
      <c r="T175" s="24"/>
      <c r="U175" s="24"/>
      <c r="V175" s="24"/>
      <c r="W175" s="5"/>
      <c r="X175" s="5"/>
      <c r="Y175" s="5"/>
      <c r="Z175" s="5"/>
    </row>
    <row r="176">
      <c r="A176" s="5"/>
      <c r="B176" s="17"/>
      <c r="C176" s="18"/>
      <c r="D176" s="19"/>
      <c r="E176" s="20"/>
      <c r="F176" s="21"/>
      <c r="G176" s="21"/>
      <c r="H176" s="21"/>
      <c r="I176" s="22"/>
      <c r="J176" s="20"/>
      <c r="K176" s="23"/>
      <c r="L176" s="23"/>
      <c r="M176" s="5"/>
      <c r="N176" s="23"/>
      <c r="O176" s="24"/>
      <c r="P176" s="23"/>
      <c r="Q176" s="24"/>
      <c r="R176" s="5"/>
      <c r="S176" s="5"/>
      <c r="T176" s="24"/>
      <c r="U176" s="24"/>
      <c r="V176" s="25"/>
      <c r="W176" s="5"/>
      <c r="X176" s="5"/>
      <c r="Y176" s="5"/>
      <c r="Z176" s="5"/>
    </row>
    <row r="177">
      <c r="A177" s="5"/>
      <c r="B177" s="17"/>
      <c r="C177" s="18"/>
      <c r="D177" s="19"/>
      <c r="E177" s="20"/>
      <c r="F177" s="21"/>
      <c r="G177" s="21"/>
      <c r="H177" s="21"/>
      <c r="I177" s="22"/>
      <c r="J177" s="20"/>
      <c r="K177" s="23"/>
      <c r="L177" s="23"/>
      <c r="M177" s="5"/>
      <c r="N177" s="23"/>
      <c r="O177" s="24"/>
      <c r="P177" s="23"/>
      <c r="Q177" s="24"/>
      <c r="R177" s="5"/>
      <c r="S177" s="5"/>
      <c r="T177" s="24"/>
      <c r="U177" s="24"/>
      <c r="V177" s="24"/>
      <c r="W177" s="5"/>
      <c r="X177" s="5"/>
      <c r="Y177" s="5"/>
      <c r="Z177" s="5"/>
    </row>
    <row r="178">
      <c r="A178" s="5"/>
      <c r="B178" s="17"/>
      <c r="C178" s="18"/>
      <c r="D178" s="19"/>
      <c r="E178" s="20"/>
      <c r="F178" s="21"/>
      <c r="G178" s="21"/>
      <c r="H178" s="21"/>
      <c r="I178" s="22"/>
      <c r="J178" s="20"/>
      <c r="K178" s="23"/>
      <c r="L178" s="23"/>
      <c r="M178" s="5"/>
      <c r="N178" s="23"/>
      <c r="O178" s="24"/>
      <c r="P178" s="23"/>
      <c r="Q178" s="24"/>
      <c r="R178" s="5"/>
      <c r="S178" s="5"/>
      <c r="T178" s="24"/>
      <c r="U178" s="24"/>
      <c r="V178" s="24"/>
      <c r="W178" s="5"/>
      <c r="X178" s="5"/>
      <c r="Y178" s="5"/>
      <c r="Z178" s="5"/>
    </row>
    <row r="179">
      <c r="A179" s="5"/>
      <c r="B179" s="17"/>
      <c r="C179" s="18"/>
      <c r="D179" s="19"/>
      <c r="E179" s="20"/>
      <c r="F179" s="21"/>
      <c r="G179" s="21"/>
      <c r="H179" s="21"/>
      <c r="I179" s="22"/>
      <c r="J179" s="20"/>
      <c r="K179" s="23"/>
      <c r="L179" s="23"/>
      <c r="M179" s="5"/>
      <c r="N179" s="23"/>
      <c r="O179" s="24"/>
      <c r="P179" s="23"/>
      <c r="Q179" s="24"/>
      <c r="R179" s="5"/>
      <c r="S179" s="5"/>
      <c r="T179" s="24"/>
      <c r="U179" s="24"/>
      <c r="V179" s="24"/>
      <c r="W179" s="5"/>
      <c r="X179" s="5"/>
      <c r="Y179" s="5"/>
      <c r="Z179" s="5"/>
    </row>
    <row r="180">
      <c r="A180" s="5"/>
      <c r="B180" s="17"/>
      <c r="C180" s="18"/>
      <c r="D180" s="19"/>
      <c r="E180" s="20"/>
      <c r="F180" s="21"/>
      <c r="G180" s="21"/>
      <c r="H180" s="21"/>
      <c r="I180" s="22"/>
      <c r="J180" s="20"/>
      <c r="K180" s="23"/>
      <c r="L180" s="23"/>
      <c r="M180" s="5"/>
      <c r="N180" s="23"/>
      <c r="O180" s="24"/>
      <c r="P180" s="23"/>
      <c r="Q180" s="24"/>
      <c r="R180" s="5"/>
      <c r="S180" s="5"/>
      <c r="T180" s="24"/>
      <c r="U180" s="24"/>
      <c r="V180" s="25"/>
      <c r="W180" s="5"/>
      <c r="X180" s="5"/>
      <c r="Y180" s="5"/>
      <c r="Z180" s="5"/>
    </row>
    <row r="181">
      <c r="A181" s="5"/>
      <c r="B181" s="17"/>
      <c r="C181" s="18"/>
      <c r="D181" s="19"/>
      <c r="E181" s="20"/>
      <c r="F181" s="21"/>
      <c r="G181" s="21"/>
      <c r="H181" s="21"/>
      <c r="I181" s="22"/>
      <c r="J181" s="20"/>
      <c r="K181" s="23"/>
      <c r="L181" s="23"/>
      <c r="M181" s="5"/>
      <c r="N181" s="23"/>
      <c r="O181" s="24"/>
      <c r="P181" s="23"/>
      <c r="Q181" s="24"/>
      <c r="R181" s="5"/>
      <c r="S181" s="5"/>
      <c r="T181" s="24"/>
      <c r="U181" s="24"/>
      <c r="V181" s="24"/>
      <c r="W181" s="5"/>
      <c r="X181" s="5"/>
      <c r="Y181" s="5"/>
      <c r="Z181" s="5"/>
    </row>
    <row r="182">
      <c r="A182" s="5"/>
      <c r="B182" s="17"/>
      <c r="C182" s="18"/>
      <c r="D182" s="19"/>
      <c r="E182" s="20"/>
      <c r="F182" s="21"/>
      <c r="G182" s="21"/>
      <c r="H182" s="21"/>
      <c r="I182" s="22"/>
      <c r="J182" s="20"/>
      <c r="K182" s="23"/>
      <c r="L182" s="23"/>
      <c r="M182" s="5"/>
      <c r="N182" s="23"/>
      <c r="O182" s="24"/>
      <c r="P182" s="23"/>
      <c r="Q182" s="24"/>
      <c r="R182" s="5"/>
      <c r="S182" s="5"/>
      <c r="T182" s="24"/>
      <c r="U182" s="24"/>
      <c r="V182" s="24"/>
      <c r="W182" s="5"/>
      <c r="X182" s="5"/>
      <c r="Y182" s="5"/>
      <c r="Z182" s="5"/>
    </row>
    <row r="183">
      <c r="A183" s="5"/>
      <c r="B183" s="17"/>
      <c r="C183" s="18"/>
      <c r="D183" s="19"/>
      <c r="E183" s="20"/>
      <c r="F183" s="21"/>
      <c r="G183" s="21"/>
      <c r="H183" s="21"/>
      <c r="I183" s="22"/>
      <c r="J183" s="20"/>
      <c r="K183" s="23"/>
      <c r="L183" s="23"/>
      <c r="M183" s="5"/>
      <c r="N183" s="23"/>
      <c r="O183" s="24"/>
      <c r="P183" s="23"/>
      <c r="Q183" s="24"/>
      <c r="R183" s="5"/>
      <c r="S183" s="5"/>
      <c r="T183" s="24"/>
      <c r="U183" s="24"/>
      <c r="V183" s="24"/>
      <c r="W183" s="5"/>
      <c r="X183" s="5"/>
      <c r="Y183" s="5"/>
      <c r="Z183" s="5"/>
    </row>
    <row r="184">
      <c r="A184" s="5"/>
      <c r="B184" s="17"/>
      <c r="C184" s="18"/>
      <c r="D184" s="19"/>
      <c r="E184" s="20"/>
      <c r="F184" s="21"/>
      <c r="G184" s="21"/>
      <c r="H184" s="21"/>
      <c r="I184" s="22"/>
      <c r="J184" s="20"/>
      <c r="K184" s="23"/>
      <c r="L184" s="23"/>
      <c r="M184" s="5"/>
      <c r="N184" s="23"/>
      <c r="O184" s="24"/>
      <c r="P184" s="23"/>
      <c r="Q184" s="24"/>
      <c r="R184" s="5"/>
      <c r="S184" s="5"/>
      <c r="T184" s="24"/>
      <c r="U184" s="24"/>
      <c r="V184" s="24"/>
      <c r="W184" s="5"/>
      <c r="X184" s="5"/>
      <c r="Y184" s="5"/>
      <c r="Z184" s="5"/>
    </row>
    <row r="185">
      <c r="A185" s="5"/>
      <c r="B185" s="17"/>
      <c r="C185" s="18"/>
      <c r="D185" s="19"/>
      <c r="E185" s="20"/>
      <c r="F185" s="21"/>
      <c r="G185" s="21"/>
      <c r="H185" s="21"/>
      <c r="I185" s="22"/>
      <c r="J185" s="20"/>
      <c r="K185" s="23"/>
      <c r="L185" s="23"/>
      <c r="M185" s="5"/>
      <c r="N185" s="23"/>
      <c r="O185" s="24"/>
      <c r="P185" s="23"/>
      <c r="Q185" s="24"/>
      <c r="R185" s="5"/>
      <c r="S185" s="5"/>
      <c r="T185" s="24"/>
      <c r="U185" s="24"/>
      <c r="V185" s="25"/>
      <c r="W185" s="5"/>
      <c r="X185" s="5"/>
      <c r="Y185" s="5"/>
      <c r="Z185" s="5"/>
    </row>
    <row r="186">
      <c r="A186" s="5"/>
      <c r="B186" s="17"/>
      <c r="C186" s="18"/>
      <c r="D186" s="19"/>
      <c r="E186" s="20"/>
      <c r="F186" s="21"/>
      <c r="G186" s="21"/>
      <c r="H186" s="21"/>
      <c r="I186" s="22"/>
      <c r="J186" s="20"/>
      <c r="K186" s="23"/>
      <c r="L186" s="23"/>
      <c r="M186" s="5"/>
      <c r="N186" s="23"/>
      <c r="O186" s="24"/>
      <c r="P186" s="23"/>
      <c r="Q186" s="24"/>
      <c r="R186" s="5"/>
      <c r="S186" s="5"/>
      <c r="T186" s="24"/>
      <c r="U186" s="24"/>
      <c r="V186" s="24"/>
      <c r="W186" s="5"/>
      <c r="X186" s="5"/>
      <c r="Y186" s="5"/>
      <c r="Z186" s="5"/>
    </row>
    <row r="187">
      <c r="A187" s="5"/>
      <c r="B187" s="17"/>
      <c r="C187" s="18"/>
      <c r="D187" s="19"/>
      <c r="E187" s="20"/>
      <c r="F187" s="21"/>
      <c r="G187" s="21"/>
      <c r="H187" s="21"/>
      <c r="I187" s="22"/>
      <c r="J187" s="20"/>
      <c r="K187" s="23"/>
      <c r="L187" s="23"/>
      <c r="M187" s="5"/>
      <c r="N187" s="23"/>
      <c r="O187" s="24"/>
      <c r="P187" s="23"/>
      <c r="Q187" s="24"/>
      <c r="R187" s="5"/>
      <c r="S187" s="5"/>
      <c r="T187" s="24"/>
      <c r="U187" s="24"/>
      <c r="V187" s="24"/>
      <c r="W187" s="5"/>
      <c r="X187" s="5"/>
      <c r="Y187" s="5"/>
      <c r="Z187" s="5"/>
    </row>
    <row r="188">
      <c r="A188" s="5"/>
      <c r="B188" s="17"/>
      <c r="C188" s="18"/>
      <c r="D188" s="19"/>
      <c r="E188" s="20"/>
      <c r="F188" s="21"/>
      <c r="G188" s="21"/>
      <c r="H188" s="21"/>
      <c r="I188" s="22"/>
      <c r="J188" s="20"/>
      <c r="K188" s="23"/>
      <c r="L188" s="23"/>
      <c r="M188" s="5"/>
      <c r="N188" s="23"/>
      <c r="O188" s="24"/>
      <c r="P188" s="23"/>
      <c r="Q188" s="24"/>
      <c r="R188" s="5"/>
      <c r="S188" s="5"/>
      <c r="T188" s="24"/>
      <c r="U188" s="24"/>
      <c r="V188" s="24"/>
      <c r="W188" s="5"/>
      <c r="X188" s="5"/>
      <c r="Y188" s="5"/>
      <c r="Z188" s="5"/>
    </row>
    <row r="189">
      <c r="A189" s="5"/>
      <c r="B189" s="17"/>
      <c r="C189" s="18"/>
      <c r="D189" s="19"/>
      <c r="E189" s="20"/>
      <c r="F189" s="21"/>
      <c r="G189" s="21"/>
      <c r="H189" s="21"/>
      <c r="I189" s="22"/>
      <c r="J189" s="20"/>
      <c r="K189" s="23"/>
      <c r="L189" s="23"/>
      <c r="M189" s="5"/>
      <c r="N189" s="23"/>
      <c r="O189" s="24"/>
      <c r="P189" s="23"/>
      <c r="Q189" s="24"/>
      <c r="R189" s="5"/>
      <c r="S189" s="5"/>
      <c r="T189" s="24"/>
      <c r="U189" s="24"/>
      <c r="V189" s="24"/>
      <c r="W189" s="5"/>
      <c r="X189" s="5"/>
      <c r="Y189" s="5"/>
      <c r="Z189" s="5"/>
    </row>
    <row r="190">
      <c r="A190" s="5"/>
      <c r="B190" s="17"/>
      <c r="C190" s="18"/>
      <c r="D190" s="19"/>
      <c r="E190" s="20"/>
      <c r="F190" s="21"/>
      <c r="G190" s="21"/>
      <c r="H190" s="21"/>
      <c r="I190" s="22"/>
      <c r="J190" s="20"/>
      <c r="K190" s="23"/>
      <c r="L190" s="23"/>
      <c r="M190" s="5"/>
      <c r="N190" s="23"/>
      <c r="O190" s="24"/>
      <c r="P190" s="23"/>
      <c r="Q190" s="24"/>
      <c r="R190" s="5"/>
      <c r="S190" s="5"/>
      <c r="T190" s="24"/>
      <c r="U190" s="24"/>
      <c r="V190" s="24"/>
      <c r="W190" s="5"/>
      <c r="X190" s="5"/>
      <c r="Y190" s="5"/>
      <c r="Z190" s="5"/>
    </row>
    <row r="191">
      <c r="A191" s="5"/>
      <c r="B191" s="17"/>
      <c r="C191" s="18"/>
      <c r="D191" s="19"/>
      <c r="E191" s="20"/>
      <c r="F191" s="21"/>
      <c r="G191" s="21"/>
      <c r="H191" s="21"/>
      <c r="I191" s="22"/>
      <c r="J191" s="20"/>
      <c r="K191" s="23"/>
      <c r="L191" s="23"/>
      <c r="M191" s="5"/>
      <c r="N191" s="23"/>
      <c r="O191" s="24"/>
      <c r="P191" s="23"/>
      <c r="Q191" s="24"/>
      <c r="R191" s="5"/>
      <c r="S191" s="5"/>
      <c r="T191" s="24"/>
      <c r="U191" s="24"/>
      <c r="V191" s="24"/>
      <c r="W191" s="27"/>
      <c r="X191" s="5"/>
      <c r="Y191" s="5"/>
      <c r="Z191" s="5"/>
    </row>
    <row r="192">
      <c r="A192" s="5"/>
      <c r="B192" s="17"/>
      <c r="C192" s="18"/>
      <c r="D192" s="19"/>
      <c r="E192" s="20"/>
      <c r="F192" s="21"/>
      <c r="G192" s="21"/>
      <c r="H192" s="21"/>
      <c r="I192" s="22"/>
      <c r="J192" s="20"/>
      <c r="K192" s="23"/>
      <c r="L192" s="23"/>
      <c r="M192" s="5"/>
      <c r="N192" s="23"/>
      <c r="O192" s="24"/>
      <c r="P192" s="23"/>
      <c r="Q192" s="24"/>
      <c r="R192" s="5"/>
      <c r="S192" s="5"/>
      <c r="T192" s="24"/>
      <c r="U192" s="24"/>
      <c r="V192" s="24"/>
      <c r="W192" s="24"/>
      <c r="X192" s="5"/>
      <c r="Y192" s="5"/>
      <c r="Z192" s="5"/>
    </row>
    <row r="193">
      <c r="A193" s="5"/>
      <c r="B193" s="17"/>
      <c r="C193" s="18"/>
      <c r="D193" s="19"/>
      <c r="E193" s="20"/>
      <c r="F193" s="21"/>
      <c r="G193" s="21"/>
      <c r="H193" s="21"/>
      <c r="I193" s="22"/>
      <c r="J193" s="20"/>
      <c r="K193" s="23"/>
      <c r="L193" s="23"/>
      <c r="M193" s="5"/>
      <c r="N193" s="23"/>
      <c r="O193" s="24"/>
      <c r="P193" s="23"/>
      <c r="Q193" s="24"/>
      <c r="R193" s="5"/>
      <c r="S193" s="5"/>
      <c r="T193" s="24"/>
      <c r="U193" s="24"/>
      <c r="V193" s="24"/>
      <c r="W193" s="5"/>
      <c r="X193" s="5"/>
      <c r="Y193" s="5"/>
      <c r="Z193" s="5"/>
    </row>
    <row r="194">
      <c r="A194" s="5"/>
      <c r="B194" s="17"/>
      <c r="C194" s="18"/>
      <c r="D194" s="19"/>
      <c r="E194" s="20"/>
      <c r="F194" s="21"/>
      <c r="G194" s="21"/>
      <c r="H194" s="21"/>
      <c r="I194" s="22"/>
      <c r="J194" s="20"/>
      <c r="K194" s="23"/>
      <c r="L194" s="23"/>
      <c r="M194" s="5"/>
      <c r="N194" s="23"/>
      <c r="O194" s="24"/>
      <c r="P194" s="23"/>
      <c r="Q194" s="24"/>
      <c r="R194" s="5"/>
      <c r="S194" s="5"/>
      <c r="T194" s="24"/>
      <c r="U194" s="24"/>
      <c r="V194" s="25"/>
      <c r="W194" s="5"/>
      <c r="X194" s="5"/>
      <c r="Y194" s="5"/>
      <c r="Z194" s="5"/>
    </row>
    <row r="195">
      <c r="A195" s="5"/>
      <c r="B195" s="17"/>
      <c r="C195" s="18"/>
      <c r="D195" s="19"/>
      <c r="E195" s="20"/>
      <c r="F195" s="21"/>
      <c r="G195" s="21"/>
      <c r="H195" s="21"/>
      <c r="I195" s="22"/>
      <c r="J195" s="20"/>
      <c r="K195" s="23"/>
      <c r="L195" s="23"/>
      <c r="M195" s="5"/>
      <c r="N195" s="23"/>
      <c r="O195" s="24"/>
      <c r="P195" s="23"/>
      <c r="Q195" s="24"/>
      <c r="R195" s="5"/>
      <c r="S195" s="5"/>
      <c r="T195" s="24"/>
      <c r="U195" s="24"/>
      <c r="V195" s="24"/>
      <c r="W195" s="27"/>
      <c r="X195" s="5"/>
      <c r="Y195" s="5"/>
      <c r="Z195" s="5"/>
    </row>
    <row r="196">
      <c r="A196" s="5"/>
      <c r="B196" s="17"/>
      <c r="C196" s="18"/>
      <c r="D196" s="19"/>
      <c r="E196" s="20"/>
      <c r="F196" s="21"/>
      <c r="G196" s="21"/>
      <c r="H196" s="21"/>
      <c r="I196" s="22"/>
      <c r="J196" s="20"/>
      <c r="K196" s="23"/>
      <c r="L196" s="23"/>
      <c r="M196" s="5"/>
      <c r="N196" s="23"/>
      <c r="O196" s="24"/>
      <c r="P196" s="23"/>
      <c r="Q196" s="24"/>
      <c r="R196" s="5"/>
      <c r="S196" s="5"/>
      <c r="T196" s="24"/>
      <c r="U196" s="24"/>
      <c r="V196" s="24"/>
      <c r="W196" s="5"/>
      <c r="X196" s="5"/>
      <c r="Y196" s="5"/>
      <c r="Z196" s="5"/>
    </row>
    <row r="197">
      <c r="A197" s="5"/>
      <c r="B197" s="17"/>
      <c r="C197" s="18"/>
      <c r="D197" s="19"/>
      <c r="E197" s="20"/>
      <c r="F197" s="21"/>
      <c r="G197" s="21"/>
      <c r="H197" s="21"/>
      <c r="I197" s="22"/>
      <c r="J197" s="20"/>
      <c r="K197" s="23"/>
      <c r="L197" s="23"/>
      <c r="M197" s="5"/>
      <c r="N197" s="23"/>
      <c r="O197" s="24"/>
      <c r="P197" s="23"/>
      <c r="Q197" s="24"/>
      <c r="R197" s="5"/>
      <c r="S197" s="5"/>
      <c r="T197" s="24"/>
      <c r="U197" s="24"/>
      <c r="V197" s="25"/>
      <c r="W197" s="5"/>
      <c r="X197" s="5"/>
      <c r="Y197" s="5"/>
      <c r="Z197" s="5"/>
    </row>
    <row r="198">
      <c r="A198" s="5"/>
      <c r="B198" s="17"/>
      <c r="C198" s="18"/>
      <c r="D198" s="19"/>
      <c r="E198" s="20"/>
      <c r="F198" s="21"/>
      <c r="G198" s="21"/>
      <c r="H198" s="21"/>
      <c r="I198" s="22"/>
      <c r="J198" s="20"/>
      <c r="K198" s="23"/>
      <c r="L198" s="23"/>
      <c r="M198" s="5"/>
      <c r="N198" s="23"/>
      <c r="O198" s="24"/>
      <c r="P198" s="23"/>
      <c r="Q198" s="24"/>
      <c r="R198" s="5"/>
      <c r="S198" s="5"/>
      <c r="T198" s="24"/>
      <c r="U198" s="24"/>
      <c r="V198" s="24"/>
      <c r="W198" s="5"/>
      <c r="X198" s="5"/>
      <c r="Y198" s="5"/>
      <c r="Z198" s="5"/>
    </row>
    <row r="199">
      <c r="A199" s="5"/>
      <c r="B199" s="17"/>
      <c r="C199" s="18"/>
      <c r="D199" s="19"/>
      <c r="E199" s="20"/>
      <c r="F199" s="21"/>
      <c r="G199" s="21"/>
      <c r="H199" s="21"/>
      <c r="I199" s="22"/>
      <c r="J199" s="20"/>
      <c r="K199" s="23"/>
      <c r="L199" s="23"/>
      <c r="M199" s="5"/>
      <c r="N199" s="23"/>
      <c r="O199" s="24"/>
      <c r="P199" s="23"/>
      <c r="Q199" s="24"/>
      <c r="R199" s="5"/>
      <c r="S199" s="5"/>
      <c r="T199" s="24"/>
      <c r="U199" s="24"/>
      <c r="V199" s="24"/>
      <c r="W199" s="24"/>
      <c r="X199" s="5"/>
      <c r="Y199" s="5"/>
      <c r="Z199" s="5"/>
    </row>
    <row r="200">
      <c r="A200" s="5"/>
      <c r="B200" s="17"/>
      <c r="C200" s="18"/>
      <c r="D200" s="19"/>
      <c r="E200" s="20"/>
      <c r="F200" s="21"/>
      <c r="G200" s="21"/>
      <c r="H200" s="21"/>
      <c r="I200" s="22"/>
      <c r="J200" s="20"/>
      <c r="K200" s="23"/>
      <c r="L200" s="23"/>
      <c r="M200" s="5"/>
      <c r="N200" s="23"/>
      <c r="O200" s="24"/>
      <c r="P200" s="23"/>
      <c r="Q200" s="24"/>
      <c r="R200" s="5"/>
      <c r="S200" s="5"/>
      <c r="T200" s="24"/>
      <c r="U200" s="24"/>
      <c r="V200" s="24"/>
      <c r="W200" s="24"/>
      <c r="X200" s="5"/>
      <c r="Y200" s="5"/>
      <c r="Z200" s="5"/>
    </row>
    <row r="201">
      <c r="A201" s="5"/>
      <c r="B201" s="17"/>
      <c r="C201" s="18"/>
      <c r="D201" s="19"/>
      <c r="E201" s="20"/>
      <c r="F201" s="21"/>
      <c r="G201" s="21"/>
      <c r="H201" s="21"/>
      <c r="I201" s="22"/>
      <c r="J201" s="20"/>
      <c r="K201" s="23"/>
      <c r="L201" s="23"/>
      <c r="M201" s="5"/>
      <c r="N201" s="23"/>
      <c r="O201" s="24"/>
      <c r="P201" s="23"/>
      <c r="Q201" s="24"/>
      <c r="R201" s="5"/>
      <c r="S201" s="5"/>
      <c r="T201" s="24"/>
      <c r="U201" s="24"/>
      <c r="V201" s="24"/>
      <c r="W201" s="5"/>
      <c r="X201" s="5"/>
      <c r="Y201" s="5"/>
      <c r="Z201" s="5"/>
    </row>
    <row r="202">
      <c r="A202" s="5"/>
      <c r="B202" s="17"/>
      <c r="C202" s="18"/>
      <c r="D202" s="19"/>
      <c r="E202" s="20"/>
      <c r="F202" s="21"/>
      <c r="G202" s="21"/>
      <c r="H202" s="21"/>
      <c r="I202" s="22"/>
      <c r="J202" s="20"/>
      <c r="K202" s="23"/>
      <c r="L202" s="23"/>
      <c r="M202" s="5"/>
      <c r="N202" s="23"/>
      <c r="O202" s="24"/>
      <c r="P202" s="23"/>
      <c r="Q202" s="24"/>
      <c r="R202" s="5"/>
      <c r="S202" s="5"/>
      <c r="T202" s="24"/>
      <c r="U202" s="24"/>
      <c r="V202" s="24"/>
      <c r="W202" s="5"/>
      <c r="X202" s="5"/>
      <c r="Y202" s="5"/>
      <c r="Z202" s="5"/>
    </row>
    <row r="203">
      <c r="A203" s="5"/>
      <c r="B203" s="17"/>
      <c r="C203" s="18"/>
      <c r="D203" s="19"/>
      <c r="E203" s="20"/>
      <c r="F203" s="21"/>
      <c r="G203" s="21"/>
      <c r="H203" s="21"/>
      <c r="I203" s="22"/>
      <c r="J203" s="20"/>
      <c r="K203" s="23"/>
      <c r="L203" s="23"/>
      <c r="M203" s="5"/>
      <c r="N203" s="23"/>
      <c r="O203" s="24"/>
      <c r="P203" s="23"/>
      <c r="Q203" s="24"/>
      <c r="R203" s="5"/>
      <c r="S203" s="5"/>
      <c r="T203" s="24"/>
      <c r="U203" s="24"/>
      <c r="V203" s="24"/>
      <c r="W203" s="24"/>
      <c r="X203" s="5"/>
      <c r="Y203" s="5"/>
      <c r="Z203" s="5"/>
    </row>
    <row r="204">
      <c r="A204" s="5"/>
      <c r="B204" s="17"/>
      <c r="C204" s="18"/>
      <c r="D204" s="19"/>
      <c r="E204" s="20"/>
      <c r="F204" s="21"/>
      <c r="G204" s="21"/>
      <c r="H204" s="21"/>
      <c r="I204" s="22"/>
      <c r="J204" s="20"/>
      <c r="K204" s="23"/>
      <c r="L204" s="23"/>
      <c r="M204" s="5"/>
      <c r="N204" s="23"/>
      <c r="O204" s="24"/>
      <c r="P204" s="23"/>
      <c r="Q204" s="24"/>
      <c r="R204" s="5"/>
      <c r="S204" s="5"/>
      <c r="T204" s="24"/>
      <c r="U204" s="24"/>
      <c r="V204" s="24"/>
      <c r="W204" s="24"/>
      <c r="X204" s="5"/>
      <c r="Y204" s="5"/>
      <c r="Z204" s="5"/>
    </row>
    <row r="205">
      <c r="A205" s="5"/>
      <c r="B205" s="17"/>
      <c r="C205" s="18"/>
      <c r="D205" s="19"/>
      <c r="E205" s="20"/>
      <c r="F205" s="21"/>
      <c r="G205" s="21"/>
      <c r="H205" s="21"/>
      <c r="I205" s="22"/>
      <c r="J205" s="20"/>
      <c r="K205" s="23"/>
      <c r="L205" s="23"/>
      <c r="M205" s="5"/>
      <c r="N205" s="23"/>
      <c r="O205" s="24"/>
      <c r="P205" s="23"/>
      <c r="Q205" s="24"/>
      <c r="R205" s="5"/>
      <c r="S205" s="5"/>
      <c r="T205" s="24"/>
      <c r="U205" s="24"/>
      <c r="V205" s="25"/>
      <c r="W205" s="5"/>
      <c r="X205" s="5"/>
      <c r="Y205" s="5"/>
      <c r="Z205" s="5"/>
    </row>
    <row r="206">
      <c r="A206" s="5"/>
      <c r="B206" s="17"/>
      <c r="C206" s="18"/>
      <c r="D206" s="19"/>
      <c r="E206" s="20"/>
      <c r="F206" s="21"/>
      <c r="G206" s="21"/>
      <c r="H206" s="21"/>
      <c r="I206" s="22"/>
      <c r="J206" s="20"/>
      <c r="K206" s="23"/>
      <c r="L206" s="23"/>
      <c r="M206" s="5"/>
      <c r="N206" s="23"/>
      <c r="O206" s="24"/>
      <c r="P206" s="23"/>
      <c r="Q206" s="24"/>
      <c r="R206" s="24"/>
      <c r="S206" s="5"/>
      <c r="T206" s="24"/>
      <c r="U206" s="24"/>
      <c r="V206" s="25"/>
      <c r="W206" s="29"/>
      <c r="X206" s="5"/>
      <c r="Y206" s="5"/>
      <c r="Z206" s="5"/>
    </row>
    <row r="207">
      <c r="A207" s="5"/>
      <c r="B207" s="17"/>
      <c r="C207" s="18"/>
      <c r="D207" s="19"/>
      <c r="E207" s="20"/>
      <c r="F207" s="21"/>
      <c r="G207" s="21"/>
      <c r="H207" s="21"/>
      <c r="I207" s="22"/>
      <c r="J207" s="20"/>
      <c r="K207" s="23"/>
      <c r="L207" s="23"/>
      <c r="M207" s="5"/>
      <c r="N207" s="23"/>
      <c r="O207" s="24"/>
      <c r="P207" s="23"/>
      <c r="Q207" s="24"/>
      <c r="R207" s="24"/>
      <c r="S207" s="5"/>
      <c r="T207" s="24"/>
      <c r="U207" s="24"/>
      <c r="V207" s="24"/>
      <c r="W207" s="5"/>
      <c r="X207" s="5"/>
      <c r="Y207" s="5"/>
      <c r="Z207" s="5"/>
    </row>
    <row r="208">
      <c r="A208" s="5"/>
      <c r="B208" s="17"/>
      <c r="C208" s="18"/>
      <c r="D208" s="19"/>
      <c r="E208" s="20"/>
      <c r="F208" s="21"/>
      <c r="G208" s="21"/>
      <c r="H208" s="21"/>
      <c r="I208" s="22"/>
      <c r="J208" s="20"/>
      <c r="K208" s="23"/>
      <c r="L208" s="23"/>
      <c r="M208" s="5"/>
      <c r="N208" s="23"/>
      <c r="O208" s="24"/>
      <c r="P208" s="23"/>
      <c r="Q208" s="24"/>
      <c r="R208" s="24"/>
      <c r="S208" s="5"/>
      <c r="T208" s="24"/>
      <c r="U208" s="24"/>
      <c r="V208" s="24"/>
      <c r="W208" s="24"/>
      <c r="X208" s="5"/>
      <c r="Y208" s="5"/>
      <c r="Z208" s="5"/>
    </row>
    <row r="209">
      <c r="A209" s="5"/>
      <c r="B209" s="17"/>
      <c r="C209" s="18"/>
      <c r="D209" s="19"/>
      <c r="E209" s="20"/>
      <c r="F209" s="21"/>
      <c r="G209" s="21"/>
      <c r="H209" s="21"/>
      <c r="I209" s="22"/>
      <c r="J209" s="20"/>
      <c r="K209" s="23"/>
      <c r="L209" s="23"/>
      <c r="M209" s="5"/>
      <c r="N209" s="23"/>
      <c r="O209" s="24"/>
      <c r="P209" s="23"/>
      <c r="Q209" s="24"/>
      <c r="R209" s="24"/>
      <c r="S209" s="5"/>
      <c r="T209" s="24"/>
      <c r="U209" s="24"/>
      <c r="V209" s="24"/>
      <c r="W209" s="24"/>
      <c r="X209" s="5"/>
      <c r="Y209" s="5"/>
      <c r="Z209" s="5"/>
    </row>
    <row r="210">
      <c r="A210" s="5"/>
      <c r="B210" s="17"/>
      <c r="C210" s="18"/>
      <c r="D210" s="19"/>
      <c r="E210" s="20"/>
      <c r="F210" s="21"/>
      <c r="G210" s="21"/>
      <c r="H210" s="21"/>
      <c r="I210" s="22"/>
      <c r="J210" s="20"/>
      <c r="K210" s="23"/>
      <c r="L210" s="23"/>
      <c r="M210" s="5"/>
      <c r="N210" s="23"/>
      <c r="O210" s="24"/>
      <c r="P210" s="23"/>
      <c r="Q210" s="24"/>
      <c r="R210" s="24"/>
      <c r="S210" s="5"/>
      <c r="T210" s="24"/>
      <c r="U210" s="24"/>
      <c r="V210" s="24"/>
      <c r="W210" s="5"/>
      <c r="X210" s="5"/>
      <c r="Y210" s="5"/>
      <c r="Z210" s="5"/>
    </row>
    <row r="211">
      <c r="A211" s="5"/>
      <c r="B211" s="17"/>
      <c r="C211" s="18"/>
      <c r="D211" s="19"/>
      <c r="E211" s="20"/>
      <c r="F211" s="21"/>
      <c r="G211" s="21"/>
      <c r="H211" s="21"/>
      <c r="I211" s="22"/>
      <c r="J211" s="20"/>
      <c r="K211" s="23"/>
      <c r="L211" s="23"/>
      <c r="M211" s="5"/>
      <c r="N211" s="23"/>
      <c r="O211" s="24"/>
      <c r="P211" s="23"/>
      <c r="Q211" s="24"/>
      <c r="R211" s="24"/>
      <c r="S211" s="5"/>
      <c r="T211" s="24"/>
      <c r="U211" s="24"/>
      <c r="V211" s="24"/>
      <c r="W211" s="5"/>
      <c r="X211" s="5"/>
      <c r="Y211" s="5"/>
      <c r="Z211" s="5"/>
    </row>
    <row r="212">
      <c r="A212" s="5"/>
      <c r="B212" s="17"/>
      <c r="C212" s="18"/>
      <c r="D212" s="19"/>
      <c r="E212" s="20"/>
      <c r="F212" s="21"/>
      <c r="G212" s="21"/>
      <c r="H212" s="21"/>
      <c r="I212" s="22"/>
      <c r="J212" s="20"/>
      <c r="K212" s="23"/>
      <c r="L212" s="23"/>
      <c r="M212" s="5"/>
      <c r="N212" s="23"/>
      <c r="O212" s="24"/>
      <c r="P212" s="23"/>
      <c r="Q212" s="24"/>
      <c r="R212" s="24"/>
      <c r="S212" s="5"/>
      <c r="T212" s="24"/>
      <c r="U212" s="24"/>
      <c r="V212" s="24"/>
      <c r="W212" s="24"/>
      <c r="X212" s="5"/>
      <c r="Y212" s="5"/>
      <c r="Z212" s="5"/>
    </row>
    <row r="213">
      <c r="A213" s="5"/>
      <c r="B213" s="17"/>
      <c r="C213" s="18"/>
      <c r="D213" s="19"/>
      <c r="E213" s="20"/>
      <c r="F213" s="21"/>
      <c r="G213" s="21"/>
      <c r="H213" s="21"/>
      <c r="I213" s="22"/>
      <c r="J213" s="20"/>
      <c r="K213" s="23"/>
      <c r="L213" s="23"/>
      <c r="M213" s="5"/>
      <c r="N213" s="23"/>
      <c r="O213" s="24"/>
      <c r="P213" s="23"/>
      <c r="Q213" s="24"/>
      <c r="R213" s="24"/>
      <c r="S213" s="5"/>
      <c r="T213" s="24"/>
      <c r="U213" s="24"/>
      <c r="V213" s="24"/>
      <c r="W213" s="24"/>
      <c r="X213" s="5"/>
      <c r="Y213" s="5"/>
      <c r="Z213" s="5"/>
    </row>
    <row r="214">
      <c r="A214" s="5"/>
      <c r="B214" s="17"/>
      <c r="C214" s="18"/>
      <c r="D214" s="19"/>
      <c r="E214" s="20"/>
      <c r="F214" s="21"/>
      <c r="G214" s="21"/>
      <c r="H214" s="21"/>
      <c r="I214" s="22"/>
      <c r="J214" s="20"/>
      <c r="K214" s="23"/>
      <c r="L214" s="23"/>
      <c r="M214" s="5"/>
      <c r="N214" s="23"/>
      <c r="O214" s="24"/>
      <c r="P214" s="23"/>
      <c r="Q214" s="24"/>
      <c r="R214" s="24"/>
      <c r="S214" s="5"/>
      <c r="T214" s="24"/>
      <c r="U214" s="24"/>
      <c r="V214" s="25"/>
      <c r="W214" s="29"/>
      <c r="X214" s="5"/>
      <c r="Y214" s="5"/>
      <c r="Z214" s="5"/>
    </row>
    <row r="215">
      <c r="A215" s="5"/>
      <c r="B215" s="17"/>
      <c r="C215" s="18"/>
      <c r="D215" s="19"/>
      <c r="E215" s="20"/>
      <c r="F215" s="21"/>
      <c r="G215" s="21"/>
      <c r="H215" s="21"/>
      <c r="I215" s="22"/>
      <c r="J215" s="20"/>
      <c r="K215" s="23"/>
      <c r="L215" s="23"/>
      <c r="M215" s="5"/>
      <c r="N215" s="23"/>
      <c r="O215" s="24"/>
      <c r="P215" s="23"/>
      <c r="Q215" s="24"/>
      <c r="R215" s="24"/>
      <c r="S215" s="5"/>
      <c r="T215" s="24"/>
      <c r="U215" s="24"/>
      <c r="V215" s="24"/>
      <c r="W215" s="24"/>
      <c r="X215" s="5"/>
      <c r="Y215" s="5"/>
      <c r="Z215" s="5"/>
    </row>
    <row r="216">
      <c r="A216" s="5"/>
      <c r="B216" s="17"/>
      <c r="C216" s="18"/>
      <c r="D216" s="19"/>
      <c r="E216" s="20"/>
      <c r="F216" s="21"/>
      <c r="G216" s="21"/>
      <c r="H216" s="21"/>
      <c r="I216" s="22"/>
      <c r="J216" s="20"/>
      <c r="K216" s="23"/>
      <c r="L216" s="23"/>
      <c r="M216" s="5"/>
      <c r="N216" s="23"/>
      <c r="O216" s="24"/>
      <c r="P216" s="23"/>
      <c r="Q216" s="24"/>
      <c r="R216" s="24"/>
      <c r="S216" s="5"/>
      <c r="T216" s="24"/>
      <c r="U216" s="24"/>
      <c r="V216" s="24"/>
      <c r="W216" s="24"/>
      <c r="X216" s="5"/>
      <c r="Y216" s="5"/>
      <c r="Z216" s="5"/>
    </row>
    <row r="217">
      <c r="A217" s="5"/>
      <c r="B217" s="17"/>
      <c r="C217" s="18"/>
      <c r="D217" s="19"/>
      <c r="E217" s="20"/>
      <c r="F217" s="21"/>
      <c r="G217" s="21"/>
      <c r="H217" s="21"/>
      <c r="I217" s="22"/>
      <c r="J217" s="20"/>
      <c r="K217" s="23"/>
      <c r="L217" s="23"/>
      <c r="M217" s="5"/>
      <c r="N217" s="23"/>
      <c r="O217" s="24"/>
      <c r="P217" s="23"/>
      <c r="Q217" s="24"/>
      <c r="R217" s="24"/>
      <c r="S217" s="5"/>
      <c r="T217" s="24"/>
      <c r="U217" s="24"/>
      <c r="V217" s="24"/>
      <c r="W217" s="25"/>
      <c r="X217" s="5"/>
      <c r="Y217" s="5"/>
      <c r="Z217" s="5"/>
    </row>
    <row r="218">
      <c r="A218" s="5"/>
      <c r="B218" s="17"/>
      <c r="C218" s="18"/>
      <c r="D218" s="19"/>
      <c r="E218" s="20"/>
      <c r="F218" s="21"/>
      <c r="G218" s="21"/>
      <c r="H218" s="21"/>
      <c r="I218" s="22"/>
      <c r="J218" s="20"/>
      <c r="K218" s="23"/>
      <c r="L218" s="23"/>
      <c r="M218" s="5"/>
      <c r="N218" s="23"/>
      <c r="O218" s="24"/>
      <c r="P218" s="23"/>
      <c r="Q218" s="24"/>
      <c r="R218" s="24"/>
      <c r="S218" s="5"/>
      <c r="T218" s="24"/>
      <c r="U218" s="24"/>
      <c r="V218" s="24"/>
      <c r="W218" s="24"/>
      <c r="X218" s="5"/>
      <c r="Y218" s="5"/>
      <c r="Z218" s="5"/>
    </row>
    <row r="219">
      <c r="A219" s="5"/>
      <c r="B219" s="17"/>
      <c r="C219" s="18"/>
      <c r="D219" s="19"/>
      <c r="E219" s="20"/>
      <c r="F219" s="21"/>
      <c r="G219" s="21"/>
      <c r="H219" s="21"/>
      <c r="I219" s="22"/>
      <c r="J219" s="20"/>
      <c r="K219" s="23"/>
      <c r="L219" s="23"/>
      <c r="M219" s="5"/>
      <c r="N219" s="23"/>
      <c r="O219" s="24"/>
      <c r="P219" s="23"/>
      <c r="Q219" s="24"/>
      <c r="R219" s="24"/>
      <c r="S219" s="5"/>
      <c r="T219" s="24"/>
      <c r="U219" s="24"/>
      <c r="V219" s="24"/>
      <c r="W219" s="24"/>
      <c r="X219" s="5"/>
      <c r="Y219" s="5"/>
      <c r="Z219" s="5"/>
    </row>
    <row r="220">
      <c r="A220" s="5"/>
      <c r="B220" s="17"/>
      <c r="C220" s="18"/>
      <c r="D220" s="19"/>
      <c r="E220" s="20"/>
      <c r="F220" s="21"/>
      <c r="G220" s="21"/>
      <c r="H220" s="21"/>
      <c r="I220" s="22"/>
      <c r="J220" s="20"/>
      <c r="K220" s="23"/>
      <c r="L220" s="23"/>
      <c r="M220" s="5"/>
      <c r="N220" s="23"/>
      <c r="O220" s="24"/>
      <c r="P220" s="23"/>
      <c r="Q220" s="24"/>
      <c r="R220" s="24"/>
      <c r="S220" s="5"/>
      <c r="T220" s="24"/>
      <c r="U220" s="24"/>
      <c r="V220" s="25"/>
      <c r="W220" s="24"/>
      <c r="X220" s="5"/>
      <c r="Y220" s="5"/>
      <c r="Z220" s="5"/>
    </row>
    <row r="221">
      <c r="A221" s="5"/>
      <c r="B221" s="17"/>
      <c r="C221" s="18"/>
      <c r="D221" s="19"/>
      <c r="E221" s="20"/>
      <c r="F221" s="21"/>
      <c r="G221" s="21"/>
      <c r="H221" s="21"/>
      <c r="I221" s="22"/>
      <c r="J221" s="20"/>
      <c r="K221" s="23"/>
      <c r="L221" s="23"/>
      <c r="M221" s="5"/>
      <c r="N221" s="23"/>
      <c r="O221" s="24"/>
      <c r="P221" s="23"/>
      <c r="Q221" s="24"/>
      <c r="R221" s="24"/>
      <c r="S221" s="5"/>
      <c r="T221" s="24"/>
      <c r="U221" s="24"/>
      <c r="V221" s="25"/>
      <c r="W221" s="24"/>
      <c r="X221" s="5"/>
      <c r="Y221" s="5"/>
      <c r="Z221" s="5"/>
    </row>
    <row r="222">
      <c r="A222" s="5"/>
      <c r="B222" s="17"/>
      <c r="C222" s="18"/>
      <c r="D222" s="19"/>
      <c r="E222" s="20"/>
      <c r="F222" s="21"/>
      <c r="G222" s="21"/>
      <c r="H222" s="21"/>
      <c r="I222" s="22"/>
      <c r="J222" s="20"/>
      <c r="K222" s="23"/>
      <c r="L222" s="23"/>
      <c r="M222" s="5"/>
      <c r="N222" s="23"/>
      <c r="O222" s="24"/>
      <c r="P222" s="23"/>
      <c r="Q222" s="24"/>
      <c r="R222" s="5"/>
      <c r="S222" s="5"/>
      <c r="T222" s="24"/>
      <c r="U222" s="24"/>
      <c r="V222" s="24"/>
      <c r="W222" s="25"/>
      <c r="X222" s="5"/>
      <c r="Y222" s="5"/>
      <c r="Z222" s="5"/>
    </row>
    <row r="223">
      <c r="A223" s="5"/>
      <c r="B223" s="17"/>
      <c r="C223" s="18"/>
      <c r="D223" s="19"/>
      <c r="E223" s="20"/>
      <c r="F223" s="21"/>
      <c r="G223" s="21"/>
      <c r="H223" s="21"/>
      <c r="I223" s="22"/>
      <c r="J223" s="20"/>
      <c r="K223" s="23"/>
      <c r="L223" s="23"/>
      <c r="M223" s="5"/>
      <c r="N223" s="23"/>
      <c r="O223" s="24"/>
      <c r="P223" s="23"/>
      <c r="Q223" s="24"/>
      <c r="R223" s="5"/>
      <c r="S223" s="5"/>
      <c r="T223" s="24"/>
      <c r="U223" s="24"/>
      <c r="V223" s="24"/>
      <c r="W223" s="5"/>
      <c r="X223" s="5"/>
      <c r="Y223" s="5"/>
      <c r="Z223" s="5"/>
    </row>
    <row r="224">
      <c r="A224" s="5"/>
      <c r="B224" s="17"/>
      <c r="C224" s="18"/>
      <c r="D224" s="19"/>
      <c r="E224" s="20"/>
      <c r="F224" s="21"/>
      <c r="G224" s="21"/>
      <c r="H224" s="21"/>
      <c r="I224" s="22"/>
      <c r="J224" s="20"/>
      <c r="K224" s="23"/>
      <c r="L224" s="23"/>
      <c r="M224" s="5"/>
      <c r="N224" s="23"/>
      <c r="O224" s="24"/>
      <c r="P224" s="23"/>
      <c r="Q224" s="24"/>
      <c r="R224" s="5"/>
      <c r="S224" s="5"/>
      <c r="T224" s="24"/>
      <c r="U224" s="24"/>
      <c r="V224" s="24"/>
      <c r="W224" s="5"/>
      <c r="X224" s="5"/>
      <c r="Y224" s="5"/>
      <c r="Z224" s="5"/>
    </row>
    <row r="225">
      <c r="A225" s="5"/>
      <c r="B225" s="17"/>
      <c r="C225" s="18"/>
      <c r="D225" s="19"/>
      <c r="E225" s="20"/>
      <c r="F225" s="21"/>
      <c r="G225" s="21"/>
      <c r="H225" s="21"/>
      <c r="I225" s="22"/>
      <c r="J225" s="20"/>
      <c r="K225" s="23"/>
      <c r="L225" s="23"/>
      <c r="M225" s="5"/>
      <c r="N225" s="23"/>
      <c r="O225" s="24"/>
      <c r="P225" s="23"/>
      <c r="Q225" s="24"/>
      <c r="R225" s="5"/>
      <c r="S225" s="5"/>
      <c r="T225" s="24"/>
      <c r="U225" s="24"/>
      <c r="V225" s="24"/>
      <c r="W225" s="24"/>
      <c r="X225" s="5"/>
      <c r="Y225" s="5"/>
      <c r="Z225" s="5"/>
    </row>
    <row r="226">
      <c r="A226" s="5"/>
      <c r="B226" s="17"/>
      <c r="C226" s="18"/>
      <c r="D226" s="19"/>
      <c r="E226" s="20"/>
      <c r="F226" s="21"/>
      <c r="G226" s="21"/>
      <c r="H226" s="21"/>
      <c r="I226" s="22"/>
      <c r="J226" s="20"/>
      <c r="K226" s="23"/>
      <c r="L226" s="23"/>
      <c r="M226" s="5"/>
      <c r="N226" s="23"/>
      <c r="O226" s="24"/>
      <c r="P226" s="23"/>
      <c r="Q226" s="24"/>
      <c r="R226" s="5"/>
      <c r="S226" s="5"/>
      <c r="T226" s="24"/>
      <c r="U226" s="24"/>
      <c r="V226" s="24"/>
      <c r="W226" s="5"/>
      <c r="X226" s="5"/>
      <c r="Y226" s="5"/>
      <c r="Z226" s="5"/>
    </row>
    <row r="227">
      <c r="A227" s="5"/>
      <c r="B227" s="17"/>
      <c r="C227" s="18"/>
      <c r="D227" s="19"/>
      <c r="E227" s="20"/>
      <c r="F227" s="21"/>
      <c r="G227" s="21"/>
      <c r="H227" s="21"/>
      <c r="I227" s="22"/>
      <c r="J227" s="20"/>
      <c r="K227" s="23"/>
      <c r="L227" s="23"/>
      <c r="M227" s="5"/>
      <c r="N227" s="23"/>
      <c r="O227" s="24"/>
      <c r="P227" s="23"/>
      <c r="Q227" s="24"/>
      <c r="R227" s="5"/>
      <c r="S227" s="5"/>
      <c r="T227" s="24"/>
      <c r="U227" s="24"/>
      <c r="V227" s="25"/>
      <c r="W227" s="29"/>
      <c r="X227" s="5"/>
      <c r="Y227" s="5"/>
      <c r="Z227" s="5"/>
    </row>
    <row r="228">
      <c r="A228" s="5"/>
      <c r="B228" s="17"/>
      <c r="C228" s="18"/>
      <c r="D228" s="19"/>
      <c r="E228" s="20"/>
      <c r="F228" s="21"/>
      <c r="G228" s="21"/>
      <c r="H228" s="21"/>
      <c r="I228" s="22"/>
      <c r="J228" s="20"/>
      <c r="K228" s="23"/>
      <c r="L228" s="23"/>
      <c r="M228" s="5"/>
      <c r="N228" s="23"/>
      <c r="O228" s="24"/>
      <c r="P228" s="23"/>
      <c r="Q228" s="24"/>
      <c r="R228" s="24"/>
      <c r="S228" s="5"/>
      <c r="T228" s="24"/>
      <c r="U228" s="24"/>
      <c r="V228" s="24"/>
      <c r="W228" s="24"/>
      <c r="X228" s="5"/>
      <c r="Y228" s="5"/>
      <c r="Z228" s="5"/>
    </row>
    <row r="229">
      <c r="A229" s="5"/>
      <c r="B229" s="17"/>
      <c r="C229" s="18"/>
      <c r="D229" s="19"/>
      <c r="E229" s="20"/>
      <c r="F229" s="21"/>
      <c r="G229" s="21"/>
      <c r="H229" s="21"/>
      <c r="I229" s="22"/>
      <c r="J229" s="20"/>
      <c r="K229" s="23"/>
      <c r="L229" s="23"/>
      <c r="M229" s="5"/>
      <c r="N229" s="23"/>
      <c r="O229" s="24"/>
      <c r="P229" s="23"/>
      <c r="Q229" s="24"/>
      <c r="R229" s="24"/>
      <c r="S229" s="5"/>
      <c r="T229" s="24"/>
      <c r="U229" s="24"/>
      <c r="V229" s="24"/>
      <c r="W229" s="24"/>
      <c r="X229" s="5"/>
      <c r="Y229" s="5"/>
      <c r="Z229" s="5"/>
    </row>
    <row r="230">
      <c r="A230" s="5"/>
      <c r="B230" s="17"/>
      <c r="C230" s="18"/>
      <c r="D230" s="19"/>
      <c r="E230" s="20"/>
      <c r="F230" s="21"/>
      <c r="G230" s="21"/>
      <c r="H230" s="21"/>
      <c r="I230" s="22"/>
      <c r="J230" s="20"/>
      <c r="K230" s="23"/>
      <c r="L230" s="23"/>
      <c r="M230" s="5"/>
      <c r="N230" s="23"/>
      <c r="O230" s="24"/>
      <c r="P230" s="23"/>
      <c r="Q230" s="24"/>
      <c r="R230" s="24"/>
      <c r="S230" s="5"/>
      <c r="T230" s="24"/>
      <c r="U230" s="24"/>
      <c r="V230" s="25"/>
      <c r="W230" s="24"/>
      <c r="X230" s="5"/>
      <c r="Y230" s="5"/>
      <c r="Z230" s="5"/>
    </row>
    <row r="231">
      <c r="A231" s="5"/>
      <c r="B231" s="17"/>
      <c r="C231" s="18"/>
      <c r="D231" s="19"/>
      <c r="E231" s="20"/>
      <c r="F231" s="21"/>
      <c r="G231" s="21"/>
      <c r="H231" s="21"/>
      <c r="I231" s="22"/>
      <c r="J231" s="20"/>
      <c r="K231" s="23"/>
      <c r="L231" s="23"/>
      <c r="M231" s="5"/>
      <c r="N231" s="23"/>
      <c r="O231" s="24"/>
      <c r="P231" s="23"/>
      <c r="Q231" s="24"/>
      <c r="R231" s="24"/>
      <c r="S231" s="5"/>
      <c r="T231" s="24"/>
      <c r="U231" s="24"/>
      <c r="V231" s="25"/>
      <c r="W231" s="29"/>
      <c r="X231" s="5"/>
      <c r="Y231" s="5"/>
      <c r="Z231" s="5"/>
    </row>
    <row r="232">
      <c r="A232" s="5"/>
      <c r="B232" s="17"/>
      <c r="C232" s="18"/>
      <c r="D232" s="19"/>
      <c r="E232" s="20"/>
      <c r="F232" s="21"/>
      <c r="G232" s="21"/>
      <c r="H232" s="21"/>
      <c r="I232" s="22"/>
      <c r="J232" s="20"/>
      <c r="K232" s="23"/>
      <c r="L232" s="23"/>
      <c r="M232" s="5"/>
      <c r="N232" s="23"/>
      <c r="O232" s="24"/>
      <c r="P232" s="23"/>
      <c r="Q232" s="24"/>
      <c r="R232" s="24"/>
      <c r="S232" s="5"/>
      <c r="T232" s="24"/>
      <c r="U232" s="24"/>
      <c r="V232" s="24"/>
      <c r="W232" s="24"/>
      <c r="X232" s="5"/>
      <c r="Y232" s="5"/>
      <c r="Z232" s="5"/>
    </row>
    <row r="233">
      <c r="A233" s="5"/>
      <c r="B233" s="17"/>
      <c r="C233" s="18"/>
      <c r="D233" s="19"/>
      <c r="E233" s="20"/>
      <c r="F233" s="21"/>
      <c r="G233" s="21"/>
      <c r="H233" s="21"/>
      <c r="I233" s="22"/>
      <c r="J233" s="20"/>
      <c r="K233" s="23"/>
      <c r="L233" s="23"/>
      <c r="M233" s="5"/>
      <c r="N233" s="23"/>
      <c r="O233" s="24"/>
      <c r="P233" s="23"/>
      <c r="Q233" s="24"/>
      <c r="R233" s="5"/>
      <c r="S233" s="5"/>
      <c r="T233" s="24"/>
      <c r="U233" s="24"/>
      <c r="V233" s="25"/>
      <c r="W233" s="29"/>
      <c r="X233" s="5"/>
      <c r="Y233" s="5"/>
      <c r="Z233" s="5"/>
    </row>
    <row r="234">
      <c r="A234" s="5"/>
      <c r="B234" s="17"/>
      <c r="C234" s="18"/>
      <c r="D234" s="19"/>
      <c r="E234" s="20"/>
      <c r="F234" s="21"/>
      <c r="G234" s="21"/>
      <c r="H234" s="21"/>
      <c r="I234" s="22"/>
      <c r="J234" s="20"/>
      <c r="K234" s="23"/>
      <c r="L234" s="23"/>
      <c r="M234" s="5"/>
      <c r="N234" s="23"/>
      <c r="O234" s="24"/>
      <c r="P234" s="23"/>
      <c r="Q234" s="24"/>
      <c r="R234" s="24"/>
      <c r="S234" s="5"/>
      <c r="T234" s="24"/>
      <c r="U234" s="24"/>
      <c r="V234" s="25"/>
      <c r="W234" s="29"/>
      <c r="X234" s="5"/>
      <c r="Y234" s="5"/>
      <c r="Z234" s="5"/>
    </row>
    <row r="235">
      <c r="A235" s="5"/>
      <c r="B235" s="17"/>
      <c r="C235" s="18"/>
      <c r="D235" s="19"/>
      <c r="E235" s="20"/>
      <c r="F235" s="21"/>
      <c r="G235" s="21"/>
      <c r="H235" s="21"/>
      <c r="I235" s="22"/>
      <c r="J235" s="20"/>
      <c r="K235" s="23"/>
      <c r="L235" s="23"/>
      <c r="M235" s="5"/>
      <c r="N235" s="23"/>
      <c r="O235" s="24"/>
      <c r="P235" s="23"/>
      <c r="Q235" s="24"/>
      <c r="R235" s="5"/>
      <c r="S235" s="5"/>
      <c r="T235" s="24"/>
      <c r="U235" s="24"/>
      <c r="V235" s="24"/>
      <c r="W235" s="24"/>
      <c r="X235" s="5"/>
      <c r="Y235" s="5"/>
      <c r="Z235" s="5"/>
    </row>
    <row r="236">
      <c r="A236" s="5"/>
      <c r="B236" s="17"/>
      <c r="C236" s="18"/>
      <c r="D236" s="19"/>
      <c r="E236" s="20"/>
      <c r="F236" s="21"/>
      <c r="G236" s="21"/>
      <c r="H236" s="21"/>
      <c r="I236" s="22"/>
      <c r="J236" s="20"/>
      <c r="K236" s="23"/>
      <c r="L236" s="23"/>
      <c r="M236" s="5"/>
      <c r="N236" s="23"/>
      <c r="O236" s="24"/>
      <c r="P236" s="23"/>
      <c r="Q236" s="24"/>
      <c r="R236" s="5"/>
      <c r="S236" s="5"/>
      <c r="T236" s="24"/>
      <c r="U236" s="24"/>
      <c r="V236" s="25"/>
      <c r="W236" s="5"/>
      <c r="X236" s="5"/>
      <c r="Y236" s="5"/>
      <c r="Z236" s="5"/>
    </row>
    <row r="237">
      <c r="A237" s="5"/>
      <c r="B237" s="17"/>
      <c r="C237" s="18"/>
      <c r="D237" s="19"/>
      <c r="E237" s="20"/>
      <c r="F237" s="21"/>
      <c r="G237" s="21"/>
      <c r="H237" s="21"/>
      <c r="I237" s="26"/>
      <c r="J237" s="30"/>
      <c r="K237" s="31"/>
      <c r="L237" s="23"/>
      <c r="M237" s="5"/>
      <c r="N237" s="5"/>
      <c r="O237" s="24"/>
      <c r="P237" s="23"/>
      <c r="Q237" s="24"/>
      <c r="R237" s="5"/>
      <c r="S237" s="5"/>
      <c r="T237" s="24"/>
      <c r="U237" s="24"/>
      <c r="V237" s="24"/>
      <c r="W237" s="24"/>
      <c r="X237" s="5"/>
      <c r="Y237" s="5"/>
      <c r="Z237" s="5"/>
    </row>
    <row r="238">
      <c r="A238" s="5"/>
      <c r="B238" s="17"/>
      <c r="C238" s="18"/>
      <c r="D238" s="19"/>
      <c r="E238" s="20"/>
      <c r="F238" s="21"/>
      <c r="G238" s="21"/>
      <c r="H238" s="21"/>
      <c r="I238" s="26"/>
      <c r="J238" s="30"/>
      <c r="K238" s="31"/>
      <c r="L238" s="23"/>
      <c r="M238" s="5"/>
      <c r="N238" s="23"/>
      <c r="O238" s="24"/>
      <c r="P238" s="23"/>
      <c r="Q238" s="24"/>
      <c r="R238" s="5"/>
      <c r="S238" s="5"/>
      <c r="T238" s="24"/>
      <c r="U238" s="24"/>
      <c r="V238" s="24"/>
      <c r="W238" s="5"/>
      <c r="X238" s="5"/>
      <c r="Y238" s="5"/>
      <c r="Z238" s="5"/>
    </row>
    <row r="239">
      <c r="A239" s="5"/>
      <c r="B239" s="17"/>
      <c r="C239" s="18"/>
      <c r="D239" s="19"/>
      <c r="E239" s="20"/>
      <c r="F239" s="21"/>
      <c r="G239" s="21"/>
      <c r="H239" s="21"/>
      <c r="I239" s="22"/>
      <c r="J239" s="20"/>
      <c r="K239" s="23"/>
      <c r="L239" s="23"/>
      <c r="M239" s="5"/>
      <c r="N239" s="23"/>
      <c r="O239" s="24"/>
      <c r="P239" s="23"/>
      <c r="Q239" s="24"/>
      <c r="R239" s="5"/>
      <c r="S239" s="5"/>
      <c r="T239" s="24"/>
      <c r="U239" s="24"/>
      <c r="V239" s="24"/>
      <c r="W239" s="5"/>
      <c r="X239" s="5"/>
      <c r="Y239" s="5"/>
      <c r="Z239" s="5"/>
    </row>
    <row r="240">
      <c r="A240" s="5"/>
      <c r="B240" s="17"/>
      <c r="C240" s="18"/>
      <c r="D240" s="19"/>
      <c r="E240" s="20"/>
      <c r="F240" s="21"/>
      <c r="G240" s="21"/>
      <c r="H240" s="21"/>
      <c r="I240" s="22"/>
      <c r="J240" s="20"/>
      <c r="K240" s="23"/>
      <c r="L240" s="23"/>
      <c r="M240" s="23"/>
      <c r="N240" s="5"/>
      <c r="O240" s="24"/>
      <c r="P240" s="23"/>
      <c r="Q240" s="24"/>
      <c r="R240" s="5"/>
      <c r="S240" s="5"/>
      <c r="T240" s="24"/>
      <c r="U240" s="24"/>
      <c r="V240" s="24"/>
      <c r="W240" s="27"/>
      <c r="X240" s="5"/>
      <c r="Y240" s="5"/>
      <c r="Z240" s="5"/>
    </row>
    <row r="241">
      <c r="A241" s="5"/>
      <c r="B241" s="17"/>
      <c r="C241" s="18"/>
      <c r="D241" s="19"/>
      <c r="E241" s="20"/>
      <c r="F241" s="21"/>
      <c r="G241" s="21"/>
      <c r="H241" s="21"/>
      <c r="I241" s="22"/>
      <c r="J241" s="20"/>
      <c r="K241" s="23"/>
      <c r="L241" s="23"/>
      <c r="M241" s="5"/>
      <c r="N241" s="23"/>
      <c r="O241" s="24"/>
      <c r="P241" s="23"/>
      <c r="Q241" s="24"/>
      <c r="R241" s="27"/>
      <c r="S241" s="5"/>
      <c r="T241" s="24"/>
      <c r="U241" s="24"/>
      <c r="V241" s="24"/>
      <c r="W241" s="24"/>
      <c r="X241" s="5"/>
      <c r="Y241" s="5"/>
      <c r="Z241" s="5"/>
    </row>
    <row r="242">
      <c r="A242" s="5"/>
      <c r="B242" s="17"/>
      <c r="C242" s="18"/>
      <c r="D242" s="19"/>
      <c r="E242" s="20"/>
      <c r="F242" s="21"/>
      <c r="G242" s="21"/>
      <c r="H242" s="21"/>
      <c r="I242" s="26"/>
      <c r="J242" s="20"/>
      <c r="K242" s="23"/>
      <c r="L242" s="23"/>
      <c r="M242" s="5"/>
      <c r="N242" s="5"/>
      <c r="O242" s="24"/>
      <c r="P242" s="23"/>
      <c r="Q242" s="24"/>
      <c r="R242" s="27"/>
      <c r="S242" s="5"/>
      <c r="T242" s="24"/>
      <c r="U242" s="24"/>
      <c r="V242" s="24"/>
      <c r="W242" s="5"/>
      <c r="X242" s="5"/>
      <c r="Y242" s="5"/>
      <c r="Z242" s="5"/>
    </row>
    <row r="243">
      <c r="A243" s="5"/>
      <c r="B243" s="17"/>
      <c r="C243" s="18"/>
      <c r="D243" s="19"/>
      <c r="E243" s="20"/>
      <c r="F243" s="21"/>
      <c r="G243" s="21"/>
      <c r="H243" s="21"/>
      <c r="I243" s="27"/>
      <c r="J243" s="20"/>
      <c r="K243" s="5"/>
      <c r="L243" s="5"/>
      <c r="M243" s="5"/>
      <c r="N243" s="5"/>
      <c r="O243" s="24"/>
      <c r="P243" s="5"/>
      <c r="Q243" s="5"/>
      <c r="R243" s="27"/>
      <c r="S243" s="5"/>
      <c r="T243" s="5"/>
      <c r="U243" s="5"/>
      <c r="V243" s="5"/>
      <c r="W243" s="5"/>
      <c r="X243" s="5"/>
      <c r="Y243" s="5"/>
      <c r="Z243" s="5"/>
    </row>
    <row r="244">
      <c r="A244" s="5"/>
      <c r="B244" s="17"/>
      <c r="C244" s="18"/>
      <c r="D244" s="19"/>
      <c r="E244" s="20"/>
      <c r="F244" s="21"/>
      <c r="G244" s="21"/>
      <c r="H244" s="21"/>
      <c r="I244" s="5"/>
      <c r="J244" s="20"/>
      <c r="K244" s="5"/>
      <c r="L244" s="5"/>
      <c r="M244" s="5"/>
      <c r="N244" s="5"/>
      <c r="O244" s="24"/>
      <c r="P244" s="5"/>
      <c r="Q244" s="5"/>
      <c r="R244" s="5"/>
      <c r="S244" s="5"/>
      <c r="T244" s="5"/>
      <c r="U244" s="5"/>
      <c r="V244" s="5"/>
      <c r="W244" s="5"/>
      <c r="X244" s="5"/>
      <c r="Y244" s="5"/>
      <c r="Z244" s="5"/>
    </row>
    <row r="245">
      <c r="A245" s="5"/>
      <c r="B245" s="17"/>
      <c r="C245" s="18"/>
      <c r="D245" s="19"/>
      <c r="E245" s="20"/>
      <c r="F245" s="21"/>
      <c r="G245" s="21"/>
      <c r="H245" s="21"/>
      <c r="I245" s="5"/>
      <c r="J245" s="20"/>
      <c r="K245" s="5"/>
      <c r="L245" s="5"/>
      <c r="M245" s="5"/>
      <c r="N245" s="5"/>
      <c r="O245" s="24"/>
      <c r="P245" s="5"/>
      <c r="Q245" s="5"/>
      <c r="R245" s="5"/>
      <c r="S245" s="5"/>
      <c r="T245" s="5"/>
      <c r="U245" s="5"/>
      <c r="V245" s="5"/>
      <c r="W245" s="5"/>
      <c r="X245" s="5"/>
      <c r="Y245" s="5"/>
      <c r="Z245" s="5"/>
    </row>
    <row r="246">
      <c r="A246" s="5"/>
      <c r="B246" s="17"/>
      <c r="C246" s="18"/>
      <c r="D246" s="19"/>
      <c r="E246" s="20"/>
      <c r="F246" s="21"/>
      <c r="G246" s="21"/>
      <c r="H246" s="21"/>
      <c r="I246" s="5"/>
      <c r="J246" s="20"/>
      <c r="K246" s="5"/>
      <c r="L246" s="5"/>
      <c r="M246" s="5"/>
      <c r="N246" s="5"/>
      <c r="O246" s="24"/>
      <c r="P246" s="5"/>
      <c r="Q246" s="5"/>
      <c r="R246" s="5"/>
      <c r="S246" s="5"/>
      <c r="T246" s="5"/>
      <c r="U246" s="5"/>
      <c r="V246" s="5"/>
      <c r="W246" s="5"/>
      <c r="X246" s="5"/>
      <c r="Y246" s="5"/>
      <c r="Z246" s="5"/>
    </row>
    <row r="247">
      <c r="A247" s="5"/>
      <c r="B247" s="17"/>
      <c r="C247" s="18"/>
      <c r="D247" s="19"/>
      <c r="E247" s="20"/>
      <c r="F247" s="21"/>
      <c r="G247" s="21"/>
      <c r="H247" s="21"/>
      <c r="I247" s="27"/>
      <c r="J247" s="20"/>
      <c r="K247" s="5"/>
      <c r="L247" s="5"/>
      <c r="M247" s="5"/>
      <c r="N247" s="5"/>
      <c r="O247" s="24"/>
      <c r="P247" s="5"/>
      <c r="Q247" s="5"/>
      <c r="R247" s="5"/>
      <c r="S247" s="5"/>
      <c r="T247" s="5"/>
      <c r="U247" s="5"/>
      <c r="V247" s="27"/>
      <c r="W247" s="5"/>
      <c r="X247" s="5"/>
      <c r="Y247" s="5"/>
      <c r="Z247" s="5"/>
    </row>
    <row r="248">
      <c r="A248" s="5"/>
      <c r="B248" s="17"/>
      <c r="C248" s="18"/>
      <c r="D248" s="19"/>
      <c r="E248" s="20"/>
      <c r="F248" s="21"/>
      <c r="G248" s="21"/>
      <c r="H248" s="21"/>
      <c r="I248" s="27"/>
      <c r="J248" s="20"/>
      <c r="K248" s="5"/>
      <c r="L248" s="5"/>
      <c r="M248" s="5"/>
      <c r="N248" s="5"/>
      <c r="O248" s="24"/>
      <c r="P248" s="5"/>
      <c r="Q248" s="5"/>
      <c r="R248" s="27"/>
      <c r="S248" s="5"/>
      <c r="T248" s="5"/>
      <c r="U248" s="5"/>
      <c r="V248" s="5"/>
      <c r="W248" s="5"/>
      <c r="X248" s="5"/>
      <c r="Y248" s="5"/>
      <c r="Z248" s="5"/>
    </row>
    <row r="249">
      <c r="A249" s="5"/>
      <c r="B249" s="17"/>
      <c r="C249" s="18"/>
      <c r="D249" s="19"/>
      <c r="E249" s="20"/>
      <c r="F249" s="21"/>
      <c r="G249" s="21"/>
      <c r="H249" s="21"/>
      <c r="I249" s="27"/>
      <c r="J249" s="20"/>
      <c r="K249" s="5"/>
      <c r="L249" s="5"/>
      <c r="M249" s="5"/>
      <c r="N249" s="5"/>
      <c r="O249" s="24"/>
      <c r="P249" s="5"/>
      <c r="Q249" s="5"/>
      <c r="R249" s="5"/>
      <c r="S249" s="5"/>
      <c r="T249" s="5"/>
      <c r="U249" s="5"/>
      <c r="V249" s="5"/>
      <c r="W249" s="27"/>
      <c r="X249" s="5"/>
      <c r="Y249" s="5"/>
      <c r="Z249" s="5"/>
    </row>
    <row r="250">
      <c r="A250" s="5"/>
      <c r="B250" s="17"/>
      <c r="C250" s="18"/>
      <c r="D250" s="19"/>
      <c r="E250" s="20"/>
      <c r="F250" s="21"/>
      <c r="G250" s="21"/>
      <c r="H250" s="21"/>
      <c r="I250" s="27"/>
      <c r="J250" s="20"/>
      <c r="K250" s="5"/>
      <c r="L250" s="5"/>
      <c r="M250" s="5"/>
      <c r="N250" s="5"/>
      <c r="O250" s="24"/>
      <c r="P250" s="5"/>
      <c r="Q250" s="5"/>
      <c r="R250" s="27"/>
      <c r="S250" s="5"/>
      <c r="T250" s="5"/>
      <c r="U250" s="5"/>
      <c r="V250" s="5"/>
      <c r="W250" s="5"/>
      <c r="X250" s="5"/>
      <c r="Y250" s="5"/>
      <c r="Z250" s="5"/>
    </row>
    <row r="251">
      <c r="A251" s="5"/>
      <c r="B251" s="17"/>
      <c r="C251" s="18"/>
      <c r="D251" s="19"/>
      <c r="E251" s="20"/>
      <c r="F251" s="21"/>
      <c r="G251" s="21"/>
      <c r="H251" s="21"/>
      <c r="I251" s="27"/>
      <c r="J251" s="20"/>
      <c r="K251" s="5"/>
      <c r="L251" s="5"/>
      <c r="M251" s="5"/>
      <c r="N251" s="5"/>
      <c r="O251" s="24"/>
      <c r="P251" s="5"/>
      <c r="Q251" s="5"/>
      <c r="R251" s="5"/>
      <c r="S251" s="5"/>
      <c r="T251" s="5"/>
      <c r="U251" s="5"/>
      <c r="V251" s="5"/>
      <c r="W251" s="5"/>
      <c r="X251" s="5"/>
      <c r="Y251" s="5"/>
      <c r="Z251" s="5"/>
    </row>
    <row r="252">
      <c r="A252" s="5"/>
      <c r="B252" s="17"/>
      <c r="C252" s="18"/>
      <c r="D252" s="19"/>
      <c r="E252" s="20"/>
      <c r="F252" s="21"/>
      <c r="G252" s="21"/>
      <c r="H252" s="21"/>
      <c r="I252" s="5"/>
      <c r="J252" s="20"/>
      <c r="K252" s="5"/>
      <c r="L252" s="5"/>
      <c r="M252" s="5"/>
      <c r="N252" s="5"/>
      <c r="O252" s="24"/>
      <c r="P252" s="5"/>
      <c r="Q252" s="5"/>
      <c r="R252" s="5"/>
      <c r="S252" s="5"/>
      <c r="T252" s="5"/>
      <c r="U252" s="5"/>
      <c r="V252" s="5"/>
      <c r="W252" s="5"/>
      <c r="X252" s="5"/>
      <c r="Y252" s="5"/>
      <c r="Z252" s="5"/>
    </row>
    <row r="253">
      <c r="A253" s="5"/>
      <c r="B253" s="17"/>
      <c r="C253" s="18"/>
      <c r="D253" s="19"/>
      <c r="E253" s="20"/>
      <c r="F253" s="21"/>
      <c r="G253" s="21"/>
      <c r="H253" s="21"/>
      <c r="I253" s="5"/>
      <c r="J253" s="20"/>
      <c r="K253" s="5"/>
      <c r="L253" s="5"/>
      <c r="M253" s="5"/>
      <c r="N253" s="5"/>
      <c r="O253" s="24"/>
      <c r="P253" s="5"/>
      <c r="Q253" s="5"/>
      <c r="R253" s="5"/>
      <c r="S253" s="5"/>
      <c r="T253" s="5"/>
      <c r="U253" s="5"/>
      <c r="V253" s="5"/>
      <c r="W253" s="27"/>
      <c r="X253" s="5"/>
      <c r="Y253" s="5"/>
      <c r="Z253" s="5"/>
    </row>
    <row r="254">
      <c r="A254" s="5"/>
      <c r="B254" s="17"/>
      <c r="C254" s="18"/>
      <c r="D254" s="19"/>
      <c r="E254" s="20"/>
      <c r="F254" s="21"/>
      <c r="G254" s="21"/>
      <c r="H254" s="21"/>
      <c r="I254" s="5"/>
      <c r="J254" s="20"/>
      <c r="K254" s="5"/>
      <c r="L254" s="5"/>
      <c r="M254" s="5"/>
      <c r="N254" s="5"/>
      <c r="O254" s="24"/>
      <c r="P254" s="5"/>
      <c r="Q254" s="5"/>
      <c r="R254" s="5"/>
      <c r="S254" s="5"/>
      <c r="T254" s="5"/>
      <c r="U254" s="5"/>
      <c r="V254" s="5"/>
      <c r="W254" s="5"/>
      <c r="X254" s="5"/>
      <c r="Y254" s="5"/>
      <c r="Z254" s="5"/>
    </row>
    <row r="255">
      <c r="A255" s="5"/>
      <c r="B255" s="17"/>
      <c r="C255" s="18"/>
      <c r="D255" s="19"/>
      <c r="E255" s="20"/>
      <c r="F255" s="21"/>
      <c r="G255" s="21"/>
      <c r="H255" s="21"/>
      <c r="I255" s="5"/>
      <c r="J255" s="20"/>
      <c r="K255" s="5"/>
      <c r="L255" s="5"/>
      <c r="M255" s="5"/>
      <c r="N255" s="5"/>
      <c r="O255" s="24"/>
      <c r="P255" s="5"/>
      <c r="Q255" s="5"/>
      <c r="R255" s="5"/>
      <c r="S255" s="5"/>
      <c r="T255" s="5"/>
      <c r="U255" s="5"/>
      <c r="V255" s="5"/>
      <c r="W255" s="5"/>
      <c r="X255" s="5"/>
      <c r="Y255" s="5"/>
      <c r="Z255" s="5"/>
    </row>
    <row r="256">
      <c r="A256" s="5"/>
      <c r="B256" s="17"/>
      <c r="C256" s="18"/>
      <c r="D256" s="19"/>
      <c r="E256" s="20"/>
      <c r="F256" s="21"/>
      <c r="G256" s="21"/>
      <c r="H256" s="21"/>
      <c r="I256" s="5"/>
      <c r="J256" s="20"/>
      <c r="K256" s="5"/>
      <c r="L256" s="5"/>
      <c r="M256" s="5"/>
      <c r="N256" s="5"/>
      <c r="O256" s="24"/>
      <c r="P256" s="5"/>
      <c r="Q256" s="5"/>
      <c r="R256" s="5"/>
      <c r="S256" s="5"/>
      <c r="T256" s="5"/>
      <c r="U256" s="5"/>
      <c r="V256" s="5"/>
      <c r="W256" s="5"/>
      <c r="X256" s="5"/>
      <c r="Y256" s="5"/>
      <c r="Z256" s="5"/>
    </row>
    <row r="257">
      <c r="A257" s="5"/>
      <c r="B257" s="17"/>
      <c r="C257" s="18"/>
      <c r="D257" s="19"/>
      <c r="E257" s="20"/>
      <c r="F257" s="21"/>
      <c r="G257" s="21"/>
      <c r="H257" s="21"/>
      <c r="I257" s="5"/>
      <c r="J257" s="20"/>
      <c r="K257" s="5"/>
      <c r="L257" s="5"/>
      <c r="M257" s="5"/>
      <c r="N257" s="5"/>
      <c r="O257" s="24"/>
      <c r="P257" s="5"/>
      <c r="Q257" s="5"/>
      <c r="R257" s="5"/>
      <c r="S257" s="5"/>
      <c r="T257" s="5"/>
      <c r="U257" s="5"/>
      <c r="V257" s="5"/>
      <c r="W257" s="27"/>
      <c r="X257" s="5"/>
      <c r="Y257" s="5"/>
      <c r="Z257" s="5"/>
    </row>
    <row r="258">
      <c r="A258" s="5"/>
      <c r="B258" s="17"/>
      <c r="C258" s="18"/>
      <c r="D258" s="19"/>
      <c r="E258" s="20"/>
      <c r="F258" s="21"/>
      <c r="G258" s="21"/>
      <c r="H258" s="21"/>
      <c r="I258" s="5"/>
      <c r="J258" s="20"/>
      <c r="K258" s="5"/>
      <c r="L258" s="5"/>
      <c r="M258" s="5"/>
      <c r="N258" s="5"/>
      <c r="O258" s="24"/>
      <c r="P258" s="5"/>
      <c r="Q258" s="5"/>
      <c r="R258" s="5"/>
      <c r="S258" s="5"/>
      <c r="T258" s="5"/>
      <c r="U258" s="5"/>
      <c r="V258" s="5"/>
      <c r="W258" s="5"/>
      <c r="X258" s="5"/>
      <c r="Y258" s="5"/>
      <c r="Z258" s="5"/>
    </row>
    <row r="259">
      <c r="A259" s="5"/>
      <c r="B259" s="17"/>
      <c r="C259" s="18"/>
      <c r="D259" s="19"/>
      <c r="E259" s="20"/>
      <c r="F259" s="21"/>
      <c r="G259" s="21"/>
      <c r="H259" s="21"/>
      <c r="I259" s="27"/>
      <c r="J259" s="20"/>
      <c r="K259" s="5"/>
      <c r="L259" s="5"/>
      <c r="M259" s="5"/>
      <c r="N259" s="5"/>
      <c r="O259" s="24"/>
      <c r="P259" s="5"/>
      <c r="Q259" s="5"/>
      <c r="R259" s="27"/>
      <c r="S259" s="5"/>
      <c r="T259" s="5"/>
      <c r="U259" s="5"/>
      <c r="V259" s="5"/>
      <c r="W259" s="27"/>
      <c r="X259" s="5"/>
      <c r="Y259" s="5"/>
      <c r="Z259" s="5"/>
    </row>
    <row r="260">
      <c r="A260" s="5"/>
      <c r="B260" s="17"/>
      <c r="C260" s="18"/>
      <c r="D260" s="19"/>
      <c r="E260" s="20"/>
      <c r="F260" s="21"/>
      <c r="G260" s="21"/>
      <c r="H260" s="21"/>
      <c r="I260" s="27"/>
      <c r="J260" s="20"/>
      <c r="K260" s="5"/>
      <c r="L260" s="5"/>
      <c r="M260" s="5"/>
      <c r="N260" s="5"/>
      <c r="O260" s="24"/>
      <c r="P260" s="5"/>
      <c r="Q260" s="5"/>
      <c r="R260" s="5"/>
      <c r="S260" s="5"/>
      <c r="T260" s="5"/>
      <c r="U260" s="5"/>
      <c r="V260" s="5"/>
      <c r="W260" s="27"/>
      <c r="X260" s="5"/>
      <c r="Y260" s="5"/>
      <c r="Z260" s="5"/>
    </row>
    <row r="261">
      <c r="A261" s="5"/>
      <c r="B261" s="17"/>
      <c r="C261" s="18"/>
      <c r="D261" s="19"/>
      <c r="E261" s="20"/>
      <c r="F261" s="21"/>
      <c r="G261" s="21"/>
      <c r="H261" s="21"/>
      <c r="I261" s="5"/>
      <c r="J261" s="20"/>
      <c r="K261" s="5"/>
      <c r="L261" s="5"/>
      <c r="M261" s="5"/>
      <c r="N261" s="5"/>
      <c r="O261" s="24"/>
      <c r="P261" s="5"/>
      <c r="Q261" s="5"/>
      <c r="R261" s="5"/>
      <c r="S261" s="5"/>
      <c r="T261" s="5"/>
      <c r="U261" s="5"/>
      <c r="V261" s="5"/>
      <c r="W261" s="5"/>
      <c r="X261" s="5"/>
      <c r="Y261" s="5"/>
      <c r="Z261" s="5"/>
    </row>
    <row r="262">
      <c r="A262" s="5"/>
      <c r="B262" s="17"/>
      <c r="C262" s="18"/>
      <c r="D262" s="19"/>
      <c r="E262" s="20"/>
      <c r="F262" s="21"/>
      <c r="G262" s="21"/>
      <c r="H262" s="21"/>
      <c r="I262" s="5"/>
      <c r="J262" s="20"/>
      <c r="K262" s="5"/>
      <c r="L262" s="5"/>
      <c r="M262" s="5"/>
      <c r="N262" s="5"/>
      <c r="O262" s="24"/>
      <c r="P262" s="5"/>
      <c r="Q262" s="5"/>
      <c r="R262" s="5"/>
      <c r="S262" s="5"/>
      <c r="T262" s="5"/>
      <c r="U262" s="5"/>
      <c r="V262" s="5"/>
      <c r="W262" s="5"/>
      <c r="X262" s="5"/>
      <c r="Y262" s="5"/>
      <c r="Z262" s="5"/>
    </row>
    <row r="263">
      <c r="A263" s="5"/>
      <c r="B263" s="17"/>
      <c r="C263" s="18"/>
      <c r="D263" s="5"/>
      <c r="E263" s="20"/>
      <c r="F263" s="21"/>
      <c r="G263" s="21"/>
      <c r="H263" s="21"/>
      <c r="I263" s="5"/>
      <c r="J263" s="20"/>
      <c r="K263" s="5"/>
      <c r="L263" s="5"/>
      <c r="M263" s="5"/>
      <c r="N263" s="5"/>
      <c r="O263" s="24"/>
      <c r="P263" s="5"/>
      <c r="Q263" s="5"/>
      <c r="R263" s="5"/>
      <c r="S263" s="5"/>
      <c r="T263" s="5"/>
      <c r="U263" s="5"/>
      <c r="V263" s="5"/>
      <c r="W263" s="5"/>
      <c r="X263" s="5"/>
      <c r="Y263" s="5"/>
      <c r="Z263" s="5"/>
    </row>
    <row r="264">
      <c r="A264" s="5"/>
      <c r="B264" s="17"/>
      <c r="C264" s="18"/>
      <c r="D264" s="5"/>
      <c r="E264" s="20"/>
      <c r="F264" s="21"/>
      <c r="G264" s="21"/>
      <c r="H264" s="21"/>
      <c r="I264" s="5"/>
      <c r="J264" s="20"/>
      <c r="K264" s="5"/>
      <c r="L264" s="5"/>
      <c r="M264" s="5"/>
      <c r="N264" s="5"/>
      <c r="O264" s="24"/>
      <c r="P264" s="5"/>
      <c r="Q264" s="5"/>
      <c r="R264" s="5"/>
      <c r="S264" s="5"/>
      <c r="T264" s="5"/>
      <c r="U264" s="5"/>
      <c r="V264" s="5"/>
      <c r="W264" s="5"/>
      <c r="X264" s="5"/>
      <c r="Y264" s="5"/>
      <c r="Z264" s="5"/>
    </row>
    <row r="265">
      <c r="A265" s="5"/>
      <c r="B265" s="17"/>
      <c r="C265" s="18"/>
      <c r="D265" s="5"/>
      <c r="E265" s="20"/>
      <c r="F265" s="21"/>
      <c r="G265" s="21"/>
      <c r="H265" s="21"/>
      <c r="I265" s="5"/>
      <c r="J265" s="20"/>
      <c r="K265" s="5"/>
      <c r="L265" s="5"/>
      <c r="M265" s="5"/>
      <c r="N265" s="5"/>
      <c r="O265" s="24"/>
      <c r="P265" s="5"/>
      <c r="Q265" s="5"/>
      <c r="R265" s="5"/>
      <c r="S265" s="5"/>
      <c r="T265" s="5"/>
      <c r="U265" s="5"/>
      <c r="V265" s="5"/>
      <c r="W265" s="5"/>
      <c r="X265" s="5"/>
      <c r="Y265" s="5"/>
      <c r="Z265" s="5"/>
    </row>
    <row r="266">
      <c r="A266" s="5"/>
      <c r="B266" s="17"/>
      <c r="C266" s="18"/>
      <c r="D266" s="5"/>
      <c r="E266" s="20"/>
      <c r="F266" s="21"/>
      <c r="G266" s="21"/>
      <c r="H266" s="21"/>
      <c r="I266" s="5"/>
      <c r="J266" s="20"/>
      <c r="K266" s="5"/>
      <c r="L266" s="5"/>
      <c r="M266" s="5"/>
      <c r="N266" s="5"/>
      <c r="O266" s="24"/>
      <c r="P266" s="5"/>
      <c r="Q266" s="5"/>
      <c r="R266" s="5"/>
      <c r="S266" s="5"/>
      <c r="T266" s="5"/>
      <c r="U266" s="5"/>
      <c r="V266" s="5"/>
      <c r="W266" s="5"/>
      <c r="X266" s="5"/>
      <c r="Y266" s="5"/>
      <c r="Z266" s="5"/>
    </row>
    <row r="267">
      <c r="A267" s="5"/>
      <c r="B267" s="17"/>
      <c r="C267" s="18"/>
      <c r="D267" s="5"/>
      <c r="E267" s="20"/>
      <c r="F267" s="21"/>
      <c r="G267" s="21"/>
      <c r="H267" s="21"/>
      <c r="I267" s="5"/>
      <c r="J267" s="20"/>
      <c r="K267" s="5"/>
      <c r="L267" s="5"/>
      <c r="M267" s="5"/>
      <c r="N267" s="5"/>
      <c r="O267" s="24"/>
      <c r="P267" s="5"/>
      <c r="Q267" s="5"/>
      <c r="R267" s="5"/>
      <c r="S267" s="5"/>
      <c r="T267" s="5"/>
      <c r="U267" s="5"/>
      <c r="V267" s="5"/>
      <c r="W267" s="5"/>
      <c r="X267" s="5"/>
      <c r="Y267" s="5"/>
      <c r="Z267" s="5"/>
    </row>
    <row r="268">
      <c r="A268" s="5"/>
      <c r="B268" s="17"/>
      <c r="C268" s="18"/>
      <c r="D268" s="5"/>
      <c r="E268" s="20"/>
      <c r="F268" s="21"/>
      <c r="G268" s="21"/>
      <c r="H268" s="21"/>
      <c r="I268" s="5"/>
      <c r="J268" s="20"/>
      <c r="K268" s="5"/>
      <c r="L268" s="5"/>
      <c r="M268" s="5"/>
      <c r="N268" s="5"/>
      <c r="O268" s="24"/>
      <c r="P268" s="5"/>
      <c r="Q268" s="5"/>
      <c r="R268" s="5"/>
      <c r="S268" s="5"/>
      <c r="T268" s="5"/>
      <c r="U268" s="5"/>
      <c r="V268" s="5"/>
      <c r="W268" s="5"/>
      <c r="X268" s="5"/>
      <c r="Y268" s="5"/>
      <c r="Z268" s="5"/>
    </row>
    <row r="269">
      <c r="A269" s="5"/>
      <c r="B269" s="17"/>
      <c r="C269" s="18"/>
      <c r="D269" s="5"/>
      <c r="E269" s="20"/>
      <c r="F269" s="21"/>
      <c r="G269" s="21"/>
      <c r="H269" s="21"/>
      <c r="I269" s="5"/>
      <c r="J269" s="20"/>
      <c r="K269" s="5"/>
      <c r="L269" s="5"/>
      <c r="M269" s="5"/>
      <c r="N269" s="5"/>
      <c r="O269" s="24"/>
      <c r="P269" s="5"/>
      <c r="Q269" s="5"/>
      <c r="R269" s="5"/>
      <c r="S269" s="5"/>
      <c r="T269" s="5"/>
      <c r="U269" s="5"/>
      <c r="V269" s="5"/>
      <c r="W269" s="5"/>
      <c r="X269" s="5"/>
      <c r="Y269" s="5"/>
      <c r="Z269" s="5"/>
    </row>
    <row r="270">
      <c r="A270" s="5"/>
      <c r="B270" s="17"/>
      <c r="C270" s="18"/>
      <c r="D270" s="5"/>
      <c r="E270" s="20"/>
      <c r="F270" s="21"/>
      <c r="G270" s="21"/>
      <c r="H270" s="21"/>
      <c r="I270" s="5"/>
      <c r="J270" s="20"/>
      <c r="K270" s="5"/>
      <c r="L270" s="5"/>
      <c r="M270" s="5"/>
      <c r="N270" s="5"/>
      <c r="O270" s="24"/>
      <c r="P270" s="5"/>
      <c r="Q270" s="5"/>
      <c r="R270" s="5"/>
      <c r="S270" s="5"/>
      <c r="T270" s="5"/>
      <c r="U270" s="5"/>
      <c r="V270" s="5"/>
      <c r="W270" s="5"/>
      <c r="X270" s="5"/>
      <c r="Y270" s="5"/>
      <c r="Z270" s="5"/>
    </row>
    <row r="271">
      <c r="A271" s="5"/>
      <c r="B271" s="17"/>
      <c r="C271" s="18"/>
      <c r="D271" s="5"/>
      <c r="E271" s="20"/>
      <c r="F271" s="21"/>
      <c r="G271" s="21"/>
      <c r="H271" s="21"/>
      <c r="I271" s="5"/>
      <c r="J271" s="20"/>
      <c r="K271" s="5"/>
      <c r="L271" s="5"/>
      <c r="M271" s="5"/>
      <c r="N271" s="5"/>
      <c r="O271" s="24"/>
      <c r="P271" s="5"/>
      <c r="Q271" s="5"/>
      <c r="R271" s="5"/>
      <c r="S271" s="5"/>
      <c r="T271" s="5"/>
      <c r="U271" s="5"/>
      <c r="V271" s="5"/>
      <c r="W271" s="5"/>
      <c r="X271" s="5"/>
      <c r="Y271" s="5"/>
      <c r="Z271" s="5"/>
    </row>
    <row r="272">
      <c r="A272" s="5"/>
      <c r="B272" s="17"/>
      <c r="C272" s="18"/>
      <c r="D272" s="5"/>
      <c r="E272" s="20"/>
      <c r="F272" s="21"/>
      <c r="G272" s="21"/>
      <c r="H272" s="21"/>
      <c r="I272" s="5"/>
      <c r="J272" s="20"/>
      <c r="K272" s="5"/>
      <c r="L272" s="5"/>
      <c r="M272" s="5"/>
      <c r="N272" s="5"/>
      <c r="O272" s="24"/>
      <c r="P272" s="5"/>
      <c r="Q272" s="5"/>
      <c r="R272" s="5"/>
      <c r="S272" s="5"/>
      <c r="T272" s="5"/>
      <c r="U272" s="5"/>
      <c r="V272" s="5"/>
      <c r="W272" s="5"/>
      <c r="X272" s="5"/>
      <c r="Y272" s="5"/>
      <c r="Z272" s="5"/>
    </row>
    <row r="273">
      <c r="A273" s="5"/>
      <c r="B273" s="17"/>
      <c r="C273" s="18"/>
      <c r="D273" s="5"/>
      <c r="E273" s="20"/>
      <c r="F273" s="21"/>
      <c r="G273" s="21"/>
      <c r="H273" s="21"/>
      <c r="I273" s="5"/>
      <c r="J273" s="20"/>
      <c r="K273" s="5"/>
      <c r="L273" s="5"/>
      <c r="M273" s="5"/>
      <c r="N273" s="5"/>
      <c r="O273" s="24"/>
      <c r="P273" s="5"/>
      <c r="Q273" s="5"/>
      <c r="R273" s="5"/>
      <c r="S273" s="5"/>
      <c r="T273" s="5"/>
      <c r="U273" s="5"/>
      <c r="V273" s="5"/>
      <c r="W273" s="5"/>
      <c r="X273" s="5"/>
      <c r="Y273" s="5"/>
      <c r="Z273" s="5"/>
    </row>
    <row r="274">
      <c r="A274" s="5"/>
      <c r="B274" s="17"/>
      <c r="C274" s="18"/>
      <c r="D274" s="5"/>
      <c r="E274" s="20"/>
      <c r="F274" s="21"/>
      <c r="G274" s="21"/>
      <c r="H274" s="21"/>
      <c r="I274" s="5"/>
      <c r="J274" s="20"/>
      <c r="K274" s="5"/>
      <c r="L274" s="5"/>
      <c r="M274" s="5"/>
      <c r="N274" s="5"/>
      <c r="O274" s="24"/>
      <c r="P274" s="5"/>
      <c r="Q274" s="5"/>
      <c r="R274" s="5"/>
      <c r="S274" s="5"/>
      <c r="T274" s="5"/>
      <c r="U274" s="5"/>
      <c r="V274" s="5"/>
      <c r="W274" s="5"/>
      <c r="X274" s="5"/>
      <c r="Y274" s="5"/>
      <c r="Z274" s="5"/>
    </row>
    <row r="275">
      <c r="A275" s="5"/>
      <c r="B275" s="17"/>
      <c r="C275" s="18"/>
      <c r="D275" s="5"/>
      <c r="E275" s="20"/>
      <c r="F275" s="21"/>
      <c r="G275" s="21"/>
      <c r="H275" s="21"/>
      <c r="I275" s="5"/>
      <c r="J275" s="20"/>
      <c r="K275" s="5"/>
      <c r="L275" s="5"/>
      <c r="M275" s="5"/>
      <c r="N275" s="5"/>
      <c r="O275" s="24"/>
      <c r="P275" s="5"/>
      <c r="Q275" s="5"/>
      <c r="R275" s="5"/>
      <c r="S275" s="5"/>
      <c r="T275" s="5"/>
      <c r="U275" s="5"/>
      <c r="V275" s="5"/>
      <c r="W275" s="5"/>
      <c r="X275" s="5"/>
      <c r="Y275" s="5"/>
      <c r="Z275" s="5"/>
    </row>
    <row r="276">
      <c r="A276" s="5"/>
      <c r="B276" s="17"/>
      <c r="C276" s="18"/>
      <c r="D276" s="5"/>
      <c r="E276" s="20"/>
      <c r="F276" s="21"/>
      <c r="G276" s="21"/>
      <c r="H276" s="21"/>
      <c r="I276" s="5"/>
      <c r="J276" s="20"/>
      <c r="K276" s="5"/>
      <c r="L276" s="5"/>
      <c r="M276" s="5"/>
      <c r="N276" s="5"/>
      <c r="O276" s="24"/>
      <c r="P276" s="5"/>
      <c r="Q276" s="5"/>
      <c r="R276" s="5"/>
      <c r="S276" s="5"/>
      <c r="T276" s="5"/>
      <c r="U276" s="5"/>
      <c r="V276" s="5"/>
      <c r="W276" s="5"/>
      <c r="X276" s="5"/>
      <c r="Y276" s="5"/>
      <c r="Z276" s="5"/>
    </row>
    <row r="277">
      <c r="A277" s="5"/>
      <c r="B277" s="17"/>
      <c r="C277" s="18"/>
      <c r="D277" s="5"/>
      <c r="E277" s="20"/>
      <c r="F277" s="21"/>
      <c r="G277" s="21"/>
      <c r="H277" s="21"/>
      <c r="I277" s="5"/>
      <c r="J277" s="20"/>
      <c r="K277" s="5"/>
      <c r="L277" s="5"/>
      <c r="M277" s="5"/>
      <c r="N277" s="5"/>
      <c r="O277" s="24"/>
      <c r="P277" s="5"/>
      <c r="Q277" s="5"/>
      <c r="R277" s="5"/>
      <c r="S277" s="5"/>
      <c r="T277" s="5"/>
      <c r="U277" s="5"/>
      <c r="V277" s="5"/>
      <c r="W277" s="5"/>
      <c r="X277" s="5"/>
      <c r="Y277" s="5"/>
      <c r="Z277" s="5"/>
    </row>
    <row r="278">
      <c r="A278" s="5"/>
      <c r="B278" s="17"/>
      <c r="C278" s="18"/>
      <c r="D278" s="5"/>
      <c r="E278" s="20"/>
      <c r="F278" s="21"/>
      <c r="G278" s="21"/>
      <c r="H278" s="21"/>
      <c r="I278" s="5"/>
      <c r="J278" s="20"/>
      <c r="K278" s="5"/>
      <c r="L278" s="5"/>
      <c r="M278" s="5"/>
      <c r="N278" s="5"/>
      <c r="O278" s="24"/>
      <c r="P278" s="5"/>
      <c r="Q278" s="5"/>
      <c r="R278" s="5"/>
      <c r="S278" s="5"/>
      <c r="T278" s="5"/>
      <c r="U278" s="5"/>
      <c r="V278" s="5"/>
      <c r="W278" s="5"/>
      <c r="X278" s="5"/>
      <c r="Y278" s="5"/>
      <c r="Z278" s="5"/>
    </row>
    <row r="279">
      <c r="A279" s="5"/>
      <c r="B279" s="17"/>
      <c r="C279" s="18"/>
      <c r="D279" s="5"/>
      <c r="E279" s="20"/>
      <c r="F279" s="21"/>
      <c r="G279" s="21"/>
      <c r="H279" s="21"/>
      <c r="I279" s="5"/>
      <c r="J279" s="20"/>
      <c r="K279" s="5"/>
      <c r="L279" s="5"/>
      <c r="M279" s="5"/>
      <c r="N279" s="5"/>
      <c r="O279" s="24"/>
      <c r="P279" s="5"/>
      <c r="Q279" s="5"/>
      <c r="R279" s="5"/>
      <c r="S279" s="5"/>
      <c r="T279" s="5"/>
      <c r="U279" s="5"/>
      <c r="V279" s="5"/>
      <c r="W279" s="5"/>
      <c r="X279" s="5"/>
      <c r="Y279" s="5"/>
      <c r="Z279" s="5"/>
    </row>
    <row r="280">
      <c r="A280" s="5"/>
      <c r="B280" s="17"/>
      <c r="C280" s="18"/>
      <c r="D280" s="5"/>
      <c r="E280" s="20"/>
      <c r="F280" s="21"/>
      <c r="G280" s="21"/>
      <c r="H280" s="21"/>
      <c r="I280" s="5"/>
      <c r="J280" s="20"/>
      <c r="K280" s="5"/>
      <c r="L280" s="5"/>
      <c r="M280" s="5"/>
      <c r="N280" s="5"/>
      <c r="O280" s="24"/>
      <c r="P280" s="5"/>
      <c r="Q280" s="5"/>
      <c r="R280" s="5"/>
      <c r="S280" s="5"/>
      <c r="T280" s="5"/>
      <c r="U280" s="5"/>
      <c r="V280" s="5"/>
      <c r="W280" s="5"/>
      <c r="X280" s="5"/>
      <c r="Y280" s="5"/>
      <c r="Z280" s="5"/>
    </row>
    <row r="281">
      <c r="A281" s="5"/>
      <c r="B281" s="17"/>
      <c r="C281" s="18"/>
      <c r="D281" s="5"/>
      <c r="E281" s="20"/>
      <c r="F281" s="21"/>
      <c r="G281" s="21"/>
      <c r="H281" s="21"/>
      <c r="I281" s="5"/>
      <c r="J281" s="20"/>
      <c r="K281" s="5"/>
      <c r="L281" s="5"/>
      <c r="M281" s="5"/>
      <c r="N281" s="5"/>
      <c r="O281" s="24"/>
      <c r="P281" s="5"/>
      <c r="Q281" s="5"/>
      <c r="R281" s="5"/>
      <c r="S281" s="5"/>
      <c r="T281" s="5"/>
      <c r="U281" s="5"/>
      <c r="V281" s="5"/>
      <c r="W281" s="5"/>
      <c r="X281" s="5"/>
      <c r="Y281" s="5"/>
      <c r="Z281" s="5"/>
    </row>
    <row r="282">
      <c r="A282" s="5"/>
      <c r="B282" s="17"/>
      <c r="C282" s="18"/>
      <c r="D282" s="5"/>
      <c r="E282" s="20"/>
      <c r="F282" s="21"/>
      <c r="G282" s="21"/>
      <c r="H282" s="21"/>
      <c r="I282" s="5"/>
      <c r="J282" s="20"/>
      <c r="K282" s="5"/>
      <c r="L282" s="5"/>
      <c r="M282" s="5"/>
      <c r="N282" s="5"/>
      <c r="O282" s="24"/>
      <c r="P282" s="5"/>
      <c r="Q282" s="5"/>
      <c r="R282" s="5"/>
      <c r="S282" s="5"/>
      <c r="T282" s="5"/>
      <c r="U282" s="5"/>
      <c r="V282" s="5"/>
      <c r="W282" s="5"/>
      <c r="X282" s="5"/>
      <c r="Y282" s="5"/>
      <c r="Z282" s="5"/>
    </row>
    <row r="283">
      <c r="A283" s="5"/>
      <c r="B283" s="17"/>
      <c r="C283" s="18"/>
      <c r="D283" s="5"/>
      <c r="E283" s="20"/>
      <c r="F283" s="21"/>
      <c r="G283" s="21"/>
      <c r="H283" s="21"/>
      <c r="I283" s="5"/>
      <c r="J283" s="20"/>
      <c r="K283" s="5"/>
      <c r="L283" s="5"/>
      <c r="M283" s="5"/>
      <c r="N283" s="5"/>
      <c r="O283" s="24"/>
      <c r="P283" s="5"/>
      <c r="Q283" s="5"/>
      <c r="R283" s="5"/>
      <c r="S283" s="5"/>
      <c r="T283" s="5"/>
      <c r="U283" s="5"/>
      <c r="V283" s="5"/>
      <c r="W283" s="5"/>
      <c r="X283" s="5"/>
      <c r="Y283" s="5"/>
      <c r="Z283" s="5"/>
    </row>
    <row r="284">
      <c r="A284" s="5"/>
      <c r="B284" s="17"/>
      <c r="C284" s="18"/>
      <c r="D284" s="5"/>
      <c r="E284" s="20"/>
      <c r="F284" s="21"/>
      <c r="G284" s="21"/>
      <c r="H284" s="21"/>
      <c r="I284" s="5"/>
      <c r="J284" s="20"/>
      <c r="K284" s="5"/>
      <c r="L284" s="5"/>
      <c r="M284" s="5"/>
      <c r="N284" s="5"/>
      <c r="O284" s="24"/>
      <c r="P284" s="5"/>
      <c r="Q284" s="5"/>
      <c r="R284" s="5"/>
      <c r="S284" s="5"/>
      <c r="T284" s="5"/>
      <c r="U284" s="5"/>
      <c r="V284" s="5"/>
      <c r="W284" s="5"/>
      <c r="X284" s="5"/>
      <c r="Y284" s="5"/>
      <c r="Z284" s="5"/>
    </row>
    <row r="285">
      <c r="A285" s="5"/>
      <c r="B285" s="17"/>
      <c r="C285" s="18"/>
      <c r="D285" s="5"/>
      <c r="E285" s="20"/>
      <c r="F285" s="21"/>
      <c r="G285" s="21"/>
      <c r="H285" s="21"/>
      <c r="I285" s="5"/>
      <c r="J285" s="20"/>
      <c r="K285" s="5"/>
      <c r="L285" s="5"/>
      <c r="M285" s="5"/>
      <c r="N285" s="5"/>
      <c r="O285" s="24"/>
      <c r="P285" s="5"/>
      <c r="Q285" s="5"/>
      <c r="R285" s="5"/>
      <c r="S285" s="5"/>
      <c r="T285" s="5"/>
      <c r="U285" s="5"/>
      <c r="V285" s="5"/>
      <c r="W285" s="5"/>
      <c r="X285" s="5"/>
      <c r="Y285" s="5"/>
      <c r="Z285" s="5"/>
    </row>
    <row r="286">
      <c r="A286" s="5"/>
      <c r="B286" s="17"/>
      <c r="C286" s="18"/>
      <c r="D286" s="5"/>
      <c r="E286" s="20"/>
      <c r="F286" s="21"/>
      <c r="G286" s="21"/>
      <c r="H286" s="21"/>
      <c r="I286" s="5"/>
      <c r="J286" s="20"/>
      <c r="K286" s="5"/>
      <c r="L286" s="5"/>
      <c r="M286" s="5"/>
      <c r="N286" s="5"/>
      <c r="O286" s="24"/>
      <c r="P286" s="5"/>
      <c r="Q286" s="5"/>
      <c r="R286" s="5"/>
      <c r="S286" s="5"/>
      <c r="T286" s="5"/>
      <c r="U286" s="5"/>
      <c r="V286" s="5"/>
      <c r="W286" s="5"/>
      <c r="X286" s="5"/>
      <c r="Y286" s="5"/>
      <c r="Z286" s="5"/>
    </row>
    <row r="287">
      <c r="A287" s="5"/>
      <c r="B287" s="17"/>
      <c r="C287" s="18"/>
      <c r="D287" s="5"/>
      <c r="E287" s="20"/>
      <c r="F287" s="21"/>
      <c r="G287" s="21"/>
      <c r="H287" s="21"/>
      <c r="I287" s="5"/>
      <c r="J287" s="20"/>
      <c r="K287" s="5"/>
      <c r="L287" s="5"/>
      <c r="M287" s="5"/>
      <c r="N287" s="5"/>
      <c r="O287" s="24"/>
      <c r="P287" s="5"/>
      <c r="Q287" s="5"/>
      <c r="R287" s="5"/>
      <c r="S287" s="5"/>
      <c r="T287" s="5"/>
      <c r="U287" s="5"/>
      <c r="V287" s="5"/>
      <c r="W287" s="5"/>
      <c r="X287" s="5"/>
      <c r="Y287" s="5"/>
      <c r="Z287" s="5"/>
    </row>
    <row r="288">
      <c r="A288" s="5"/>
      <c r="B288" s="17"/>
      <c r="C288" s="18"/>
      <c r="D288" s="5"/>
      <c r="E288" s="20"/>
      <c r="F288" s="21"/>
      <c r="G288" s="21"/>
      <c r="H288" s="21"/>
      <c r="I288" s="5"/>
      <c r="J288" s="20"/>
      <c r="K288" s="5"/>
      <c r="L288" s="5"/>
      <c r="M288" s="5"/>
      <c r="N288" s="5"/>
      <c r="O288" s="24"/>
      <c r="P288" s="5"/>
      <c r="Q288" s="5"/>
      <c r="R288" s="5"/>
      <c r="S288" s="5"/>
      <c r="T288" s="5"/>
      <c r="U288" s="5"/>
      <c r="V288" s="5"/>
      <c r="W288" s="5"/>
      <c r="X288" s="5"/>
      <c r="Y288" s="5"/>
      <c r="Z288" s="5"/>
    </row>
    <row r="289">
      <c r="A289" s="5"/>
      <c r="B289" s="17"/>
      <c r="C289" s="18"/>
      <c r="D289" s="5"/>
      <c r="E289" s="20"/>
      <c r="F289" s="21"/>
      <c r="G289" s="21"/>
      <c r="H289" s="21"/>
      <c r="I289" s="5"/>
      <c r="J289" s="20"/>
      <c r="K289" s="5"/>
      <c r="L289" s="5"/>
      <c r="M289" s="5"/>
      <c r="N289" s="5"/>
      <c r="O289" s="24"/>
      <c r="P289" s="5"/>
      <c r="Q289" s="5"/>
      <c r="R289" s="5"/>
      <c r="S289" s="5"/>
      <c r="T289" s="5"/>
      <c r="U289" s="5"/>
      <c r="V289" s="5"/>
      <c r="W289" s="5"/>
      <c r="X289" s="5"/>
      <c r="Y289" s="5"/>
      <c r="Z289" s="5"/>
    </row>
    <row r="290">
      <c r="A290" s="5"/>
      <c r="B290" s="17"/>
      <c r="C290" s="18"/>
      <c r="D290" s="5"/>
      <c r="E290" s="20"/>
      <c r="F290" s="21"/>
      <c r="G290" s="21"/>
      <c r="H290" s="21"/>
      <c r="I290" s="5"/>
      <c r="J290" s="20"/>
      <c r="K290" s="5"/>
      <c r="L290" s="5"/>
      <c r="M290" s="5"/>
      <c r="N290" s="5"/>
      <c r="O290" s="24"/>
      <c r="P290" s="5"/>
      <c r="Q290" s="5"/>
      <c r="R290" s="5"/>
      <c r="S290" s="5"/>
      <c r="T290" s="5"/>
      <c r="U290" s="5"/>
      <c r="V290" s="5"/>
      <c r="W290" s="5"/>
      <c r="X290" s="5"/>
      <c r="Y290" s="5"/>
      <c r="Z290" s="5"/>
    </row>
    <row r="291">
      <c r="A291" s="5"/>
      <c r="B291" s="17"/>
      <c r="C291" s="18"/>
      <c r="D291" s="5"/>
      <c r="E291" s="20"/>
      <c r="F291" s="21"/>
      <c r="G291" s="21"/>
      <c r="H291" s="21"/>
      <c r="I291" s="5"/>
      <c r="J291" s="20"/>
      <c r="K291" s="5"/>
      <c r="L291" s="5"/>
      <c r="M291" s="5"/>
      <c r="N291" s="5"/>
      <c r="O291" s="24"/>
      <c r="P291" s="5"/>
      <c r="Q291" s="5"/>
      <c r="R291" s="5"/>
      <c r="S291" s="5"/>
      <c r="T291" s="5"/>
      <c r="U291" s="5"/>
      <c r="V291" s="5"/>
      <c r="W291" s="5"/>
      <c r="X291" s="5"/>
      <c r="Y291" s="5"/>
      <c r="Z291" s="5"/>
    </row>
    <row r="292">
      <c r="A292" s="5"/>
      <c r="B292" s="17"/>
      <c r="C292" s="18"/>
      <c r="D292" s="5"/>
      <c r="E292" s="20"/>
      <c r="F292" s="21"/>
      <c r="G292" s="21"/>
      <c r="H292" s="21"/>
      <c r="I292" s="5"/>
      <c r="J292" s="20"/>
      <c r="K292" s="5"/>
      <c r="L292" s="5"/>
      <c r="M292" s="5"/>
      <c r="N292" s="5"/>
      <c r="O292" s="24"/>
      <c r="P292" s="5"/>
      <c r="Q292" s="5"/>
      <c r="R292" s="5"/>
      <c r="S292" s="5"/>
      <c r="T292" s="5"/>
      <c r="U292" s="5"/>
      <c r="V292" s="5"/>
      <c r="W292" s="5"/>
      <c r="X292" s="5"/>
      <c r="Y292" s="5"/>
      <c r="Z292" s="5"/>
    </row>
    <row r="293">
      <c r="A293" s="5"/>
      <c r="B293" s="17"/>
      <c r="C293" s="18"/>
      <c r="D293" s="5"/>
      <c r="E293" s="20"/>
      <c r="F293" s="21"/>
      <c r="G293" s="21"/>
      <c r="H293" s="21"/>
      <c r="I293" s="5"/>
      <c r="J293" s="20"/>
      <c r="K293" s="5"/>
      <c r="L293" s="5"/>
      <c r="M293" s="5"/>
      <c r="N293" s="5"/>
      <c r="O293" s="24"/>
      <c r="P293" s="5"/>
      <c r="Q293" s="5"/>
      <c r="R293" s="5"/>
      <c r="S293" s="5"/>
      <c r="T293" s="5"/>
      <c r="U293" s="5"/>
      <c r="V293" s="5"/>
      <c r="W293" s="5"/>
      <c r="X293" s="5"/>
      <c r="Y293" s="5"/>
      <c r="Z293" s="5"/>
    </row>
    <row r="294">
      <c r="A294" s="5"/>
      <c r="B294" s="17"/>
      <c r="C294" s="18"/>
      <c r="D294" s="5"/>
      <c r="E294" s="20"/>
      <c r="F294" s="21"/>
      <c r="G294" s="21"/>
      <c r="H294" s="21"/>
      <c r="I294" s="5"/>
      <c r="J294" s="20"/>
      <c r="K294" s="5"/>
      <c r="L294" s="5"/>
      <c r="M294" s="5"/>
      <c r="N294" s="5"/>
      <c r="O294" s="24"/>
      <c r="P294" s="5"/>
      <c r="Q294" s="5"/>
      <c r="R294" s="5"/>
      <c r="S294" s="5"/>
      <c r="T294" s="5"/>
      <c r="U294" s="5"/>
      <c r="V294" s="5"/>
      <c r="W294" s="5"/>
      <c r="X294" s="5"/>
      <c r="Y294" s="5"/>
      <c r="Z294" s="5"/>
    </row>
    <row r="295">
      <c r="A295" s="5"/>
      <c r="B295" s="17"/>
      <c r="C295" s="18"/>
      <c r="D295" s="5"/>
      <c r="E295" s="20"/>
      <c r="F295" s="21"/>
      <c r="G295" s="21"/>
      <c r="H295" s="21"/>
      <c r="I295" s="5"/>
      <c r="J295" s="20"/>
      <c r="K295" s="5"/>
      <c r="L295" s="5"/>
      <c r="M295" s="5"/>
      <c r="N295" s="5"/>
      <c r="O295" s="24"/>
      <c r="P295" s="5"/>
      <c r="Q295" s="5"/>
      <c r="R295" s="5"/>
      <c r="S295" s="5"/>
      <c r="T295" s="5"/>
      <c r="U295" s="5"/>
      <c r="V295" s="5"/>
      <c r="W295" s="5"/>
      <c r="X295" s="5"/>
      <c r="Y295" s="5"/>
      <c r="Z295" s="5"/>
    </row>
    <row r="296">
      <c r="A296" s="5"/>
      <c r="B296" s="17"/>
      <c r="C296" s="18"/>
      <c r="D296" s="5"/>
      <c r="E296" s="20"/>
      <c r="F296" s="21"/>
      <c r="G296" s="21"/>
      <c r="H296" s="21"/>
      <c r="I296" s="5"/>
      <c r="J296" s="20"/>
      <c r="K296" s="5"/>
      <c r="L296" s="5"/>
      <c r="M296" s="5"/>
      <c r="N296" s="5"/>
      <c r="O296" s="24"/>
      <c r="P296" s="5"/>
      <c r="Q296" s="5"/>
      <c r="R296" s="5"/>
      <c r="S296" s="5"/>
      <c r="T296" s="5"/>
      <c r="U296" s="5"/>
      <c r="V296" s="5"/>
      <c r="W296" s="5"/>
      <c r="X296" s="5"/>
      <c r="Y296" s="5"/>
      <c r="Z296" s="5"/>
    </row>
    <row r="297">
      <c r="A297" s="5"/>
      <c r="B297" s="17"/>
      <c r="C297" s="18"/>
      <c r="D297" s="5"/>
      <c r="E297" s="20"/>
      <c r="F297" s="21"/>
      <c r="G297" s="21"/>
      <c r="H297" s="21"/>
      <c r="I297" s="5"/>
      <c r="J297" s="20"/>
      <c r="K297" s="5"/>
      <c r="L297" s="5"/>
      <c r="M297" s="5"/>
      <c r="N297" s="5"/>
      <c r="O297" s="24"/>
      <c r="P297" s="5"/>
      <c r="Q297" s="5"/>
      <c r="R297" s="5"/>
      <c r="S297" s="5"/>
      <c r="T297" s="5"/>
      <c r="U297" s="5"/>
      <c r="V297" s="5"/>
      <c r="W297" s="5"/>
      <c r="X297" s="5"/>
      <c r="Y297" s="5"/>
      <c r="Z297" s="5"/>
    </row>
    <row r="298">
      <c r="A298" s="5"/>
      <c r="B298" s="17"/>
      <c r="C298" s="18"/>
      <c r="D298" s="5"/>
      <c r="E298" s="20"/>
      <c r="F298" s="21"/>
      <c r="G298" s="21"/>
      <c r="H298" s="21"/>
      <c r="I298" s="5"/>
      <c r="J298" s="20"/>
      <c r="K298" s="5"/>
      <c r="L298" s="5"/>
      <c r="M298" s="5"/>
      <c r="N298" s="5"/>
      <c r="O298" s="24"/>
      <c r="P298" s="5"/>
      <c r="Q298" s="5"/>
      <c r="R298" s="5"/>
      <c r="S298" s="5"/>
      <c r="T298" s="5"/>
      <c r="U298" s="5"/>
      <c r="V298" s="5"/>
      <c r="W298" s="5"/>
      <c r="X298" s="5"/>
      <c r="Y298" s="5"/>
      <c r="Z298" s="5"/>
    </row>
    <row r="299">
      <c r="A299" s="5"/>
      <c r="B299" s="17"/>
      <c r="C299" s="18"/>
      <c r="D299" s="5"/>
      <c r="E299" s="20"/>
      <c r="F299" s="21"/>
      <c r="G299" s="21"/>
      <c r="H299" s="21"/>
      <c r="I299" s="5"/>
      <c r="J299" s="20"/>
      <c r="K299" s="5"/>
      <c r="L299" s="5"/>
      <c r="M299" s="5"/>
      <c r="N299" s="5"/>
      <c r="O299" s="24"/>
      <c r="P299" s="5"/>
      <c r="Q299" s="5"/>
      <c r="R299" s="5"/>
      <c r="S299" s="5"/>
      <c r="T299" s="5"/>
      <c r="U299" s="5"/>
      <c r="V299" s="5"/>
      <c r="W299" s="5"/>
      <c r="X299" s="5"/>
      <c r="Y299" s="5"/>
      <c r="Z299" s="5"/>
    </row>
    <row r="300">
      <c r="A300" s="5"/>
      <c r="B300" s="17"/>
      <c r="C300" s="18"/>
      <c r="D300" s="5"/>
      <c r="E300" s="20"/>
      <c r="F300" s="21"/>
      <c r="G300" s="21"/>
      <c r="H300" s="21"/>
      <c r="I300" s="5"/>
      <c r="J300" s="20"/>
      <c r="K300" s="5"/>
      <c r="L300" s="5"/>
      <c r="M300" s="5"/>
      <c r="N300" s="5"/>
      <c r="O300" s="24"/>
      <c r="P300" s="5"/>
      <c r="Q300" s="5"/>
      <c r="R300" s="5"/>
      <c r="S300" s="5"/>
      <c r="T300" s="5"/>
      <c r="U300" s="5"/>
      <c r="V300" s="5"/>
      <c r="W300" s="5"/>
      <c r="X300" s="5"/>
      <c r="Y300" s="5"/>
      <c r="Z300" s="5"/>
    </row>
    <row r="301">
      <c r="A301" s="5"/>
      <c r="B301" s="17"/>
      <c r="C301" s="18"/>
      <c r="D301" s="5"/>
      <c r="E301" s="20"/>
      <c r="F301" s="21"/>
      <c r="G301" s="21"/>
      <c r="H301" s="21"/>
      <c r="I301" s="5"/>
      <c r="J301" s="20"/>
      <c r="K301" s="5"/>
      <c r="L301" s="5"/>
      <c r="M301" s="5"/>
      <c r="N301" s="5"/>
      <c r="O301" s="24"/>
      <c r="P301" s="5"/>
      <c r="Q301" s="5"/>
      <c r="R301" s="5"/>
      <c r="S301" s="5"/>
      <c r="T301" s="5"/>
      <c r="U301" s="5"/>
      <c r="V301" s="5"/>
      <c r="W301" s="5"/>
      <c r="X301" s="5"/>
      <c r="Y301" s="5"/>
      <c r="Z301" s="5"/>
    </row>
    <row r="302">
      <c r="A302" s="5"/>
      <c r="B302" s="17"/>
      <c r="C302" s="18"/>
      <c r="D302" s="5"/>
      <c r="E302" s="20"/>
      <c r="F302" s="21"/>
      <c r="G302" s="21"/>
      <c r="H302" s="21"/>
      <c r="I302" s="5"/>
      <c r="J302" s="20"/>
      <c r="K302" s="5"/>
      <c r="L302" s="5"/>
      <c r="M302" s="5"/>
      <c r="N302" s="5"/>
      <c r="O302" s="24"/>
      <c r="P302" s="5"/>
      <c r="Q302" s="5"/>
      <c r="R302" s="5"/>
      <c r="S302" s="5"/>
      <c r="T302" s="5"/>
      <c r="U302" s="5"/>
      <c r="V302" s="5"/>
      <c r="W302" s="5"/>
      <c r="X302" s="5"/>
      <c r="Y302" s="5"/>
      <c r="Z302" s="5"/>
    </row>
    <row r="303">
      <c r="A303" s="5"/>
      <c r="B303" s="17"/>
      <c r="C303" s="18"/>
      <c r="D303" s="5"/>
      <c r="E303" s="20"/>
      <c r="F303" s="21"/>
      <c r="G303" s="21"/>
      <c r="H303" s="21"/>
      <c r="I303" s="5"/>
      <c r="J303" s="20"/>
      <c r="K303" s="5"/>
      <c r="L303" s="5"/>
      <c r="M303" s="5"/>
      <c r="N303" s="5"/>
      <c r="O303" s="24"/>
      <c r="P303" s="5"/>
      <c r="Q303" s="5"/>
      <c r="R303" s="5"/>
      <c r="S303" s="5"/>
      <c r="T303" s="5"/>
      <c r="U303" s="5"/>
      <c r="V303" s="5"/>
      <c r="W303" s="5"/>
      <c r="X303" s="5"/>
      <c r="Y303" s="5"/>
      <c r="Z303" s="5"/>
    </row>
    <row r="304">
      <c r="A304" s="5"/>
      <c r="B304" s="17"/>
      <c r="C304" s="18"/>
      <c r="D304" s="5"/>
      <c r="E304" s="20"/>
      <c r="F304" s="21"/>
      <c r="G304" s="21"/>
      <c r="H304" s="21"/>
      <c r="I304" s="5"/>
      <c r="J304" s="20"/>
      <c r="K304" s="5"/>
      <c r="L304" s="5"/>
      <c r="M304" s="5"/>
      <c r="N304" s="5"/>
      <c r="O304" s="24"/>
      <c r="P304" s="5"/>
      <c r="Q304" s="5"/>
      <c r="R304" s="5"/>
      <c r="S304" s="5"/>
      <c r="T304" s="5"/>
      <c r="U304" s="5"/>
      <c r="V304" s="5"/>
      <c r="W304" s="5"/>
      <c r="X304" s="5"/>
      <c r="Y304" s="5"/>
      <c r="Z304" s="5"/>
    </row>
    <row r="305">
      <c r="A305" s="5"/>
      <c r="B305" s="17"/>
      <c r="C305" s="18"/>
      <c r="D305" s="5"/>
      <c r="E305" s="20"/>
      <c r="F305" s="21"/>
      <c r="G305" s="21"/>
      <c r="H305" s="21"/>
      <c r="I305" s="5"/>
      <c r="J305" s="20"/>
      <c r="K305" s="5"/>
      <c r="L305" s="5"/>
      <c r="M305" s="5"/>
      <c r="N305" s="5"/>
      <c r="O305" s="24"/>
      <c r="P305" s="5"/>
      <c r="Q305" s="5"/>
      <c r="R305" s="5"/>
      <c r="S305" s="5"/>
      <c r="T305" s="5"/>
      <c r="U305" s="5"/>
      <c r="V305" s="5"/>
      <c r="W305" s="5"/>
      <c r="X305" s="5"/>
      <c r="Y305" s="5"/>
      <c r="Z305" s="5"/>
    </row>
    <row r="306">
      <c r="A306" s="5"/>
      <c r="B306" s="17"/>
      <c r="C306" s="18"/>
      <c r="D306" s="5"/>
      <c r="E306" s="20"/>
      <c r="F306" s="21"/>
      <c r="G306" s="21"/>
      <c r="H306" s="21"/>
      <c r="I306" s="5"/>
      <c r="J306" s="20"/>
      <c r="K306" s="5"/>
      <c r="L306" s="5"/>
      <c r="M306" s="5"/>
      <c r="N306" s="5"/>
      <c r="O306" s="24"/>
      <c r="P306" s="5"/>
      <c r="Q306" s="5"/>
      <c r="R306" s="5"/>
      <c r="S306" s="5"/>
      <c r="T306" s="5"/>
      <c r="U306" s="5"/>
      <c r="V306" s="5"/>
      <c r="W306" s="5"/>
      <c r="X306" s="5"/>
      <c r="Y306" s="5"/>
      <c r="Z306" s="5"/>
    </row>
    <row r="307">
      <c r="A307" s="5"/>
      <c r="B307" s="17"/>
      <c r="C307" s="18"/>
      <c r="D307" s="5"/>
      <c r="E307" s="20"/>
      <c r="F307" s="21"/>
      <c r="G307" s="21"/>
      <c r="H307" s="21"/>
      <c r="I307" s="5"/>
      <c r="J307" s="20"/>
      <c r="K307" s="5"/>
      <c r="L307" s="5"/>
      <c r="M307" s="5"/>
      <c r="N307" s="5"/>
      <c r="O307" s="24"/>
      <c r="P307" s="5"/>
      <c r="Q307" s="5"/>
      <c r="R307" s="5"/>
      <c r="S307" s="5"/>
      <c r="T307" s="5"/>
      <c r="U307" s="5"/>
      <c r="V307" s="5"/>
      <c r="W307" s="5"/>
      <c r="X307" s="5"/>
      <c r="Y307" s="5"/>
      <c r="Z307" s="5"/>
    </row>
    <row r="308">
      <c r="A308" s="5"/>
      <c r="B308" s="17"/>
      <c r="C308" s="18"/>
      <c r="D308" s="5"/>
      <c r="E308" s="20"/>
      <c r="F308" s="21"/>
      <c r="G308" s="21"/>
      <c r="H308" s="21"/>
      <c r="I308" s="5"/>
      <c r="J308" s="20"/>
      <c r="K308" s="5"/>
      <c r="L308" s="5"/>
      <c r="M308" s="5"/>
      <c r="N308" s="5"/>
      <c r="O308" s="24"/>
      <c r="P308" s="5"/>
      <c r="Q308" s="5"/>
      <c r="R308" s="5"/>
      <c r="S308" s="5"/>
      <c r="T308" s="5"/>
      <c r="U308" s="5"/>
      <c r="V308" s="5"/>
      <c r="W308" s="5"/>
      <c r="X308" s="5"/>
      <c r="Y308" s="5"/>
      <c r="Z308" s="5"/>
    </row>
    <row r="309">
      <c r="A309" s="5"/>
      <c r="B309" s="17"/>
      <c r="C309" s="18"/>
      <c r="D309" s="5"/>
      <c r="E309" s="20"/>
      <c r="F309" s="21"/>
      <c r="G309" s="21"/>
      <c r="H309" s="21"/>
      <c r="I309" s="5"/>
      <c r="J309" s="20"/>
      <c r="K309" s="5"/>
      <c r="L309" s="5"/>
      <c r="M309" s="5"/>
      <c r="N309" s="5"/>
      <c r="O309" s="24"/>
      <c r="P309" s="5"/>
      <c r="Q309" s="5"/>
      <c r="R309" s="5"/>
      <c r="S309" s="5"/>
      <c r="T309" s="5"/>
      <c r="U309" s="5"/>
      <c r="V309" s="5"/>
      <c r="W309" s="5"/>
      <c r="X309" s="5"/>
      <c r="Y309" s="5"/>
      <c r="Z309" s="5"/>
    </row>
    <row r="310">
      <c r="A310" s="5"/>
      <c r="B310" s="17"/>
      <c r="C310" s="18"/>
      <c r="D310" s="5"/>
      <c r="E310" s="20"/>
      <c r="F310" s="21"/>
      <c r="G310" s="21"/>
      <c r="H310" s="21"/>
      <c r="I310" s="5"/>
      <c r="J310" s="20"/>
      <c r="K310" s="5"/>
      <c r="L310" s="5"/>
      <c r="M310" s="5"/>
      <c r="N310" s="5"/>
      <c r="O310" s="24"/>
      <c r="P310" s="5"/>
      <c r="Q310" s="5"/>
      <c r="R310" s="5"/>
      <c r="S310" s="5"/>
      <c r="T310" s="5"/>
      <c r="U310" s="5"/>
      <c r="V310" s="5"/>
      <c r="W310" s="5"/>
      <c r="X310" s="5"/>
      <c r="Y310" s="5"/>
      <c r="Z310" s="5"/>
    </row>
    <row r="311">
      <c r="A311" s="5"/>
      <c r="B311" s="17"/>
      <c r="C311" s="18"/>
      <c r="D311" s="5"/>
      <c r="E311" s="20"/>
      <c r="F311" s="21"/>
      <c r="G311" s="21"/>
      <c r="H311" s="21"/>
      <c r="I311" s="5"/>
      <c r="J311" s="20"/>
      <c r="K311" s="5"/>
      <c r="L311" s="5"/>
      <c r="M311" s="5"/>
      <c r="N311" s="5"/>
      <c r="O311" s="24"/>
      <c r="P311" s="5"/>
      <c r="Q311" s="5"/>
      <c r="R311" s="5"/>
      <c r="S311" s="5"/>
      <c r="T311" s="5"/>
      <c r="U311" s="5"/>
      <c r="V311" s="5"/>
      <c r="W311" s="5"/>
      <c r="X311" s="5"/>
      <c r="Y311" s="5"/>
      <c r="Z311" s="5"/>
    </row>
    <row r="312">
      <c r="A312" s="5"/>
      <c r="B312" s="17"/>
      <c r="C312" s="18"/>
      <c r="D312" s="5"/>
      <c r="E312" s="20"/>
      <c r="F312" s="21"/>
      <c r="G312" s="21"/>
      <c r="H312" s="21"/>
      <c r="I312" s="5"/>
      <c r="J312" s="20"/>
      <c r="K312" s="5"/>
      <c r="L312" s="5"/>
      <c r="M312" s="5"/>
      <c r="N312" s="5"/>
      <c r="O312" s="24"/>
      <c r="P312" s="5"/>
      <c r="Q312" s="5"/>
      <c r="R312" s="5"/>
      <c r="S312" s="5"/>
      <c r="T312" s="5"/>
      <c r="U312" s="5"/>
      <c r="V312" s="5"/>
      <c r="W312" s="5"/>
      <c r="X312" s="5"/>
      <c r="Y312" s="5"/>
      <c r="Z312" s="5"/>
    </row>
    <row r="313">
      <c r="A313" s="5"/>
      <c r="B313" s="17"/>
      <c r="C313" s="18"/>
      <c r="D313" s="5"/>
      <c r="E313" s="20"/>
      <c r="F313" s="21"/>
      <c r="G313" s="21"/>
      <c r="H313" s="21"/>
      <c r="I313" s="5"/>
      <c r="J313" s="20"/>
      <c r="K313" s="5"/>
      <c r="L313" s="5"/>
      <c r="M313" s="5"/>
      <c r="N313" s="5"/>
      <c r="O313" s="24"/>
      <c r="P313" s="5"/>
      <c r="Q313" s="5"/>
      <c r="R313" s="5"/>
      <c r="S313" s="5"/>
      <c r="T313" s="5"/>
      <c r="U313" s="5"/>
      <c r="V313" s="5"/>
      <c r="W313" s="5"/>
      <c r="X313" s="5"/>
      <c r="Y313" s="5"/>
      <c r="Z313" s="5"/>
    </row>
    <row r="314">
      <c r="A314" s="5"/>
      <c r="B314" s="17"/>
      <c r="C314" s="18"/>
      <c r="D314" s="5"/>
      <c r="E314" s="20"/>
      <c r="F314" s="21"/>
      <c r="G314" s="21"/>
      <c r="H314" s="21"/>
      <c r="I314" s="5"/>
      <c r="J314" s="20"/>
      <c r="K314" s="5"/>
      <c r="L314" s="5"/>
      <c r="M314" s="5"/>
      <c r="N314" s="5"/>
      <c r="O314" s="24"/>
      <c r="P314" s="5"/>
      <c r="Q314" s="5"/>
      <c r="R314" s="5"/>
      <c r="S314" s="5"/>
      <c r="T314" s="5"/>
      <c r="U314" s="5"/>
      <c r="V314" s="5"/>
      <c r="W314" s="5"/>
      <c r="X314" s="5"/>
      <c r="Y314" s="5"/>
      <c r="Z314" s="5"/>
    </row>
    <row r="315">
      <c r="A315" s="5"/>
      <c r="B315" s="17"/>
      <c r="C315" s="18"/>
      <c r="D315" s="5"/>
      <c r="E315" s="20"/>
      <c r="F315" s="21"/>
      <c r="G315" s="21"/>
      <c r="H315" s="21"/>
      <c r="I315" s="5"/>
      <c r="J315" s="20"/>
      <c r="K315" s="5"/>
      <c r="L315" s="5"/>
      <c r="M315" s="5"/>
      <c r="N315" s="5"/>
      <c r="O315" s="24"/>
      <c r="P315" s="5"/>
      <c r="Q315" s="5"/>
      <c r="R315" s="5"/>
      <c r="S315" s="5"/>
      <c r="T315" s="5"/>
      <c r="U315" s="5"/>
      <c r="V315" s="5"/>
      <c r="W315" s="5"/>
      <c r="X315" s="5"/>
      <c r="Y315" s="5"/>
      <c r="Z315" s="5"/>
    </row>
    <row r="316">
      <c r="A316" s="5"/>
      <c r="B316" s="17"/>
      <c r="C316" s="18"/>
      <c r="D316" s="5"/>
      <c r="E316" s="20"/>
      <c r="F316" s="21"/>
      <c r="G316" s="21"/>
      <c r="H316" s="21"/>
      <c r="I316" s="5"/>
      <c r="J316" s="20"/>
      <c r="K316" s="5"/>
      <c r="L316" s="5"/>
      <c r="M316" s="5"/>
      <c r="N316" s="5"/>
      <c r="O316" s="24"/>
      <c r="P316" s="5"/>
      <c r="Q316" s="5"/>
      <c r="R316" s="5"/>
      <c r="S316" s="5"/>
      <c r="T316" s="5"/>
      <c r="U316" s="5"/>
      <c r="V316" s="5"/>
      <c r="W316" s="5"/>
      <c r="X316" s="5"/>
      <c r="Y316" s="5"/>
      <c r="Z316" s="5"/>
    </row>
    <row r="317">
      <c r="A317" s="5"/>
      <c r="B317" s="17"/>
      <c r="C317" s="18"/>
      <c r="D317" s="5"/>
      <c r="E317" s="20"/>
      <c r="F317" s="21"/>
      <c r="G317" s="21"/>
      <c r="H317" s="21"/>
      <c r="I317" s="5"/>
      <c r="J317" s="20"/>
      <c r="K317" s="5"/>
      <c r="L317" s="5"/>
      <c r="M317" s="5"/>
      <c r="N317" s="5"/>
      <c r="O317" s="24"/>
      <c r="P317" s="5"/>
      <c r="Q317" s="5"/>
      <c r="R317" s="5"/>
      <c r="S317" s="5"/>
      <c r="T317" s="5"/>
      <c r="U317" s="5"/>
      <c r="V317" s="5"/>
      <c r="W317" s="5"/>
      <c r="X317" s="5"/>
      <c r="Y317" s="5"/>
      <c r="Z317" s="5"/>
    </row>
    <row r="318">
      <c r="A318" s="5"/>
      <c r="B318" s="17"/>
      <c r="C318" s="18"/>
      <c r="D318" s="5"/>
      <c r="E318" s="20"/>
      <c r="F318" s="21"/>
      <c r="G318" s="21"/>
      <c r="H318" s="21"/>
      <c r="I318" s="5"/>
      <c r="J318" s="20"/>
      <c r="K318" s="5"/>
      <c r="L318" s="5"/>
      <c r="M318" s="5"/>
      <c r="N318" s="5"/>
      <c r="O318" s="24"/>
      <c r="P318" s="5"/>
      <c r="Q318" s="5"/>
      <c r="R318" s="5"/>
      <c r="S318" s="5"/>
      <c r="T318" s="5"/>
      <c r="U318" s="5"/>
      <c r="V318" s="5"/>
      <c r="W318" s="5"/>
      <c r="X318" s="5"/>
      <c r="Y318" s="5"/>
      <c r="Z318" s="5"/>
    </row>
    <row r="319">
      <c r="A319" s="5"/>
      <c r="B319" s="17"/>
      <c r="C319" s="18"/>
      <c r="D319" s="5"/>
      <c r="E319" s="20"/>
      <c r="F319" s="21"/>
      <c r="G319" s="21"/>
      <c r="H319" s="21"/>
      <c r="I319" s="5"/>
      <c r="J319" s="20"/>
      <c r="K319" s="5"/>
      <c r="L319" s="5"/>
      <c r="M319" s="5"/>
      <c r="N319" s="5"/>
      <c r="O319" s="24"/>
      <c r="P319" s="5"/>
      <c r="Q319" s="5"/>
      <c r="R319" s="5"/>
      <c r="S319" s="5"/>
      <c r="T319" s="5"/>
      <c r="U319" s="5"/>
      <c r="V319" s="5"/>
      <c r="W319" s="5"/>
      <c r="X319" s="5"/>
      <c r="Y319" s="5"/>
      <c r="Z319" s="5"/>
    </row>
    <row r="320">
      <c r="A320" s="5"/>
      <c r="B320" s="17"/>
      <c r="C320" s="18"/>
      <c r="D320" s="5"/>
      <c r="E320" s="20"/>
      <c r="F320" s="21"/>
      <c r="G320" s="21"/>
      <c r="H320" s="21"/>
      <c r="I320" s="5"/>
      <c r="J320" s="20"/>
      <c r="K320" s="5"/>
      <c r="L320" s="5"/>
      <c r="M320" s="5"/>
      <c r="N320" s="5"/>
      <c r="O320" s="24"/>
      <c r="P320" s="5"/>
      <c r="Q320" s="5"/>
      <c r="R320" s="5"/>
      <c r="S320" s="5"/>
      <c r="T320" s="5"/>
      <c r="U320" s="5"/>
      <c r="V320" s="5"/>
      <c r="W320" s="5"/>
      <c r="X320" s="5"/>
      <c r="Y320" s="5"/>
      <c r="Z320" s="5"/>
    </row>
    <row r="321">
      <c r="A321" s="5"/>
      <c r="B321" s="17"/>
      <c r="C321" s="18"/>
      <c r="D321" s="5"/>
      <c r="E321" s="20"/>
      <c r="F321" s="21"/>
      <c r="G321" s="21"/>
      <c r="H321" s="21"/>
      <c r="I321" s="5"/>
      <c r="J321" s="20"/>
      <c r="K321" s="5"/>
      <c r="L321" s="5"/>
      <c r="M321" s="5"/>
      <c r="N321" s="5"/>
      <c r="O321" s="24"/>
      <c r="P321" s="5"/>
      <c r="Q321" s="5"/>
      <c r="R321" s="5"/>
      <c r="S321" s="5"/>
      <c r="T321" s="5"/>
      <c r="U321" s="5"/>
      <c r="V321" s="5"/>
      <c r="W321" s="5"/>
      <c r="X321" s="5"/>
      <c r="Y321" s="5"/>
      <c r="Z321" s="5"/>
    </row>
    <row r="322">
      <c r="A322" s="5"/>
      <c r="B322" s="17"/>
      <c r="C322" s="18"/>
      <c r="D322" s="5"/>
      <c r="E322" s="20"/>
      <c r="F322" s="21"/>
      <c r="G322" s="21"/>
      <c r="H322" s="21"/>
      <c r="I322" s="5"/>
      <c r="J322" s="20"/>
      <c r="K322" s="5"/>
      <c r="L322" s="5"/>
      <c r="M322" s="5"/>
      <c r="N322" s="5"/>
      <c r="O322" s="24"/>
      <c r="P322" s="5"/>
      <c r="Q322" s="5"/>
      <c r="R322" s="5"/>
      <c r="S322" s="5"/>
      <c r="T322" s="5"/>
      <c r="U322" s="5"/>
      <c r="V322" s="5"/>
      <c r="W322" s="5"/>
      <c r="X322" s="5"/>
      <c r="Y322" s="5"/>
      <c r="Z322" s="5"/>
    </row>
    <row r="323">
      <c r="A323" s="5"/>
      <c r="B323" s="17"/>
      <c r="C323" s="18"/>
      <c r="D323" s="5"/>
      <c r="E323" s="20"/>
      <c r="F323" s="21"/>
      <c r="G323" s="21"/>
      <c r="H323" s="21"/>
      <c r="I323" s="5"/>
      <c r="J323" s="20"/>
      <c r="K323" s="5"/>
      <c r="L323" s="5"/>
      <c r="M323" s="5"/>
      <c r="N323" s="5"/>
      <c r="O323" s="24"/>
      <c r="P323" s="5"/>
      <c r="Q323" s="5"/>
      <c r="R323" s="5"/>
      <c r="S323" s="5"/>
      <c r="T323" s="5"/>
      <c r="U323" s="5"/>
      <c r="V323" s="5"/>
      <c r="W323" s="5"/>
      <c r="X323" s="5"/>
      <c r="Y323" s="5"/>
      <c r="Z323" s="5"/>
    </row>
    <row r="324">
      <c r="A324" s="5"/>
      <c r="B324" s="17"/>
      <c r="C324" s="18"/>
      <c r="D324" s="5"/>
      <c r="E324" s="20"/>
      <c r="F324" s="21"/>
      <c r="G324" s="21"/>
      <c r="H324" s="21"/>
      <c r="I324" s="5"/>
      <c r="J324" s="20"/>
      <c r="K324" s="5"/>
      <c r="L324" s="5"/>
      <c r="M324" s="5"/>
      <c r="N324" s="5"/>
      <c r="O324" s="24"/>
      <c r="P324" s="5"/>
      <c r="Q324" s="5"/>
      <c r="R324" s="5"/>
      <c r="S324" s="5"/>
      <c r="T324" s="5"/>
      <c r="U324" s="5"/>
      <c r="V324" s="5"/>
      <c r="W324" s="5"/>
      <c r="X324" s="5"/>
      <c r="Y324" s="5"/>
      <c r="Z324" s="5"/>
    </row>
    <row r="325">
      <c r="A325" s="5"/>
      <c r="B325" s="17"/>
      <c r="C325" s="18"/>
      <c r="D325" s="5"/>
      <c r="E325" s="20"/>
      <c r="F325" s="21"/>
      <c r="G325" s="21"/>
      <c r="H325" s="21"/>
      <c r="I325" s="5"/>
      <c r="J325" s="20"/>
      <c r="K325" s="5"/>
      <c r="L325" s="5"/>
      <c r="M325" s="5"/>
      <c r="N325" s="5"/>
      <c r="O325" s="24"/>
      <c r="P325" s="5"/>
      <c r="Q325" s="5"/>
      <c r="R325" s="5"/>
      <c r="S325" s="5"/>
      <c r="T325" s="5"/>
      <c r="U325" s="5"/>
      <c r="V325" s="5"/>
      <c r="W325" s="5"/>
      <c r="X325" s="5"/>
      <c r="Y325" s="5"/>
      <c r="Z325" s="5"/>
    </row>
    <row r="326">
      <c r="A326" s="5"/>
      <c r="B326" s="17"/>
      <c r="C326" s="18"/>
      <c r="D326" s="5"/>
      <c r="E326" s="20"/>
      <c r="F326" s="21"/>
      <c r="G326" s="21"/>
      <c r="H326" s="21"/>
      <c r="I326" s="5"/>
      <c r="J326" s="20"/>
      <c r="K326" s="5"/>
      <c r="L326" s="5"/>
      <c r="M326" s="5"/>
      <c r="N326" s="5"/>
      <c r="O326" s="24"/>
      <c r="P326" s="5"/>
      <c r="Q326" s="5"/>
      <c r="R326" s="5"/>
      <c r="S326" s="5"/>
      <c r="T326" s="5"/>
      <c r="U326" s="5"/>
      <c r="V326" s="5"/>
      <c r="W326" s="5"/>
      <c r="X326" s="5"/>
      <c r="Y326" s="5"/>
      <c r="Z326" s="5"/>
    </row>
    <row r="327">
      <c r="A327" s="5"/>
      <c r="B327" s="17"/>
      <c r="C327" s="18"/>
      <c r="D327" s="5"/>
      <c r="E327" s="20"/>
      <c r="F327" s="21"/>
      <c r="G327" s="21"/>
      <c r="H327" s="21"/>
      <c r="I327" s="5"/>
      <c r="J327" s="20"/>
      <c r="K327" s="5"/>
      <c r="L327" s="5"/>
      <c r="M327" s="5"/>
      <c r="N327" s="5"/>
      <c r="O327" s="24"/>
      <c r="P327" s="5"/>
      <c r="Q327" s="5"/>
      <c r="R327" s="5"/>
      <c r="S327" s="5"/>
      <c r="T327" s="5"/>
      <c r="U327" s="5"/>
      <c r="V327" s="5"/>
      <c r="W327" s="5"/>
      <c r="X327" s="5"/>
      <c r="Y327" s="5"/>
      <c r="Z327" s="5"/>
    </row>
    <row r="328">
      <c r="A328" s="5"/>
      <c r="B328" s="17"/>
      <c r="C328" s="18"/>
      <c r="D328" s="5"/>
      <c r="E328" s="20"/>
      <c r="F328" s="21"/>
      <c r="G328" s="21"/>
      <c r="H328" s="21"/>
      <c r="I328" s="5"/>
      <c r="J328" s="20"/>
      <c r="K328" s="5"/>
      <c r="L328" s="5"/>
      <c r="M328" s="5"/>
      <c r="N328" s="5"/>
      <c r="O328" s="24"/>
      <c r="P328" s="5"/>
      <c r="Q328" s="5"/>
      <c r="R328" s="5"/>
      <c r="S328" s="5"/>
      <c r="T328" s="5"/>
      <c r="U328" s="5"/>
      <c r="V328" s="5"/>
      <c r="W328" s="5"/>
      <c r="X328" s="5"/>
      <c r="Y328" s="5"/>
      <c r="Z328" s="5"/>
    </row>
    <row r="329">
      <c r="A329" s="5"/>
      <c r="B329" s="17"/>
      <c r="C329" s="18"/>
      <c r="D329" s="5"/>
      <c r="E329" s="20"/>
      <c r="F329" s="21"/>
      <c r="G329" s="21"/>
      <c r="H329" s="21"/>
      <c r="I329" s="5"/>
      <c r="J329" s="20"/>
      <c r="K329" s="5"/>
      <c r="L329" s="5"/>
      <c r="M329" s="5"/>
      <c r="N329" s="5"/>
      <c r="O329" s="24"/>
      <c r="P329" s="5"/>
      <c r="Q329" s="5"/>
      <c r="R329" s="5"/>
      <c r="S329" s="5"/>
      <c r="T329" s="5"/>
      <c r="U329" s="5"/>
      <c r="V329" s="5"/>
      <c r="W329" s="5"/>
      <c r="X329" s="5"/>
      <c r="Y329" s="5"/>
      <c r="Z329" s="5"/>
    </row>
    <row r="330">
      <c r="A330" s="5"/>
      <c r="B330" s="17"/>
      <c r="C330" s="18"/>
      <c r="D330" s="5"/>
      <c r="E330" s="20"/>
      <c r="F330" s="21"/>
      <c r="G330" s="21"/>
      <c r="H330" s="21"/>
      <c r="I330" s="5"/>
      <c r="J330" s="20"/>
      <c r="K330" s="5"/>
      <c r="L330" s="5"/>
      <c r="M330" s="5"/>
      <c r="N330" s="5"/>
      <c r="O330" s="24"/>
      <c r="P330" s="5"/>
      <c r="Q330" s="5"/>
      <c r="R330" s="5"/>
      <c r="S330" s="5"/>
      <c r="T330" s="5"/>
      <c r="U330" s="5"/>
      <c r="V330" s="5"/>
      <c r="W330" s="5"/>
      <c r="X330" s="5"/>
      <c r="Y330" s="5"/>
      <c r="Z330" s="5"/>
    </row>
    <row r="331">
      <c r="A331" s="5"/>
      <c r="B331" s="17"/>
      <c r="C331" s="18"/>
      <c r="D331" s="5"/>
      <c r="E331" s="20"/>
      <c r="F331" s="21"/>
      <c r="G331" s="21"/>
      <c r="H331" s="21"/>
      <c r="I331" s="5"/>
      <c r="J331" s="20"/>
      <c r="K331" s="5"/>
      <c r="L331" s="5"/>
      <c r="M331" s="5"/>
      <c r="N331" s="5"/>
      <c r="O331" s="24"/>
      <c r="P331" s="5"/>
      <c r="Q331" s="5"/>
      <c r="R331" s="5"/>
      <c r="S331" s="5"/>
      <c r="T331" s="5"/>
      <c r="U331" s="5"/>
      <c r="V331" s="5"/>
      <c r="W331" s="5"/>
      <c r="X331" s="5"/>
      <c r="Y331" s="5"/>
      <c r="Z331" s="5"/>
    </row>
    <row r="332">
      <c r="A332" s="5"/>
      <c r="B332" s="17"/>
      <c r="C332" s="18"/>
      <c r="D332" s="5"/>
      <c r="E332" s="20"/>
      <c r="F332" s="21"/>
      <c r="G332" s="21"/>
      <c r="H332" s="21"/>
      <c r="I332" s="5"/>
      <c r="J332" s="20"/>
      <c r="K332" s="5"/>
      <c r="L332" s="5"/>
      <c r="M332" s="5"/>
      <c r="N332" s="5"/>
      <c r="O332" s="24"/>
      <c r="P332" s="5"/>
      <c r="Q332" s="5"/>
      <c r="R332" s="5"/>
      <c r="S332" s="5"/>
      <c r="T332" s="5"/>
      <c r="U332" s="5"/>
      <c r="V332" s="5"/>
      <c r="W332" s="5"/>
      <c r="X332" s="5"/>
      <c r="Y332" s="5"/>
      <c r="Z332" s="5"/>
    </row>
    <row r="333">
      <c r="A333" s="5"/>
      <c r="B333" s="17"/>
      <c r="C333" s="18"/>
      <c r="D333" s="5"/>
      <c r="E333" s="20"/>
      <c r="F333" s="21"/>
      <c r="G333" s="21"/>
      <c r="H333" s="21"/>
      <c r="I333" s="5"/>
      <c r="J333" s="20"/>
      <c r="K333" s="5"/>
      <c r="L333" s="5"/>
      <c r="M333" s="5"/>
      <c r="N333" s="5"/>
      <c r="O333" s="24"/>
      <c r="P333" s="5"/>
      <c r="Q333" s="5"/>
      <c r="R333" s="5"/>
      <c r="S333" s="5"/>
      <c r="T333" s="5"/>
      <c r="U333" s="5"/>
      <c r="V333" s="5"/>
      <c r="W333" s="5"/>
      <c r="X333" s="5"/>
      <c r="Y333" s="5"/>
      <c r="Z333" s="5"/>
    </row>
    <row r="334">
      <c r="A334" s="5"/>
      <c r="B334" s="17"/>
      <c r="C334" s="18"/>
      <c r="D334" s="5"/>
      <c r="E334" s="20"/>
      <c r="F334" s="21"/>
      <c r="G334" s="21"/>
      <c r="H334" s="21"/>
      <c r="I334" s="5"/>
      <c r="J334" s="20"/>
      <c r="K334" s="5"/>
      <c r="L334" s="5"/>
      <c r="M334" s="5"/>
      <c r="N334" s="5"/>
      <c r="O334" s="24"/>
      <c r="P334" s="5"/>
      <c r="Q334" s="5"/>
      <c r="R334" s="5"/>
      <c r="S334" s="5"/>
      <c r="T334" s="5"/>
      <c r="U334" s="5"/>
      <c r="V334" s="5"/>
      <c r="W334" s="5"/>
      <c r="X334" s="5"/>
      <c r="Y334" s="5"/>
      <c r="Z334" s="5"/>
    </row>
    <row r="335">
      <c r="A335" s="5"/>
      <c r="B335" s="17"/>
      <c r="C335" s="18"/>
      <c r="D335" s="5"/>
      <c r="E335" s="20"/>
      <c r="F335" s="21"/>
      <c r="G335" s="21"/>
      <c r="H335" s="21"/>
      <c r="I335" s="5"/>
      <c r="J335" s="20"/>
      <c r="K335" s="5"/>
      <c r="L335" s="5"/>
      <c r="M335" s="5"/>
      <c r="N335" s="5"/>
      <c r="O335" s="24"/>
      <c r="P335" s="5"/>
      <c r="Q335" s="5"/>
      <c r="R335" s="5"/>
      <c r="S335" s="5"/>
      <c r="T335" s="5"/>
      <c r="U335" s="5"/>
      <c r="V335" s="5"/>
      <c r="W335" s="5"/>
      <c r="X335" s="5"/>
      <c r="Y335" s="5"/>
      <c r="Z335" s="5"/>
    </row>
    <row r="336">
      <c r="A336" s="5"/>
      <c r="B336" s="17"/>
      <c r="C336" s="18"/>
      <c r="D336" s="5"/>
      <c r="E336" s="20"/>
      <c r="F336" s="21"/>
      <c r="G336" s="21"/>
      <c r="H336" s="21"/>
      <c r="I336" s="5"/>
      <c r="J336" s="20"/>
      <c r="K336" s="5"/>
      <c r="L336" s="5"/>
      <c r="M336" s="5"/>
      <c r="N336" s="5"/>
      <c r="O336" s="24"/>
      <c r="P336" s="5"/>
      <c r="Q336" s="5"/>
      <c r="R336" s="5"/>
      <c r="S336" s="5"/>
      <c r="T336" s="5"/>
      <c r="U336" s="5"/>
      <c r="V336" s="5"/>
      <c r="W336" s="5"/>
      <c r="X336" s="5"/>
      <c r="Y336" s="5"/>
      <c r="Z336" s="5"/>
    </row>
    <row r="337">
      <c r="A337" s="5"/>
      <c r="B337" s="17"/>
      <c r="C337" s="18"/>
      <c r="D337" s="5"/>
      <c r="E337" s="20"/>
      <c r="F337" s="21"/>
      <c r="G337" s="21"/>
      <c r="H337" s="21"/>
      <c r="I337" s="5"/>
      <c r="J337" s="20"/>
      <c r="K337" s="5"/>
      <c r="L337" s="5"/>
      <c r="M337" s="5"/>
      <c r="N337" s="5"/>
      <c r="O337" s="24"/>
      <c r="P337" s="5"/>
      <c r="Q337" s="5"/>
      <c r="R337" s="5"/>
      <c r="S337" s="5"/>
      <c r="T337" s="5"/>
      <c r="U337" s="5"/>
      <c r="V337" s="5"/>
      <c r="W337" s="5"/>
      <c r="X337" s="5"/>
      <c r="Y337" s="5"/>
      <c r="Z337" s="5"/>
    </row>
    <row r="338">
      <c r="A338" s="5"/>
      <c r="B338" s="17"/>
      <c r="C338" s="18"/>
      <c r="D338" s="5"/>
      <c r="E338" s="20"/>
      <c r="F338" s="21"/>
      <c r="G338" s="21"/>
      <c r="H338" s="21"/>
      <c r="I338" s="5"/>
      <c r="J338" s="20"/>
      <c r="K338" s="5"/>
      <c r="L338" s="5"/>
      <c r="M338" s="5"/>
      <c r="N338" s="5"/>
      <c r="O338" s="24"/>
      <c r="P338" s="5"/>
      <c r="Q338" s="5"/>
      <c r="R338" s="5"/>
      <c r="S338" s="5"/>
      <c r="T338" s="5"/>
      <c r="U338" s="5"/>
      <c r="V338" s="5"/>
      <c r="W338" s="5"/>
      <c r="X338" s="5"/>
      <c r="Y338" s="5"/>
      <c r="Z338" s="5"/>
    </row>
    <row r="339">
      <c r="A339" s="5"/>
      <c r="B339" s="17"/>
      <c r="C339" s="18"/>
      <c r="D339" s="5"/>
      <c r="E339" s="20"/>
      <c r="F339" s="21"/>
      <c r="G339" s="21"/>
      <c r="H339" s="21"/>
      <c r="I339" s="5"/>
      <c r="J339" s="20"/>
      <c r="K339" s="5"/>
      <c r="L339" s="5"/>
      <c r="M339" s="5"/>
      <c r="N339" s="5"/>
      <c r="O339" s="24"/>
      <c r="P339" s="5"/>
      <c r="Q339" s="5"/>
      <c r="R339" s="5"/>
      <c r="S339" s="5"/>
      <c r="T339" s="5"/>
      <c r="U339" s="5"/>
      <c r="V339" s="5"/>
      <c r="W339" s="5"/>
      <c r="X339" s="5"/>
      <c r="Y339" s="5"/>
      <c r="Z339" s="5"/>
    </row>
    <row r="340">
      <c r="A340" s="5"/>
      <c r="B340" s="17"/>
      <c r="C340" s="18"/>
      <c r="D340" s="5"/>
      <c r="E340" s="20"/>
      <c r="F340" s="21"/>
      <c r="G340" s="21"/>
      <c r="H340" s="21"/>
      <c r="I340" s="5"/>
      <c r="J340" s="20"/>
      <c r="K340" s="5"/>
      <c r="L340" s="5"/>
      <c r="M340" s="5"/>
      <c r="N340" s="5"/>
      <c r="O340" s="24"/>
      <c r="P340" s="5"/>
      <c r="Q340" s="5"/>
      <c r="R340" s="5"/>
      <c r="S340" s="5"/>
      <c r="T340" s="5"/>
      <c r="U340" s="5"/>
      <c r="V340" s="5"/>
      <c r="W340" s="5"/>
      <c r="X340" s="5"/>
      <c r="Y340" s="5"/>
      <c r="Z340" s="5"/>
    </row>
    <row r="341">
      <c r="A341" s="5"/>
      <c r="B341" s="17"/>
      <c r="C341" s="18"/>
      <c r="D341" s="5"/>
      <c r="E341" s="20"/>
      <c r="F341" s="21"/>
      <c r="G341" s="21"/>
      <c r="H341" s="21"/>
      <c r="I341" s="5"/>
      <c r="J341" s="20"/>
      <c r="K341" s="5"/>
      <c r="L341" s="5"/>
      <c r="M341" s="5"/>
      <c r="N341" s="5"/>
      <c r="O341" s="24"/>
      <c r="P341" s="5"/>
      <c r="Q341" s="5"/>
      <c r="R341" s="5"/>
      <c r="S341" s="5"/>
      <c r="T341" s="5"/>
      <c r="U341" s="5"/>
      <c r="V341" s="5"/>
      <c r="W341" s="5"/>
      <c r="X341" s="5"/>
      <c r="Y341" s="5"/>
      <c r="Z341" s="5"/>
    </row>
    <row r="342">
      <c r="A342" s="5"/>
      <c r="B342" s="17"/>
      <c r="C342" s="18"/>
      <c r="D342" s="5"/>
      <c r="E342" s="20"/>
      <c r="F342" s="21"/>
      <c r="G342" s="21"/>
      <c r="H342" s="21"/>
      <c r="I342" s="5"/>
      <c r="J342" s="20"/>
      <c r="K342" s="5"/>
      <c r="L342" s="5"/>
      <c r="M342" s="5"/>
      <c r="N342" s="5"/>
      <c r="O342" s="24"/>
      <c r="P342" s="5"/>
      <c r="Q342" s="5"/>
      <c r="R342" s="5"/>
      <c r="S342" s="5"/>
      <c r="T342" s="5"/>
      <c r="U342" s="5"/>
      <c r="V342" s="5"/>
      <c r="W342" s="5"/>
      <c r="X342" s="5"/>
      <c r="Y342" s="5"/>
      <c r="Z342" s="5"/>
    </row>
    <row r="343">
      <c r="A343" s="5"/>
      <c r="B343" s="17"/>
      <c r="C343" s="18"/>
      <c r="D343" s="5"/>
      <c r="E343" s="20"/>
      <c r="F343" s="21"/>
      <c r="G343" s="21"/>
      <c r="H343" s="21"/>
      <c r="I343" s="5"/>
      <c r="J343" s="20"/>
      <c r="K343" s="5"/>
      <c r="L343" s="5"/>
      <c r="M343" s="5"/>
      <c r="N343" s="5"/>
      <c r="O343" s="24"/>
      <c r="P343" s="5"/>
      <c r="Q343" s="5"/>
      <c r="R343" s="5"/>
      <c r="S343" s="5"/>
      <c r="T343" s="5"/>
      <c r="U343" s="5"/>
      <c r="V343" s="5"/>
      <c r="W343" s="5"/>
      <c r="X343" s="5"/>
      <c r="Y343" s="5"/>
      <c r="Z343" s="5"/>
    </row>
    <row r="344">
      <c r="A344" s="5"/>
      <c r="B344" s="17"/>
      <c r="C344" s="18"/>
      <c r="D344" s="5"/>
      <c r="E344" s="20"/>
      <c r="F344" s="21"/>
      <c r="G344" s="21"/>
      <c r="H344" s="21"/>
      <c r="I344" s="5"/>
      <c r="J344" s="20"/>
      <c r="K344" s="5"/>
      <c r="L344" s="5"/>
      <c r="M344" s="5"/>
      <c r="N344" s="5"/>
      <c r="O344" s="24"/>
      <c r="P344" s="5"/>
      <c r="Q344" s="5"/>
      <c r="R344" s="5"/>
      <c r="S344" s="5"/>
      <c r="T344" s="5"/>
      <c r="U344" s="5"/>
      <c r="V344" s="5"/>
      <c r="W344" s="5"/>
      <c r="X344" s="5"/>
      <c r="Y344" s="5"/>
      <c r="Z344" s="5"/>
    </row>
    <row r="345">
      <c r="A345" s="5"/>
      <c r="B345" s="17"/>
      <c r="C345" s="18"/>
      <c r="D345" s="5"/>
      <c r="E345" s="20"/>
      <c r="F345" s="21"/>
      <c r="G345" s="21"/>
      <c r="H345" s="21"/>
      <c r="I345" s="5"/>
      <c r="J345" s="20"/>
      <c r="K345" s="5"/>
      <c r="L345" s="5"/>
      <c r="M345" s="5"/>
      <c r="N345" s="5"/>
      <c r="O345" s="24"/>
      <c r="P345" s="5"/>
      <c r="Q345" s="5"/>
      <c r="R345" s="5"/>
      <c r="S345" s="5"/>
      <c r="T345" s="5"/>
      <c r="U345" s="5"/>
      <c r="V345" s="5"/>
      <c r="W345" s="5"/>
      <c r="X345" s="5"/>
      <c r="Y345" s="5"/>
      <c r="Z345" s="5"/>
    </row>
    <row r="346">
      <c r="A346" s="5"/>
      <c r="B346" s="17"/>
      <c r="C346" s="18"/>
      <c r="D346" s="5"/>
      <c r="E346" s="20"/>
      <c r="F346" s="21"/>
      <c r="G346" s="21"/>
      <c r="H346" s="21"/>
      <c r="I346" s="5"/>
      <c r="J346" s="20"/>
      <c r="K346" s="5"/>
      <c r="L346" s="5"/>
      <c r="M346" s="5"/>
      <c r="N346" s="5"/>
      <c r="O346" s="24"/>
      <c r="P346" s="5"/>
      <c r="Q346" s="5"/>
      <c r="R346" s="5"/>
      <c r="S346" s="5"/>
      <c r="T346" s="5"/>
      <c r="U346" s="5"/>
      <c r="V346" s="5"/>
      <c r="W346" s="5"/>
      <c r="X346" s="5"/>
      <c r="Y346" s="5"/>
      <c r="Z346" s="5"/>
    </row>
    <row r="347">
      <c r="A347" s="5"/>
      <c r="B347" s="17"/>
      <c r="C347" s="18"/>
      <c r="D347" s="5"/>
      <c r="E347" s="20"/>
      <c r="F347" s="21"/>
      <c r="G347" s="21"/>
      <c r="H347" s="21"/>
      <c r="I347" s="5"/>
      <c r="J347" s="20"/>
      <c r="K347" s="5"/>
      <c r="L347" s="5"/>
      <c r="M347" s="5"/>
      <c r="N347" s="5"/>
      <c r="O347" s="24"/>
      <c r="P347" s="5"/>
      <c r="Q347" s="5"/>
      <c r="R347" s="5"/>
      <c r="S347" s="5"/>
      <c r="T347" s="5"/>
      <c r="U347" s="5"/>
      <c r="V347" s="5"/>
      <c r="W347" s="5"/>
      <c r="X347" s="5"/>
      <c r="Y347" s="5"/>
      <c r="Z347" s="5"/>
    </row>
    <row r="348">
      <c r="A348" s="5"/>
      <c r="B348" s="17"/>
      <c r="C348" s="18"/>
      <c r="D348" s="5"/>
      <c r="E348" s="20"/>
      <c r="F348" s="21"/>
      <c r="G348" s="21"/>
      <c r="H348" s="21"/>
      <c r="I348" s="5"/>
      <c r="J348" s="20"/>
      <c r="K348" s="5"/>
      <c r="L348" s="5"/>
      <c r="M348" s="5"/>
      <c r="N348" s="5"/>
      <c r="O348" s="24"/>
      <c r="P348" s="5"/>
      <c r="Q348" s="5"/>
      <c r="R348" s="5"/>
      <c r="S348" s="5"/>
      <c r="T348" s="5"/>
      <c r="U348" s="5"/>
      <c r="V348" s="5"/>
      <c r="W348" s="5"/>
      <c r="X348" s="5"/>
      <c r="Y348" s="5"/>
      <c r="Z348" s="5"/>
    </row>
    <row r="349">
      <c r="A349" s="5"/>
      <c r="B349" s="17"/>
      <c r="C349" s="18"/>
      <c r="D349" s="5"/>
      <c r="E349" s="20"/>
      <c r="F349" s="21"/>
      <c r="G349" s="21"/>
      <c r="H349" s="21"/>
      <c r="I349" s="5"/>
      <c r="J349" s="20"/>
      <c r="K349" s="5"/>
      <c r="L349" s="5"/>
      <c r="M349" s="5"/>
      <c r="N349" s="5"/>
      <c r="O349" s="24"/>
      <c r="P349" s="5"/>
      <c r="Q349" s="5"/>
      <c r="R349" s="5"/>
      <c r="S349" s="5"/>
      <c r="T349" s="5"/>
      <c r="U349" s="5"/>
      <c r="V349" s="5"/>
      <c r="W349" s="5"/>
      <c r="X349" s="5"/>
      <c r="Y349" s="5"/>
      <c r="Z349" s="5"/>
    </row>
    <row r="350">
      <c r="A350" s="5"/>
      <c r="B350" s="17"/>
      <c r="C350" s="18"/>
      <c r="D350" s="5"/>
      <c r="E350" s="20"/>
      <c r="F350" s="21"/>
      <c r="G350" s="21"/>
      <c r="H350" s="21"/>
      <c r="I350" s="5"/>
      <c r="J350" s="20"/>
      <c r="K350" s="5"/>
      <c r="L350" s="5"/>
      <c r="M350" s="5"/>
      <c r="N350" s="5"/>
      <c r="O350" s="24"/>
      <c r="P350" s="5"/>
      <c r="Q350" s="5"/>
      <c r="R350" s="5"/>
      <c r="S350" s="5"/>
      <c r="T350" s="5"/>
      <c r="U350" s="5"/>
      <c r="V350" s="5"/>
      <c r="W350" s="5"/>
      <c r="X350" s="5"/>
      <c r="Y350" s="5"/>
      <c r="Z350" s="5"/>
    </row>
    <row r="351">
      <c r="A351" s="5"/>
      <c r="B351" s="17"/>
      <c r="C351" s="18"/>
      <c r="D351" s="5"/>
      <c r="E351" s="20"/>
      <c r="F351" s="21"/>
      <c r="G351" s="21"/>
      <c r="H351" s="21"/>
      <c r="I351" s="5"/>
      <c r="J351" s="20"/>
      <c r="K351" s="5"/>
      <c r="L351" s="5"/>
      <c r="M351" s="5"/>
      <c r="N351" s="5"/>
      <c r="O351" s="24"/>
      <c r="P351" s="5"/>
      <c r="Q351" s="5"/>
      <c r="R351" s="5"/>
      <c r="S351" s="5"/>
      <c r="T351" s="5"/>
      <c r="U351" s="5"/>
      <c r="V351" s="5"/>
      <c r="W351" s="5"/>
      <c r="X351" s="5"/>
      <c r="Y351" s="5"/>
      <c r="Z351" s="5"/>
    </row>
    <row r="352">
      <c r="A352" s="5"/>
      <c r="B352" s="17"/>
      <c r="C352" s="18"/>
      <c r="D352" s="5"/>
      <c r="E352" s="20"/>
      <c r="F352" s="21"/>
      <c r="G352" s="21"/>
      <c r="H352" s="21"/>
      <c r="I352" s="5"/>
      <c r="J352" s="20"/>
      <c r="K352" s="5"/>
      <c r="L352" s="5"/>
      <c r="M352" s="5"/>
      <c r="N352" s="5"/>
      <c r="O352" s="24"/>
      <c r="P352" s="5"/>
      <c r="Q352" s="5"/>
      <c r="R352" s="5"/>
      <c r="S352" s="5"/>
      <c r="T352" s="5"/>
      <c r="U352" s="5"/>
      <c r="V352" s="5"/>
      <c r="W352" s="5"/>
      <c r="X352" s="5"/>
      <c r="Y352" s="5"/>
      <c r="Z352" s="5"/>
    </row>
    <row r="353">
      <c r="A353" s="5"/>
      <c r="B353" s="17"/>
      <c r="C353" s="18"/>
      <c r="D353" s="5"/>
      <c r="E353" s="20"/>
      <c r="F353" s="21"/>
      <c r="G353" s="21"/>
      <c r="H353" s="21"/>
      <c r="I353" s="5"/>
      <c r="J353" s="20"/>
      <c r="K353" s="5"/>
      <c r="L353" s="5"/>
      <c r="M353" s="5"/>
      <c r="N353" s="5"/>
      <c r="O353" s="24"/>
      <c r="P353" s="5"/>
      <c r="Q353" s="5"/>
      <c r="R353" s="5"/>
      <c r="S353" s="5"/>
      <c r="T353" s="5"/>
      <c r="U353" s="5"/>
      <c r="V353" s="5"/>
      <c r="W353" s="5"/>
      <c r="X353" s="5"/>
      <c r="Y353" s="5"/>
      <c r="Z353" s="5"/>
    </row>
    <row r="354">
      <c r="A354" s="5"/>
      <c r="B354" s="17"/>
      <c r="C354" s="18"/>
      <c r="D354" s="5"/>
      <c r="E354" s="20"/>
      <c r="F354" s="21"/>
      <c r="G354" s="21"/>
      <c r="H354" s="21"/>
      <c r="I354" s="5"/>
      <c r="J354" s="20"/>
      <c r="K354" s="5"/>
      <c r="L354" s="5"/>
      <c r="M354" s="5"/>
      <c r="N354" s="5"/>
      <c r="O354" s="24"/>
      <c r="P354" s="5"/>
      <c r="Q354" s="5"/>
      <c r="R354" s="5"/>
      <c r="S354" s="5"/>
      <c r="T354" s="5"/>
      <c r="U354" s="5"/>
      <c r="V354" s="5"/>
      <c r="W354" s="5"/>
      <c r="X354" s="5"/>
      <c r="Y354" s="5"/>
      <c r="Z354" s="5"/>
    </row>
    <row r="355">
      <c r="A355" s="5"/>
      <c r="B355" s="17"/>
      <c r="C355" s="18"/>
      <c r="D355" s="5"/>
      <c r="E355" s="20"/>
      <c r="F355" s="21"/>
      <c r="G355" s="21"/>
      <c r="H355" s="21"/>
      <c r="I355" s="5"/>
      <c r="J355" s="20"/>
      <c r="K355" s="5"/>
      <c r="L355" s="5"/>
      <c r="M355" s="5"/>
      <c r="N355" s="5"/>
      <c r="O355" s="24"/>
      <c r="P355" s="5"/>
      <c r="Q355" s="5"/>
      <c r="R355" s="5"/>
      <c r="S355" s="5"/>
      <c r="T355" s="5"/>
      <c r="U355" s="5"/>
      <c r="V355" s="5"/>
      <c r="W355" s="5"/>
      <c r="X355" s="5"/>
      <c r="Y355" s="5"/>
      <c r="Z355" s="5"/>
    </row>
    <row r="356">
      <c r="A356" s="5"/>
      <c r="B356" s="17"/>
      <c r="C356" s="18"/>
      <c r="D356" s="5"/>
      <c r="E356" s="20"/>
      <c r="F356" s="21"/>
      <c r="G356" s="21"/>
      <c r="H356" s="21"/>
      <c r="I356" s="5"/>
      <c r="J356" s="20"/>
      <c r="K356" s="5"/>
      <c r="L356" s="5"/>
      <c r="M356" s="5"/>
      <c r="N356" s="5"/>
      <c r="O356" s="24"/>
      <c r="P356" s="5"/>
      <c r="Q356" s="5"/>
      <c r="R356" s="5"/>
      <c r="S356" s="5"/>
      <c r="T356" s="5"/>
      <c r="U356" s="5"/>
      <c r="V356" s="5"/>
      <c r="W356" s="5"/>
      <c r="X356" s="5"/>
      <c r="Y356" s="5"/>
      <c r="Z356" s="5"/>
    </row>
    <row r="357">
      <c r="A357" s="5"/>
      <c r="B357" s="17"/>
      <c r="C357" s="18"/>
      <c r="D357" s="5"/>
      <c r="E357" s="20"/>
      <c r="F357" s="21"/>
      <c r="G357" s="21"/>
      <c r="H357" s="21"/>
      <c r="I357" s="5"/>
      <c r="J357" s="20"/>
      <c r="K357" s="5"/>
      <c r="L357" s="5"/>
      <c r="M357" s="5"/>
      <c r="N357" s="5"/>
      <c r="O357" s="24"/>
      <c r="P357" s="5"/>
      <c r="Q357" s="5"/>
      <c r="R357" s="5"/>
      <c r="S357" s="5"/>
      <c r="T357" s="5"/>
      <c r="U357" s="5"/>
      <c r="V357" s="5"/>
      <c r="W357" s="5"/>
      <c r="X357" s="5"/>
      <c r="Y357" s="5"/>
      <c r="Z357" s="5"/>
    </row>
    <row r="358">
      <c r="A358" s="5"/>
      <c r="B358" s="17"/>
      <c r="C358" s="18"/>
      <c r="D358" s="5"/>
      <c r="E358" s="20"/>
      <c r="F358" s="21"/>
      <c r="G358" s="21"/>
      <c r="H358" s="21"/>
      <c r="I358" s="5"/>
      <c r="J358" s="20"/>
      <c r="K358" s="5"/>
      <c r="L358" s="5"/>
      <c r="M358" s="5"/>
      <c r="N358" s="5"/>
      <c r="O358" s="24"/>
      <c r="P358" s="5"/>
      <c r="Q358" s="5"/>
      <c r="R358" s="5"/>
      <c r="S358" s="5"/>
      <c r="T358" s="5"/>
      <c r="U358" s="5"/>
      <c r="V358" s="5"/>
      <c r="W358" s="5"/>
      <c r="X358" s="5"/>
      <c r="Y358" s="5"/>
      <c r="Z358" s="5"/>
    </row>
    <row r="359">
      <c r="A359" s="5"/>
      <c r="B359" s="17"/>
      <c r="C359" s="18"/>
      <c r="D359" s="5"/>
      <c r="E359" s="20"/>
      <c r="F359" s="21"/>
      <c r="G359" s="21"/>
      <c r="H359" s="21"/>
      <c r="I359" s="5"/>
      <c r="J359" s="20"/>
      <c r="K359" s="5"/>
      <c r="L359" s="5"/>
      <c r="M359" s="5"/>
      <c r="N359" s="5"/>
      <c r="O359" s="24"/>
      <c r="P359" s="5"/>
      <c r="Q359" s="5"/>
      <c r="R359" s="5"/>
      <c r="S359" s="5"/>
      <c r="T359" s="5"/>
      <c r="U359" s="5"/>
      <c r="V359" s="5"/>
      <c r="W359" s="5"/>
      <c r="X359" s="5"/>
      <c r="Y359" s="5"/>
      <c r="Z359" s="5"/>
    </row>
    <row r="360">
      <c r="A360" s="5"/>
      <c r="B360" s="17"/>
      <c r="C360" s="18"/>
      <c r="D360" s="5"/>
      <c r="E360" s="20"/>
      <c r="F360" s="21"/>
      <c r="G360" s="21"/>
      <c r="H360" s="21"/>
      <c r="I360" s="5"/>
      <c r="J360" s="20"/>
      <c r="K360" s="5"/>
      <c r="L360" s="5"/>
      <c r="M360" s="5"/>
      <c r="N360" s="5"/>
      <c r="O360" s="24"/>
      <c r="P360" s="5"/>
      <c r="Q360" s="5"/>
      <c r="R360" s="5"/>
      <c r="S360" s="5"/>
      <c r="T360" s="5"/>
      <c r="U360" s="5"/>
      <c r="V360" s="5"/>
      <c r="W360" s="5"/>
      <c r="X360" s="5"/>
      <c r="Y360" s="5"/>
      <c r="Z360" s="5"/>
    </row>
    <row r="361">
      <c r="A361" s="5"/>
      <c r="B361" s="17"/>
      <c r="C361" s="18"/>
      <c r="D361" s="5"/>
      <c r="E361" s="20"/>
      <c r="F361" s="21"/>
      <c r="G361" s="21"/>
      <c r="H361" s="21"/>
      <c r="I361" s="5"/>
      <c r="J361" s="20"/>
      <c r="K361" s="5"/>
      <c r="L361" s="5"/>
      <c r="M361" s="5"/>
      <c r="N361" s="5"/>
      <c r="O361" s="24"/>
      <c r="P361" s="5"/>
      <c r="Q361" s="5"/>
      <c r="R361" s="5"/>
      <c r="S361" s="5"/>
      <c r="T361" s="5"/>
      <c r="U361" s="5"/>
      <c r="V361" s="5"/>
      <c r="W361" s="5"/>
      <c r="X361" s="5"/>
      <c r="Y361" s="5"/>
      <c r="Z361" s="5"/>
    </row>
    <row r="362">
      <c r="A362" s="5"/>
      <c r="B362" s="17"/>
      <c r="C362" s="18"/>
      <c r="D362" s="5"/>
      <c r="E362" s="20"/>
      <c r="F362" s="21"/>
      <c r="G362" s="21"/>
      <c r="H362" s="21"/>
      <c r="I362" s="5"/>
      <c r="J362" s="20"/>
      <c r="K362" s="5"/>
      <c r="L362" s="5"/>
      <c r="M362" s="5"/>
      <c r="N362" s="5"/>
      <c r="O362" s="24"/>
      <c r="P362" s="5"/>
      <c r="Q362" s="5"/>
      <c r="R362" s="5"/>
      <c r="S362" s="5"/>
      <c r="T362" s="5"/>
      <c r="U362" s="5"/>
      <c r="V362" s="5"/>
      <c r="W362" s="5"/>
      <c r="X362" s="5"/>
      <c r="Y362" s="5"/>
      <c r="Z362" s="5"/>
    </row>
    <row r="363">
      <c r="A363" s="5"/>
      <c r="B363" s="17"/>
      <c r="C363" s="18"/>
      <c r="D363" s="5"/>
      <c r="E363" s="20"/>
      <c r="F363" s="21"/>
      <c r="G363" s="21"/>
      <c r="H363" s="21"/>
      <c r="I363" s="5"/>
      <c r="J363" s="20"/>
      <c r="K363" s="5"/>
      <c r="L363" s="5"/>
      <c r="M363" s="5"/>
      <c r="N363" s="5"/>
      <c r="O363" s="24"/>
      <c r="P363" s="5"/>
      <c r="Q363" s="5"/>
      <c r="R363" s="5"/>
      <c r="S363" s="5"/>
      <c r="T363" s="5"/>
      <c r="U363" s="5"/>
      <c r="V363" s="5"/>
      <c r="W363" s="5"/>
      <c r="X363" s="5"/>
      <c r="Y363" s="5"/>
      <c r="Z363" s="5"/>
    </row>
    <row r="364">
      <c r="A364" s="5"/>
      <c r="B364" s="17"/>
      <c r="C364" s="18"/>
      <c r="D364" s="5"/>
      <c r="E364" s="20"/>
      <c r="F364" s="21"/>
      <c r="G364" s="21"/>
      <c r="H364" s="21"/>
      <c r="I364" s="5"/>
      <c r="J364" s="20"/>
      <c r="K364" s="5"/>
      <c r="L364" s="5"/>
      <c r="M364" s="5"/>
      <c r="N364" s="5"/>
      <c r="O364" s="24"/>
      <c r="P364" s="5"/>
      <c r="Q364" s="5"/>
      <c r="R364" s="5"/>
      <c r="S364" s="5"/>
      <c r="T364" s="5"/>
      <c r="U364" s="5"/>
      <c r="V364" s="5"/>
      <c r="W364" s="5"/>
      <c r="X364" s="5"/>
      <c r="Y364" s="5"/>
      <c r="Z364" s="5"/>
    </row>
    <row r="365">
      <c r="A365" s="5"/>
      <c r="B365" s="17"/>
      <c r="C365" s="18"/>
      <c r="D365" s="5"/>
      <c r="E365" s="20"/>
      <c r="F365" s="21"/>
      <c r="G365" s="21"/>
      <c r="H365" s="21"/>
      <c r="I365" s="5"/>
      <c r="J365" s="20"/>
      <c r="K365" s="5"/>
      <c r="L365" s="5"/>
      <c r="M365" s="5"/>
      <c r="N365" s="5"/>
      <c r="O365" s="24"/>
      <c r="P365" s="5"/>
      <c r="Q365" s="5"/>
      <c r="R365" s="5"/>
      <c r="S365" s="5"/>
      <c r="T365" s="5"/>
      <c r="U365" s="5"/>
      <c r="V365" s="5"/>
      <c r="W365" s="5"/>
      <c r="X365" s="5"/>
      <c r="Y365" s="5"/>
      <c r="Z365" s="5"/>
    </row>
    <row r="366">
      <c r="A366" s="5"/>
      <c r="B366" s="17"/>
      <c r="C366" s="18"/>
      <c r="D366" s="5"/>
      <c r="E366" s="20"/>
      <c r="F366" s="21"/>
      <c r="G366" s="21"/>
      <c r="H366" s="21"/>
      <c r="I366" s="5"/>
      <c r="J366" s="20"/>
      <c r="K366" s="5"/>
      <c r="L366" s="5"/>
      <c r="M366" s="5"/>
      <c r="N366" s="5"/>
      <c r="O366" s="24"/>
      <c r="P366" s="5"/>
      <c r="Q366" s="5"/>
      <c r="R366" s="5"/>
      <c r="S366" s="5"/>
      <c r="T366" s="5"/>
      <c r="U366" s="5"/>
      <c r="V366" s="5"/>
      <c r="W366" s="5"/>
      <c r="X366" s="5"/>
      <c r="Y366" s="5"/>
      <c r="Z366" s="5"/>
    </row>
    <row r="367">
      <c r="A367" s="5"/>
      <c r="B367" s="17"/>
      <c r="C367" s="18"/>
      <c r="D367" s="5"/>
      <c r="E367" s="20"/>
      <c r="F367" s="21"/>
      <c r="G367" s="21"/>
      <c r="H367" s="21"/>
      <c r="I367" s="5"/>
      <c r="J367" s="20"/>
      <c r="K367" s="5"/>
      <c r="L367" s="5"/>
      <c r="M367" s="5"/>
      <c r="N367" s="5"/>
      <c r="O367" s="24"/>
      <c r="P367" s="5"/>
      <c r="Q367" s="5"/>
      <c r="R367" s="5"/>
      <c r="S367" s="5"/>
      <c r="T367" s="5"/>
      <c r="U367" s="5"/>
      <c r="V367" s="5"/>
      <c r="W367" s="5"/>
      <c r="X367" s="5"/>
      <c r="Y367" s="5"/>
      <c r="Z367" s="5"/>
    </row>
    <row r="368">
      <c r="A368" s="5"/>
      <c r="B368" s="17"/>
      <c r="C368" s="18"/>
      <c r="D368" s="5"/>
      <c r="E368" s="20"/>
      <c r="F368" s="21"/>
      <c r="G368" s="21"/>
      <c r="H368" s="21"/>
      <c r="I368" s="5"/>
      <c r="J368" s="20"/>
      <c r="K368" s="5"/>
      <c r="L368" s="5"/>
      <c r="M368" s="5"/>
      <c r="N368" s="5"/>
      <c r="O368" s="24"/>
      <c r="P368" s="5"/>
      <c r="Q368" s="5"/>
      <c r="R368" s="5"/>
      <c r="S368" s="5"/>
      <c r="T368" s="5"/>
      <c r="U368" s="5"/>
      <c r="V368" s="5"/>
      <c r="W368" s="5"/>
      <c r="X368" s="5"/>
      <c r="Y368" s="5"/>
      <c r="Z368" s="5"/>
    </row>
    <row r="369">
      <c r="A369" s="5"/>
      <c r="B369" s="17"/>
      <c r="C369" s="18"/>
      <c r="D369" s="5"/>
      <c r="E369" s="20"/>
      <c r="F369" s="21"/>
      <c r="G369" s="21"/>
      <c r="H369" s="21"/>
      <c r="I369" s="5"/>
      <c r="J369" s="20"/>
      <c r="K369" s="5"/>
      <c r="L369" s="5"/>
      <c r="M369" s="5"/>
      <c r="N369" s="5"/>
      <c r="O369" s="24"/>
      <c r="P369" s="5"/>
      <c r="Q369" s="5"/>
      <c r="R369" s="5"/>
      <c r="S369" s="5"/>
      <c r="T369" s="5"/>
      <c r="U369" s="5"/>
      <c r="V369" s="5"/>
      <c r="W369" s="5"/>
      <c r="X369" s="5"/>
      <c r="Y369" s="5"/>
      <c r="Z369" s="5"/>
    </row>
    <row r="370">
      <c r="A370" s="5"/>
      <c r="B370" s="17"/>
      <c r="C370" s="18"/>
      <c r="D370" s="5"/>
      <c r="E370" s="20"/>
      <c r="F370" s="21"/>
      <c r="G370" s="21"/>
      <c r="H370" s="21"/>
      <c r="I370" s="5"/>
      <c r="J370" s="20"/>
      <c r="K370" s="5"/>
      <c r="L370" s="5"/>
      <c r="M370" s="5"/>
      <c r="N370" s="5"/>
      <c r="O370" s="24"/>
      <c r="P370" s="5"/>
      <c r="Q370" s="5"/>
      <c r="R370" s="5"/>
      <c r="S370" s="5"/>
      <c r="T370" s="5"/>
      <c r="U370" s="5"/>
      <c r="V370" s="5"/>
      <c r="W370" s="5"/>
      <c r="X370" s="5"/>
      <c r="Y370" s="5"/>
      <c r="Z370" s="5"/>
    </row>
    <row r="371">
      <c r="A371" s="5"/>
      <c r="B371" s="17"/>
      <c r="C371" s="18"/>
      <c r="D371" s="5"/>
      <c r="E371" s="20"/>
      <c r="F371" s="21"/>
      <c r="G371" s="21"/>
      <c r="H371" s="21"/>
      <c r="I371" s="5"/>
      <c r="J371" s="20"/>
      <c r="K371" s="5"/>
      <c r="L371" s="5"/>
      <c r="M371" s="5"/>
      <c r="N371" s="5"/>
      <c r="O371" s="24"/>
      <c r="P371" s="5"/>
      <c r="Q371" s="5"/>
      <c r="R371" s="5"/>
      <c r="S371" s="5"/>
      <c r="T371" s="5"/>
      <c r="U371" s="5"/>
      <c r="V371" s="5"/>
      <c r="W371" s="5"/>
      <c r="X371" s="5"/>
      <c r="Y371" s="5"/>
      <c r="Z371" s="5"/>
    </row>
    <row r="372">
      <c r="A372" s="5"/>
      <c r="B372" s="17"/>
      <c r="C372" s="18"/>
      <c r="D372" s="5"/>
      <c r="E372" s="20"/>
      <c r="F372" s="21"/>
      <c r="G372" s="21"/>
      <c r="H372" s="21"/>
      <c r="I372" s="5"/>
      <c r="J372" s="20"/>
      <c r="K372" s="5"/>
      <c r="L372" s="5"/>
      <c r="M372" s="5"/>
      <c r="N372" s="5"/>
      <c r="O372" s="24"/>
      <c r="P372" s="5"/>
      <c r="Q372" s="5"/>
      <c r="R372" s="5"/>
      <c r="S372" s="5"/>
      <c r="T372" s="5"/>
      <c r="U372" s="5"/>
      <c r="V372" s="5"/>
      <c r="W372" s="5"/>
      <c r="X372" s="5"/>
      <c r="Y372" s="5"/>
      <c r="Z372" s="5"/>
    </row>
    <row r="373">
      <c r="A373" s="5"/>
      <c r="B373" s="17"/>
      <c r="C373" s="18"/>
      <c r="D373" s="5"/>
      <c r="E373" s="20"/>
      <c r="F373" s="21"/>
      <c r="G373" s="21"/>
      <c r="H373" s="21"/>
      <c r="I373" s="5"/>
      <c r="J373" s="20"/>
      <c r="K373" s="5"/>
      <c r="L373" s="5"/>
      <c r="M373" s="5"/>
      <c r="N373" s="5"/>
      <c r="O373" s="24"/>
      <c r="P373" s="5"/>
      <c r="Q373" s="5"/>
      <c r="R373" s="5"/>
      <c r="S373" s="5"/>
      <c r="T373" s="5"/>
      <c r="U373" s="5"/>
      <c r="V373" s="5"/>
      <c r="W373" s="5"/>
      <c r="X373" s="5"/>
      <c r="Y373" s="5"/>
      <c r="Z373" s="5"/>
    </row>
    <row r="374">
      <c r="A374" s="5"/>
      <c r="B374" s="17"/>
      <c r="C374" s="18"/>
      <c r="D374" s="5"/>
      <c r="E374" s="20"/>
      <c r="F374" s="21"/>
      <c r="G374" s="21"/>
      <c r="H374" s="21"/>
      <c r="I374" s="5"/>
      <c r="J374" s="20"/>
      <c r="K374" s="5"/>
      <c r="L374" s="5"/>
      <c r="M374" s="5"/>
      <c r="N374" s="5"/>
      <c r="O374" s="24"/>
      <c r="P374" s="5"/>
      <c r="Q374" s="5"/>
      <c r="R374" s="5"/>
      <c r="S374" s="5"/>
      <c r="T374" s="5"/>
      <c r="U374" s="5"/>
      <c r="V374" s="5"/>
      <c r="W374" s="5"/>
      <c r="X374" s="5"/>
      <c r="Y374" s="5"/>
      <c r="Z374" s="5"/>
    </row>
    <row r="375">
      <c r="A375" s="5"/>
      <c r="B375" s="17"/>
      <c r="C375" s="18"/>
      <c r="D375" s="5"/>
      <c r="E375" s="20"/>
      <c r="F375" s="21"/>
      <c r="G375" s="21"/>
      <c r="H375" s="21"/>
      <c r="I375" s="5"/>
      <c r="J375" s="20"/>
      <c r="K375" s="5"/>
      <c r="L375" s="5"/>
      <c r="M375" s="5"/>
      <c r="N375" s="5"/>
      <c r="O375" s="24"/>
      <c r="P375" s="5"/>
      <c r="Q375" s="5"/>
      <c r="R375" s="5"/>
      <c r="S375" s="5"/>
      <c r="T375" s="5"/>
      <c r="U375" s="5"/>
      <c r="V375" s="5"/>
      <c r="W375" s="5"/>
      <c r="X375" s="5"/>
      <c r="Y375" s="5"/>
      <c r="Z375" s="5"/>
    </row>
    <row r="376">
      <c r="A376" s="5"/>
      <c r="B376" s="17"/>
      <c r="C376" s="18"/>
      <c r="D376" s="5"/>
      <c r="E376" s="20"/>
      <c r="F376" s="21"/>
      <c r="G376" s="21"/>
      <c r="H376" s="21"/>
      <c r="I376" s="5"/>
      <c r="J376" s="20"/>
      <c r="K376" s="5"/>
      <c r="L376" s="5"/>
      <c r="M376" s="5"/>
      <c r="N376" s="5"/>
      <c r="O376" s="24"/>
      <c r="P376" s="5"/>
      <c r="Q376" s="5"/>
      <c r="R376" s="5"/>
      <c r="S376" s="5"/>
      <c r="T376" s="5"/>
      <c r="U376" s="5"/>
      <c r="V376" s="5"/>
      <c r="W376" s="5"/>
      <c r="X376" s="5"/>
      <c r="Y376" s="5"/>
      <c r="Z376" s="5"/>
    </row>
    <row r="377">
      <c r="A377" s="5"/>
      <c r="B377" s="17"/>
      <c r="C377" s="18"/>
      <c r="D377" s="5"/>
      <c r="E377" s="20"/>
      <c r="F377" s="21"/>
      <c r="G377" s="21"/>
      <c r="H377" s="21"/>
      <c r="I377" s="5"/>
      <c r="J377" s="20"/>
      <c r="K377" s="5"/>
      <c r="L377" s="5"/>
      <c r="M377" s="5"/>
      <c r="N377" s="5"/>
      <c r="O377" s="24"/>
      <c r="P377" s="5"/>
      <c r="Q377" s="5"/>
      <c r="R377" s="5"/>
      <c r="S377" s="5"/>
      <c r="T377" s="5"/>
      <c r="U377" s="5"/>
      <c r="V377" s="5"/>
      <c r="W377" s="5"/>
      <c r="X377" s="5"/>
      <c r="Y377" s="5"/>
      <c r="Z377" s="5"/>
    </row>
    <row r="378">
      <c r="A378" s="5"/>
      <c r="B378" s="17"/>
      <c r="C378" s="18"/>
      <c r="D378" s="5"/>
      <c r="E378" s="20"/>
      <c r="F378" s="21"/>
      <c r="G378" s="21"/>
      <c r="H378" s="21"/>
      <c r="I378" s="5"/>
      <c r="J378" s="20"/>
      <c r="K378" s="5"/>
      <c r="L378" s="5"/>
      <c r="M378" s="5"/>
      <c r="N378" s="5"/>
      <c r="O378" s="24"/>
      <c r="P378" s="5"/>
      <c r="Q378" s="5"/>
      <c r="R378" s="5"/>
      <c r="S378" s="5"/>
      <c r="T378" s="5"/>
      <c r="U378" s="5"/>
      <c r="V378" s="5"/>
      <c r="W378" s="5"/>
      <c r="X378" s="5"/>
      <c r="Y378" s="5"/>
      <c r="Z378" s="5"/>
    </row>
    <row r="379">
      <c r="A379" s="5"/>
      <c r="B379" s="17"/>
      <c r="C379" s="18"/>
      <c r="D379" s="5"/>
      <c r="E379" s="20"/>
      <c r="F379" s="21"/>
      <c r="G379" s="21"/>
      <c r="H379" s="21"/>
      <c r="I379" s="5"/>
      <c r="J379" s="20"/>
      <c r="K379" s="5"/>
      <c r="L379" s="5"/>
      <c r="M379" s="5"/>
      <c r="N379" s="5"/>
      <c r="O379" s="24"/>
      <c r="P379" s="5"/>
      <c r="Q379" s="5"/>
      <c r="R379" s="5"/>
      <c r="S379" s="5"/>
      <c r="T379" s="5"/>
      <c r="U379" s="5"/>
      <c r="V379" s="5"/>
      <c r="W379" s="5"/>
      <c r="X379" s="5"/>
      <c r="Y379" s="5"/>
      <c r="Z379" s="5"/>
    </row>
    <row r="380">
      <c r="A380" s="5"/>
      <c r="B380" s="17"/>
      <c r="C380" s="18"/>
      <c r="D380" s="5"/>
      <c r="E380" s="20"/>
      <c r="F380" s="21"/>
      <c r="G380" s="21"/>
      <c r="H380" s="21"/>
      <c r="I380" s="5"/>
      <c r="J380" s="20"/>
      <c r="K380" s="5"/>
      <c r="L380" s="5"/>
      <c r="M380" s="5"/>
      <c r="N380" s="5"/>
      <c r="O380" s="24"/>
      <c r="P380" s="5"/>
      <c r="Q380" s="5"/>
      <c r="R380" s="5"/>
      <c r="S380" s="5"/>
      <c r="T380" s="5"/>
      <c r="U380" s="5"/>
      <c r="V380" s="5"/>
      <c r="W380" s="5"/>
      <c r="X380" s="5"/>
      <c r="Y380" s="5"/>
      <c r="Z380" s="5"/>
    </row>
    <row r="381">
      <c r="A381" s="5"/>
      <c r="B381" s="17"/>
      <c r="C381" s="18"/>
      <c r="D381" s="5"/>
      <c r="E381" s="20"/>
      <c r="F381" s="21"/>
      <c r="G381" s="21"/>
      <c r="H381" s="21"/>
      <c r="I381" s="5"/>
      <c r="J381" s="20"/>
      <c r="K381" s="5"/>
      <c r="L381" s="5"/>
      <c r="M381" s="5"/>
      <c r="N381" s="5"/>
      <c r="O381" s="24"/>
      <c r="P381" s="5"/>
      <c r="Q381" s="5"/>
      <c r="R381" s="5"/>
      <c r="S381" s="5"/>
      <c r="T381" s="5"/>
      <c r="U381" s="5"/>
      <c r="V381" s="5"/>
      <c r="W381" s="5"/>
      <c r="X381" s="5"/>
      <c r="Y381" s="5"/>
      <c r="Z381" s="5"/>
    </row>
    <row r="382">
      <c r="A382" s="5"/>
      <c r="B382" s="17"/>
      <c r="C382" s="18"/>
      <c r="D382" s="5"/>
      <c r="E382" s="20"/>
      <c r="F382" s="21"/>
      <c r="G382" s="21"/>
      <c r="H382" s="21"/>
      <c r="I382" s="5"/>
      <c r="J382" s="20"/>
      <c r="K382" s="5"/>
      <c r="L382" s="5"/>
      <c r="M382" s="5"/>
      <c r="N382" s="5"/>
      <c r="O382" s="24"/>
      <c r="P382" s="5"/>
      <c r="Q382" s="5"/>
      <c r="R382" s="5"/>
      <c r="S382" s="5"/>
      <c r="T382" s="5"/>
      <c r="U382" s="5"/>
      <c r="V382" s="5"/>
      <c r="W382" s="5"/>
      <c r="X382" s="5"/>
      <c r="Y382" s="5"/>
      <c r="Z382" s="5"/>
    </row>
    <row r="383">
      <c r="A383" s="5"/>
      <c r="B383" s="17"/>
      <c r="C383" s="18"/>
      <c r="D383" s="5"/>
      <c r="E383" s="20"/>
      <c r="F383" s="21"/>
      <c r="G383" s="21"/>
      <c r="H383" s="21"/>
      <c r="I383" s="5"/>
      <c r="J383" s="20"/>
      <c r="K383" s="5"/>
      <c r="L383" s="5"/>
      <c r="M383" s="5"/>
      <c r="N383" s="5"/>
      <c r="O383" s="24"/>
      <c r="P383" s="5"/>
      <c r="Q383" s="5"/>
      <c r="R383" s="5"/>
      <c r="S383" s="5"/>
      <c r="T383" s="5"/>
      <c r="U383" s="5"/>
      <c r="V383" s="5"/>
      <c r="W383" s="5"/>
      <c r="X383" s="5"/>
      <c r="Y383" s="5"/>
      <c r="Z383" s="5"/>
    </row>
    <row r="384">
      <c r="A384" s="5"/>
      <c r="B384" s="17"/>
      <c r="C384" s="18"/>
      <c r="D384" s="5"/>
      <c r="E384" s="20"/>
      <c r="F384" s="21"/>
      <c r="G384" s="21"/>
      <c r="H384" s="21"/>
      <c r="I384" s="5"/>
      <c r="J384" s="20"/>
      <c r="K384" s="5"/>
      <c r="L384" s="5"/>
      <c r="M384" s="5"/>
      <c r="N384" s="5"/>
      <c r="O384" s="24"/>
      <c r="P384" s="5"/>
      <c r="Q384" s="5"/>
      <c r="R384" s="5"/>
      <c r="S384" s="5"/>
      <c r="T384" s="5"/>
      <c r="U384" s="5"/>
      <c r="V384" s="5"/>
      <c r="W384" s="5"/>
      <c r="X384" s="5"/>
      <c r="Y384" s="5"/>
      <c r="Z384" s="5"/>
    </row>
    <row r="385">
      <c r="A385" s="5"/>
      <c r="B385" s="17"/>
      <c r="C385" s="18"/>
      <c r="D385" s="5"/>
      <c r="E385" s="20"/>
      <c r="F385" s="21"/>
      <c r="G385" s="21"/>
      <c r="H385" s="21"/>
      <c r="I385" s="5"/>
      <c r="J385" s="20"/>
      <c r="K385" s="5"/>
      <c r="L385" s="5"/>
      <c r="M385" s="5"/>
      <c r="N385" s="5"/>
      <c r="O385" s="24"/>
      <c r="P385" s="5"/>
      <c r="Q385" s="5"/>
      <c r="R385" s="5"/>
      <c r="S385" s="5"/>
      <c r="T385" s="5"/>
      <c r="U385" s="5"/>
      <c r="V385" s="5"/>
      <c r="W385" s="5"/>
      <c r="X385" s="5"/>
      <c r="Y385" s="5"/>
      <c r="Z385" s="5"/>
    </row>
    <row r="386">
      <c r="A386" s="5"/>
      <c r="B386" s="17"/>
      <c r="C386" s="18"/>
      <c r="D386" s="5"/>
      <c r="E386" s="20"/>
      <c r="F386" s="21"/>
      <c r="G386" s="21"/>
      <c r="H386" s="21"/>
      <c r="I386" s="5"/>
      <c r="J386" s="20"/>
      <c r="K386" s="5"/>
      <c r="L386" s="5"/>
      <c r="M386" s="5"/>
      <c r="N386" s="5"/>
      <c r="O386" s="24"/>
      <c r="P386" s="5"/>
      <c r="Q386" s="5"/>
      <c r="R386" s="5"/>
      <c r="S386" s="5"/>
      <c r="T386" s="5"/>
      <c r="U386" s="5"/>
      <c r="V386" s="5"/>
      <c r="W386" s="5"/>
      <c r="X386" s="5"/>
      <c r="Y386" s="5"/>
      <c r="Z386" s="5"/>
    </row>
    <row r="387">
      <c r="A387" s="5"/>
      <c r="B387" s="17"/>
      <c r="C387" s="18"/>
      <c r="D387" s="5"/>
      <c r="E387" s="20"/>
      <c r="F387" s="21"/>
      <c r="G387" s="21"/>
      <c r="H387" s="21"/>
      <c r="I387" s="5"/>
      <c r="J387" s="20"/>
      <c r="K387" s="5"/>
      <c r="L387" s="5"/>
      <c r="M387" s="5"/>
      <c r="N387" s="5"/>
      <c r="O387" s="24"/>
      <c r="P387" s="5"/>
      <c r="Q387" s="5"/>
      <c r="R387" s="5"/>
      <c r="S387" s="5"/>
      <c r="T387" s="5"/>
      <c r="U387" s="5"/>
      <c r="V387" s="5"/>
      <c r="W387" s="5"/>
      <c r="X387" s="5"/>
      <c r="Y387" s="5"/>
      <c r="Z387" s="5"/>
    </row>
    <row r="388">
      <c r="A388" s="5"/>
      <c r="B388" s="17"/>
      <c r="C388" s="18"/>
      <c r="D388" s="5"/>
      <c r="E388" s="20"/>
      <c r="F388" s="21"/>
      <c r="G388" s="21"/>
      <c r="H388" s="21"/>
      <c r="I388" s="5"/>
      <c r="J388" s="20"/>
      <c r="K388" s="5"/>
      <c r="L388" s="5"/>
      <c r="M388" s="5"/>
      <c r="N388" s="5"/>
      <c r="O388" s="24"/>
      <c r="P388" s="5"/>
      <c r="Q388" s="5"/>
      <c r="R388" s="5"/>
      <c r="S388" s="5"/>
      <c r="T388" s="5"/>
      <c r="U388" s="5"/>
      <c r="V388" s="5"/>
      <c r="W388" s="5"/>
      <c r="X388" s="5"/>
      <c r="Y388" s="5"/>
      <c r="Z388" s="5"/>
    </row>
    <row r="389">
      <c r="A389" s="5"/>
      <c r="B389" s="17"/>
      <c r="C389" s="18"/>
      <c r="D389" s="5"/>
      <c r="E389" s="20"/>
      <c r="F389" s="21"/>
      <c r="G389" s="21"/>
      <c r="H389" s="21"/>
      <c r="I389" s="5"/>
      <c r="J389" s="20"/>
      <c r="K389" s="5"/>
      <c r="L389" s="5"/>
      <c r="M389" s="5"/>
      <c r="N389" s="5"/>
      <c r="O389" s="24"/>
      <c r="P389" s="5"/>
      <c r="Q389" s="5"/>
      <c r="R389" s="5"/>
      <c r="S389" s="5"/>
      <c r="T389" s="5"/>
      <c r="U389" s="5"/>
      <c r="V389" s="5"/>
      <c r="W389" s="5"/>
      <c r="X389" s="5"/>
      <c r="Y389" s="5"/>
      <c r="Z389" s="5"/>
    </row>
    <row r="390">
      <c r="A390" s="5"/>
      <c r="B390" s="17"/>
      <c r="C390" s="18"/>
      <c r="D390" s="5"/>
      <c r="E390" s="20"/>
      <c r="F390" s="21"/>
      <c r="G390" s="21"/>
      <c r="H390" s="21"/>
      <c r="I390" s="5"/>
      <c r="J390" s="20"/>
      <c r="K390" s="5"/>
      <c r="L390" s="5"/>
      <c r="M390" s="5"/>
      <c r="N390" s="5"/>
      <c r="O390" s="24"/>
      <c r="P390" s="5"/>
      <c r="Q390" s="5"/>
      <c r="R390" s="5"/>
      <c r="S390" s="5"/>
      <c r="T390" s="5"/>
      <c r="U390" s="5"/>
      <c r="V390" s="5"/>
      <c r="W390" s="5"/>
      <c r="X390" s="5"/>
      <c r="Y390" s="5"/>
      <c r="Z390" s="5"/>
    </row>
    <row r="391">
      <c r="A391" s="5"/>
      <c r="B391" s="17"/>
      <c r="C391" s="18"/>
      <c r="D391" s="5"/>
      <c r="E391" s="20"/>
      <c r="F391" s="21"/>
      <c r="G391" s="21"/>
      <c r="H391" s="21"/>
      <c r="I391" s="5"/>
      <c r="J391" s="20"/>
      <c r="K391" s="5"/>
      <c r="L391" s="5"/>
      <c r="M391" s="5"/>
      <c r="N391" s="5"/>
      <c r="O391" s="24"/>
      <c r="P391" s="5"/>
      <c r="Q391" s="5"/>
      <c r="R391" s="5"/>
      <c r="S391" s="5"/>
      <c r="T391" s="5"/>
      <c r="U391" s="5"/>
      <c r="V391" s="5"/>
      <c r="W391" s="5"/>
      <c r="X391" s="5"/>
      <c r="Y391" s="5"/>
      <c r="Z391" s="5"/>
    </row>
    <row r="392">
      <c r="A392" s="5"/>
      <c r="B392" s="17"/>
      <c r="C392" s="18"/>
      <c r="D392" s="5"/>
      <c r="E392" s="20"/>
      <c r="F392" s="21"/>
      <c r="G392" s="21"/>
      <c r="H392" s="21"/>
      <c r="I392" s="5"/>
      <c r="J392" s="20"/>
      <c r="K392" s="5"/>
      <c r="L392" s="5"/>
      <c r="M392" s="5"/>
      <c r="N392" s="5"/>
      <c r="O392" s="24"/>
      <c r="P392" s="5"/>
      <c r="Q392" s="5"/>
      <c r="R392" s="5"/>
      <c r="S392" s="5"/>
      <c r="T392" s="5"/>
      <c r="U392" s="5"/>
      <c r="V392" s="5"/>
      <c r="W392" s="5"/>
      <c r="X392" s="5"/>
      <c r="Y392" s="5"/>
      <c r="Z392" s="5"/>
    </row>
    <row r="393">
      <c r="A393" s="5"/>
      <c r="B393" s="17"/>
      <c r="C393" s="18"/>
      <c r="D393" s="5"/>
      <c r="E393" s="20"/>
      <c r="F393" s="21"/>
      <c r="G393" s="21"/>
      <c r="H393" s="21"/>
      <c r="I393" s="5"/>
      <c r="J393" s="20"/>
      <c r="K393" s="5"/>
      <c r="L393" s="5"/>
      <c r="M393" s="5"/>
      <c r="N393" s="5"/>
      <c r="O393" s="24"/>
      <c r="P393" s="5"/>
      <c r="Q393" s="5"/>
      <c r="R393" s="5"/>
      <c r="S393" s="5"/>
      <c r="T393" s="5"/>
      <c r="U393" s="5"/>
      <c r="V393" s="5"/>
      <c r="W393" s="5"/>
      <c r="X393" s="5"/>
      <c r="Y393" s="5"/>
      <c r="Z393" s="5"/>
    </row>
    <row r="394">
      <c r="A394" s="5"/>
      <c r="B394" s="17"/>
      <c r="C394" s="18"/>
      <c r="D394" s="5"/>
      <c r="E394" s="20"/>
      <c r="F394" s="21"/>
      <c r="G394" s="21"/>
      <c r="H394" s="21"/>
      <c r="I394" s="5"/>
      <c r="J394" s="20"/>
      <c r="K394" s="5"/>
      <c r="L394" s="5"/>
      <c r="M394" s="5"/>
      <c r="N394" s="5"/>
      <c r="O394" s="24"/>
      <c r="P394" s="5"/>
      <c r="Q394" s="5"/>
      <c r="R394" s="5"/>
      <c r="S394" s="5"/>
      <c r="T394" s="5"/>
      <c r="U394" s="5"/>
      <c r="V394" s="5"/>
      <c r="W394" s="5"/>
      <c r="X394" s="5"/>
      <c r="Y394" s="5"/>
      <c r="Z394" s="5"/>
    </row>
    <row r="395">
      <c r="A395" s="5"/>
      <c r="B395" s="17"/>
      <c r="C395" s="18"/>
      <c r="D395" s="5"/>
      <c r="E395" s="20"/>
      <c r="F395" s="21"/>
      <c r="G395" s="21"/>
      <c r="H395" s="21"/>
      <c r="I395" s="5"/>
      <c r="J395" s="20"/>
      <c r="K395" s="5"/>
      <c r="L395" s="5"/>
      <c r="M395" s="5"/>
      <c r="N395" s="5"/>
      <c r="O395" s="24"/>
      <c r="P395" s="5"/>
      <c r="Q395" s="5"/>
      <c r="R395" s="5"/>
      <c r="S395" s="5"/>
      <c r="T395" s="5"/>
      <c r="U395" s="5"/>
      <c r="V395" s="5"/>
      <c r="W395" s="5"/>
      <c r="X395" s="5"/>
      <c r="Y395" s="5"/>
      <c r="Z395" s="5"/>
    </row>
    <row r="396">
      <c r="A396" s="5"/>
      <c r="B396" s="17"/>
      <c r="C396" s="18"/>
      <c r="D396" s="5"/>
      <c r="E396" s="20"/>
      <c r="F396" s="21"/>
      <c r="G396" s="21"/>
      <c r="H396" s="21"/>
      <c r="I396" s="5"/>
      <c r="J396" s="20"/>
      <c r="K396" s="5"/>
      <c r="L396" s="5"/>
      <c r="M396" s="5"/>
      <c r="N396" s="5"/>
      <c r="O396" s="24"/>
      <c r="P396" s="5"/>
      <c r="Q396" s="5"/>
      <c r="R396" s="5"/>
      <c r="S396" s="5"/>
      <c r="T396" s="5"/>
      <c r="U396" s="5"/>
      <c r="V396" s="5"/>
      <c r="W396" s="5"/>
      <c r="X396" s="5"/>
      <c r="Y396" s="5"/>
      <c r="Z396" s="5"/>
    </row>
    <row r="397">
      <c r="A397" s="5"/>
      <c r="B397" s="17"/>
      <c r="C397" s="18"/>
      <c r="D397" s="5"/>
      <c r="E397" s="20"/>
      <c r="F397" s="21"/>
      <c r="G397" s="21"/>
      <c r="H397" s="21"/>
      <c r="I397" s="5"/>
      <c r="J397" s="20"/>
      <c r="K397" s="5"/>
      <c r="L397" s="5"/>
      <c r="M397" s="5"/>
      <c r="N397" s="5"/>
      <c r="O397" s="24"/>
      <c r="P397" s="5"/>
      <c r="Q397" s="5"/>
      <c r="R397" s="5"/>
      <c r="S397" s="5"/>
      <c r="T397" s="5"/>
      <c r="U397" s="5"/>
      <c r="V397" s="5"/>
      <c r="W397" s="5"/>
      <c r="X397" s="5"/>
      <c r="Y397" s="5"/>
      <c r="Z397" s="5"/>
    </row>
    <row r="398">
      <c r="A398" s="5"/>
      <c r="B398" s="17"/>
      <c r="C398" s="18"/>
      <c r="D398" s="5"/>
      <c r="E398" s="20"/>
      <c r="F398" s="21"/>
      <c r="G398" s="21"/>
      <c r="H398" s="21"/>
      <c r="I398" s="5"/>
      <c r="J398" s="20"/>
      <c r="K398" s="5"/>
      <c r="L398" s="5"/>
      <c r="M398" s="5"/>
      <c r="N398" s="5"/>
      <c r="O398" s="24"/>
      <c r="P398" s="5"/>
      <c r="Q398" s="5"/>
      <c r="R398" s="5"/>
      <c r="S398" s="5"/>
      <c r="T398" s="5"/>
      <c r="U398" s="5"/>
      <c r="V398" s="5"/>
      <c r="W398" s="5"/>
      <c r="X398" s="5"/>
      <c r="Y398" s="5"/>
      <c r="Z398" s="5"/>
    </row>
    <row r="399">
      <c r="A399" s="5"/>
      <c r="B399" s="17"/>
      <c r="C399" s="18"/>
      <c r="D399" s="5"/>
      <c r="E399" s="20"/>
      <c r="F399" s="21"/>
      <c r="G399" s="21"/>
      <c r="H399" s="21"/>
      <c r="I399" s="5"/>
      <c r="J399" s="20"/>
      <c r="K399" s="5"/>
      <c r="L399" s="5"/>
      <c r="M399" s="5"/>
      <c r="N399" s="5"/>
      <c r="O399" s="24"/>
      <c r="P399" s="5"/>
      <c r="Q399" s="5"/>
      <c r="R399" s="5"/>
      <c r="S399" s="5"/>
      <c r="T399" s="5"/>
      <c r="U399" s="5"/>
      <c r="V399" s="5"/>
      <c r="W399" s="5"/>
      <c r="X399" s="5"/>
      <c r="Y399" s="5"/>
      <c r="Z399" s="5"/>
    </row>
    <row r="400">
      <c r="A400" s="5"/>
      <c r="B400" s="17"/>
      <c r="C400" s="18"/>
      <c r="D400" s="5"/>
      <c r="E400" s="20"/>
      <c r="F400" s="21"/>
      <c r="G400" s="21"/>
      <c r="H400" s="21"/>
      <c r="I400" s="5"/>
      <c r="J400" s="20"/>
      <c r="K400" s="5"/>
      <c r="L400" s="5"/>
      <c r="M400" s="5"/>
      <c r="N400" s="5"/>
      <c r="O400" s="24"/>
      <c r="P400" s="5"/>
      <c r="Q400" s="5"/>
      <c r="R400" s="5"/>
      <c r="S400" s="5"/>
      <c r="T400" s="5"/>
      <c r="U400" s="5"/>
      <c r="V400" s="5"/>
      <c r="W400" s="5"/>
      <c r="X400" s="5"/>
      <c r="Y400" s="5"/>
      <c r="Z400" s="5"/>
    </row>
    <row r="401">
      <c r="A401" s="5"/>
      <c r="B401" s="17"/>
      <c r="C401" s="18"/>
      <c r="D401" s="5"/>
      <c r="E401" s="20"/>
      <c r="F401" s="21"/>
      <c r="G401" s="21"/>
      <c r="H401" s="21"/>
      <c r="I401" s="5"/>
      <c r="J401" s="20"/>
      <c r="K401" s="5"/>
      <c r="L401" s="5"/>
      <c r="M401" s="5"/>
      <c r="N401" s="5"/>
      <c r="O401" s="24"/>
      <c r="P401" s="5"/>
      <c r="Q401" s="5"/>
      <c r="R401" s="5"/>
      <c r="S401" s="5"/>
      <c r="T401" s="5"/>
      <c r="U401" s="5"/>
      <c r="V401" s="5"/>
      <c r="W401" s="5"/>
      <c r="X401" s="5"/>
      <c r="Y401" s="5"/>
      <c r="Z401" s="5"/>
    </row>
    <row r="402">
      <c r="A402" s="5"/>
      <c r="B402" s="17"/>
      <c r="C402" s="18"/>
      <c r="D402" s="5"/>
      <c r="E402" s="20"/>
      <c r="F402" s="21"/>
      <c r="G402" s="21"/>
      <c r="H402" s="21"/>
      <c r="I402" s="5"/>
      <c r="J402" s="20"/>
      <c r="K402" s="5"/>
      <c r="L402" s="5"/>
      <c r="M402" s="5"/>
      <c r="N402" s="5"/>
      <c r="O402" s="24"/>
      <c r="P402" s="5"/>
      <c r="Q402" s="5"/>
      <c r="R402" s="5"/>
      <c r="S402" s="5"/>
      <c r="T402" s="5"/>
      <c r="U402" s="5"/>
      <c r="V402" s="5"/>
      <c r="W402" s="5"/>
      <c r="X402" s="5"/>
      <c r="Y402" s="5"/>
      <c r="Z402" s="5"/>
    </row>
    <row r="403">
      <c r="A403" s="5"/>
      <c r="B403" s="17"/>
      <c r="C403" s="18"/>
      <c r="D403" s="5"/>
      <c r="E403" s="20"/>
      <c r="F403" s="21"/>
      <c r="G403" s="21"/>
      <c r="H403" s="21"/>
      <c r="I403" s="5"/>
      <c r="J403" s="20"/>
      <c r="K403" s="5"/>
      <c r="L403" s="5"/>
      <c r="M403" s="5"/>
      <c r="N403" s="5"/>
      <c r="O403" s="24"/>
      <c r="P403" s="5"/>
      <c r="Q403" s="5"/>
      <c r="R403" s="5"/>
      <c r="S403" s="5"/>
      <c r="T403" s="5"/>
      <c r="U403" s="5"/>
      <c r="V403" s="5"/>
      <c r="W403" s="5"/>
      <c r="X403" s="5"/>
      <c r="Y403" s="5"/>
      <c r="Z403" s="5"/>
    </row>
    <row r="404">
      <c r="A404" s="5"/>
      <c r="B404" s="17"/>
      <c r="C404" s="18"/>
      <c r="D404" s="5"/>
      <c r="E404" s="20"/>
      <c r="F404" s="21"/>
      <c r="G404" s="21"/>
      <c r="H404" s="21"/>
      <c r="I404" s="5"/>
      <c r="J404" s="20"/>
      <c r="K404" s="5"/>
      <c r="L404" s="5"/>
      <c r="M404" s="5"/>
      <c r="N404" s="5"/>
      <c r="O404" s="24"/>
      <c r="P404" s="5"/>
      <c r="Q404" s="5"/>
      <c r="R404" s="5"/>
      <c r="S404" s="5"/>
      <c r="T404" s="5"/>
      <c r="U404" s="5"/>
      <c r="V404" s="5"/>
      <c r="W404" s="5"/>
      <c r="X404" s="5"/>
      <c r="Y404" s="5"/>
      <c r="Z404" s="5"/>
    </row>
    <row r="405">
      <c r="A405" s="5"/>
      <c r="B405" s="17"/>
      <c r="C405" s="18"/>
      <c r="D405" s="5"/>
      <c r="E405" s="20"/>
      <c r="F405" s="21"/>
      <c r="G405" s="21"/>
      <c r="H405" s="21"/>
      <c r="I405" s="5"/>
      <c r="J405" s="20"/>
      <c r="K405" s="5"/>
      <c r="L405" s="5"/>
      <c r="M405" s="5"/>
      <c r="N405" s="5"/>
      <c r="O405" s="24"/>
      <c r="P405" s="5"/>
      <c r="Q405" s="5"/>
      <c r="R405" s="5"/>
      <c r="S405" s="5"/>
      <c r="T405" s="5"/>
      <c r="U405" s="5"/>
      <c r="V405" s="5"/>
      <c r="W405" s="5"/>
      <c r="X405" s="5"/>
      <c r="Y405" s="5"/>
      <c r="Z405" s="5"/>
    </row>
    <row r="406">
      <c r="A406" s="5"/>
      <c r="B406" s="17"/>
      <c r="C406" s="18"/>
      <c r="D406" s="5"/>
      <c r="E406" s="20"/>
      <c r="F406" s="21"/>
      <c r="G406" s="21"/>
      <c r="H406" s="21"/>
      <c r="I406" s="5"/>
      <c r="J406" s="20"/>
      <c r="K406" s="5"/>
      <c r="L406" s="5"/>
      <c r="M406" s="5"/>
      <c r="N406" s="5"/>
      <c r="O406" s="24"/>
      <c r="P406" s="5"/>
      <c r="Q406" s="5"/>
      <c r="R406" s="5"/>
      <c r="S406" s="5"/>
      <c r="T406" s="5"/>
      <c r="U406" s="5"/>
      <c r="V406" s="5"/>
      <c r="W406" s="5"/>
      <c r="X406" s="5"/>
      <c r="Y406" s="5"/>
      <c r="Z406" s="5"/>
    </row>
    <row r="407">
      <c r="A407" s="5"/>
      <c r="B407" s="17"/>
      <c r="C407" s="18"/>
      <c r="D407" s="5"/>
      <c r="E407" s="20"/>
      <c r="F407" s="21"/>
      <c r="G407" s="21"/>
      <c r="H407" s="21"/>
      <c r="I407" s="5"/>
      <c r="J407" s="20"/>
      <c r="K407" s="5"/>
      <c r="L407" s="5"/>
      <c r="M407" s="5"/>
      <c r="N407" s="5"/>
      <c r="O407" s="24"/>
      <c r="P407" s="5"/>
      <c r="Q407" s="5"/>
      <c r="R407" s="5"/>
      <c r="S407" s="5"/>
      <c r="T407" s="5"/>
      <c r="U407" s="5"/>
      <c r="V407" s="5"/>
      <c r="W407" s="5"/>
      <c r="X407" s="5"/>
      <c r="Y407" s="5"/>
      <c r="Z407" s="5"/>
    </row>
    <row r="408">
      <c r="A408" s="5"/>
      <c r="B408" s="17"/>
      <c r="C408" s="18"/>
      <c r="D408" s="5"/>
      <c r="E408" s="20"/>
      <c r="F408" s="21"/>
      <c r="G408" s="21"/>
      <c r="H408" s="21"/>
      <c r="I408" s="5"/>
      <c r="J408" s="20"/>
      <c r="K408" s="5"/>
      <c r="L408" s="5"/>
      <c r="M408" s="5"/>
      <c r="N408" s="5"/>
      <c r="O408" s="24"/>
      <c r="P408" s="5"/>
      <c r="Q408" s="5"/>
      <c r="R408" s="5"/>
      <c r="S408" s="5"/>
      <c r="T408" s="5"/>
      <c r="U408" s="5"/>
      <c r="V408" s="5"/>
      <c r="W408" s="5"/>
      <c r="X408" s="5"/>
      <c r="Y408" s="5"/>
      <c r="Z408" s="5"/>
    </row>
    <row r="409">
      <c r="A409" s="5"/>
      <c r="B409" s="17"/>
      <c r="C409" s="18"/>
      <c r="D409" s="5"/>
      <c r="E409" s="20"/>
      <c r="F409" s="21"/>
      <c r="G409" s="21"/>
      <c r="H409" s="21"/>
      <c r="I409" s="5"/>
      <c r="J409" s="20"/>
      <c r="K409" s="5"/>
      <c r="L409" s="5"/>
      <c r="M409" s="5"/>
      <c r="N409" s="5"/>
      <c r="O409" s="24"/>
      <c r="P409" s="5"/>
      <c r="Q409" s="5"/>
      <c r="R409" s="5"/>
      <c r="S409" s="5"/>
      <c r="T409" s="5"/>
      <c r="U409" s="5"/>
      <c r="V409" s="5"/>
      <c r="W409" s="5"/>
      <c r="X409" s="5"/>
      <c r="Y409" s="5"/>
      <c r="Z409" s="5"/>
    </row>
    <row r="410">
      <c r="A410" s="5"/>
      <c r="B410" s="17"/>
      <c r="C410" s="18"/>
      <c r="D410" s="5"/>
      <c r="E410" s="20"/>
      <c r="F410" s="21"/>
      <c r="G410" s="21"/>
      <c r="H410" s="21"/>
      <c r="I410" s="5"/>
      <c r="J410" s="20"/>
      <c r="K410" s="5"/>
      <c r="L410" s="5"/>
      <c r="M410" s="5"/>
      <c r="N410" s="5"/>
      <c r="O410" s="24"/>
      <c r="P410" s="5"/>
      <c r="Q410" s="5"/>
      <c r="R410" s="5"/>
      <c r="S410" s="5"/>
      <c r="T410" s="5"/>
      <c r="U410" s="5"/>
      <c r="V410" s="5"/>
      <c r="W410" s="5"/>
      <c r="X410" s="5"/>
      <c r="Y410" s="5"/>
      <c r="Z410" s="5"/>
    </row>
    <row r="411">
      <c r="A411" s="5"/>
      <c r="B411" s="17"/>
      <c r="C411" s="18"/>
      <c r="D411" s="5"/>
      <c r="E411" s="20"/>
      <c r="F411" s="21"/>
      <c r="G411" s="21"/>
      <c r="H411" s="21"/>
      <c r="I411" s="5"/>
      <c r="J411" s="20"/>
      <c r="K411" s="5"/>
      <c r="L411" s="5"/>
      <c r="M411" s="5"/>
      <c r="N411" s="5"/>
      <c r="O411" s="24"/>
      <c r="P411" s="5"/>
      <c r="Q411" s="5"/>
      <c r="R411" s="5"/>
      <c r="S411" s="5"/>
      <c r="T411" s="5"/>
      <c r="U411" s="5"/>
      <c r="V411" s="5"/>
      <c r="W411" s="5"/>
      <c r="X411" s="5"/>
      <c r="Y411" s="5"/>
      <c r="Z411" s="5"/>
    </row>
    <row r="412">
      <c r="A412" s="5"/>
      <c r="B412" s="17"/>
      <c r="C412" s="18"/>
      <c r="D412" s="5"/>
      <c r="E412" s="20"/>
      <c r="F412" s="21"/>
      <c r="G412" s="21"/>
      <c r="H412" s="21"/>
      <c r="I412" s="5"/>
      <c r="J412" s="20"/>
      <c r="K412" s="5"/>
      <c r="L412" s="5"/>
      <c r="M412" s="5"/>
      <c r="N412" s="5"/>
      <c r="O412" s="24"/>
      <c r="P412" s="5"/>
      <c r="Q412" s="5"/>
      <c r="R412" s="5"/>
      <c r="S412" s="5"/>
      <c r="T412" s="5"/>
      <c r="U412" s="5"/>
      <c r="V412" s="5"/>
      <c r="W412" s="5"/>
      <c r="X412" s="5"/>
      <c r="Y412" s="5"/>
      <c r="Z412" s="5"/>
    </row>
    <row r="413">
      <c r="A413" s="5"/>
      <c r="B413" s="17"/>
      <c r="C413" s="18"/>
      <c r="D413" s="5"/>
      <c r="E413" s="20"/>
      <c r="F413" s="21"/>
      <c r="G413" s="21"/>
      <c r="H413" s="21"/>
      <c r="I413" s="5"/>
      <c r="J413" s="20"/>
      <c r="K413" s="5"/>
      <c r="L413" s="5"/>
      <c r="M413" s="5"/>
      <c r="N413" s="5"/>
      <c r="O413" s="24"/>
      <c r="P413" s="5"/>
      <c r="Q413" s="5"/>
      <c r="R413" s="5"/>
      <c r="S413" s="5"/>
      <c r="T413" s="5"/>
      <c r="U413" s="5"/>
      <c r="V413" s="5"/>
      <c r="W413" s="5"/>
      <c r="X413" s="5"/>
      <c r="Y413" s="5"/>
      <c r="Z413" s="5"/>
    </row>
    <row r="414">
      <c r="A414" s="5"/>
      <c r="B414" s="17"/>
      <c r="C414" s="18"/>
      <c r="D414" s="5"/>
      <c r="E414" s="20"/>
      <c r="F414" s="21"/>
      <c r="G414" s="21"/>
      <c r="H414" s="21"/>
      <c r="I414" s="5"/>
      <c r="J414" s="20"/>
      <c r="K414" s="5"/>
      <c r="L414" s="5"/>
      <c r="M414" s="5"/>
      <c r="N414" s="5"/>
      <c r="O414" s="24"/>
      <c r="P414" s="5"/>
      <c r="Q414" s="5"/>
      <c r="R414" s="5"/>
      <c r="S414" s="5"/>
      <c r="T414" s="5"/>
      <c r="U414" s="5"/>
      <c r="V414" s="5"/>
      <c r="W414" s="5"/>
      <c r="X414" s="5"/>
      <c r="Y414" s="5"/>
      <c r="Z414" s="5"/>
    </row>
    <row r="415">
      <c r="A415" s="5"/>
      <c r="B415" s="17"/>
      <c r="C415" s="18"/>
      <c r="D415" s="5"/>
      <c r="E415" s="20"/>
      <c r="F415" s="21"/>
      <c r="G415" s="21"/>
      <c r="H415" s="21"/>
      <c r="I415" s="5"/>
      <c r="J415" s="20"/>
      <c r="K415" s="5"/>
      <c r="L415" s="5"/>
      <c r="M415" s="5"/>
      <c r="N415" s="5"/>
      <c r="O415" s="24"/>
      <c r="P415" s="5"/>
      <c r="Q415" s="5"/>
      <c r="R415" s="5"/>
      <c r="S415" s="5"/>
      <c r="T415" s="5"/>
      <c r="U415" s="5"/>
      <c r="V415" s="5"/>
      <c r="W415" s="5"/>
      <c r="X415" s="5"/>
      <c r="Y415" s="5"/>
      <c r="Z415" s="5"/>
    </row>
    <row r="416">
      <c r="A416" s="5"/>
      <c r="B416" s="17"/>
      <c r="C416" s="18"/>
      <c r="D416" s="5"/>
      <c r="E416" s="20"/>
      <c r="F416" s="21"/>
      <c r="G416" s="21"/>
      <c r="H416" s="21"/>
      <c r="I416" s="5"/>
      <c r="J416" s="20"/>
      <c r="K416" s="5"/>
      <c r="L416" s="5"/>
      <c r="M416" s="5"/>
      <c r="N416" s="5"/>
      <c r="O416" s="24"/>
      <c r="P416" s="5"/>
      <c r="Q416" s="5"/>
      <c r="R416" s="5"/>
      <c r="S416" s="5"/>
      <c r="T416" s="5"/>
      <c r="U416" s="5"/>
      <c r="V416" s="5"/>
      <c r="W416" s="5"/>
      <c r="X416" s="5"/>
      <c r="Y416" s="5"/>
      <c r="Z416" s="5"/>
    </row>
    <row r="417">
      <c r="A417" s="5"/>
      <c r="B417" s="17"/>
      <c r="C417" s="18"/>
      <c r="D417" s="5"/>
      <c r="E417" s="20"/>
      <c r="F417" s="21"/>
      <c r="G417" s="21"/>
      <c r="H417" s="21"/>
      <c r="I417" s="5"/>
      <c r="J417" s="20"/>
      <c r="K417" s="5"/>
      <c r="L417" s="5"/>
      <c r="M417" s="5"/>
      <c r="N417" s="5"/>
      <c r="O417" s="24"/>
      <c r="P417" s="5"/>
      <c r="Q417" s="5"/>
      <c r="R417" s="5"/>
      <c r="S417" s="5"/>
      <c r="T417" s="5"/>
      <c r="U417" s="5"/>
      <c r="V417" s="5"/>
      <c r="W417" s="5"/>
      <c r="X417" s="5"/>
      <c r="Y417" s="5"/>
      <c r="Z417" s="5"/>
    </row>
    <row r="418">
      <c r="A418" s="5"/>
      <c r="B418" s="17"/>
      <c r="C418" s="18"/>
      <c r="D418" s="5"/>
      <c r="E418" s="20"/>
      <c r="F418" s="21"/>
      <c r="G418" s="21"/>
      <c r="H418" s="21"/>
      <c r="I418" s="5"/>
      <c r="J418" s="20"/>
      <c r="K418" s="5"/>
      <c r="L418" s="5"/>
      <c r="M418" s="5"/>
      <c r="N418" s="5"/>
      <c r="O418" s="24"/>
      <c r="P418" s="5"/>
      <c r="Q418" s="5"/>
      <c r="R418" s="5"/>
      <c r="S418" s="5"/>
      <c r="T418" s="5"/>
      <c r="U418" s="5"/>
      <c r="V418" s="5"/>
      <c r="W418" s="5"/>
      <c r="X418" s="5"/>
      <c r="Y418" s="5"/>
      <c r="Z418" s="5"/>
    </row>
    <row r="419">
      <c r="A419" s="5"/>
      <c r="B419" s="17"/>
      <c r="C419" s="18"/>
      <c r="D419" s="5"/>
      <c r="E419" s="20"/>
      <c r="F419" s="21"/>
      <c r="G419" s="21"/>
      <c r="H419" s="21"/>
      <c r="I419" s="5"/>
      <c r="J419" s="20"/>
      <c r="K419" s="5"/>
      <c r="L419" s="5"/>
      <c r="M419" s="5"/>
      <c r="N419" s="5"/>
      <c r="O419" s="24"/>
      <c r="P419" s="5"/>
      <c r="Q419" s="5"/>
      <c r="R419" s="5"/>
      <c r="S419" s="5"/>
      <c r="T419" s="5"/>
      <c r="U419" s="5"/>
      <c r="V419" s="5"/>
      <c r="W419" s="5"/>
      <c r="X419" s="5"/>
      <c r="Y419" s="5"/>
      <c r="Z419" s="5"/>
    </row>
    <row r="420">
      <c r="A420" s="5"/>
      <c r="B420" s="17"/>
      <c r="C420" s="18"/>
      <c r="D420" s="5"/>
      <c r="E420" s="20"/>
      <c r="F420" s="21"/>
      <c r="G420" s="21"/>
      <c r="H420" s="21"/>
      <c r="I420" s="5"/>
      <c r="J420" s="20"/>
      <c r="K420" s="5"/>
      <c r="L420" s="5"/>
      <c r="M420" s="5"/>
      <c r="N420" s="5"/>
      <c r="O420" s="24"/>
      <c r="P420" s="5"/>
      <c r="Q420" s="5"/>
      <c r="R420" s="5"/>
      <c r="S420" s="5"/>
      <c r="T420" s="5"/>
      <c r="U420" s="5"/>
      <c r="V420" s="5"/>
      <c r="W420" s="5"/>
      <c r="X420" s="5"/>
      <c r="Y420" s="5"/>
      <c r="Z420" s="5"/>
    </row>
    <row r="421">
      <c r="A421" s="5"/>
      <c r="B421" s="17"/>
      <c r="C421" s="18"/>
      <c r="D421" s="5"/>
      <c r="E421" s="20"/>
      <c r="F421" s="21"/>
      <c r="G421" s="21"/>
      <c r="H421" s="21"/>
      <c r="I421" s="5"/>
      <c r="J421" s="20"/>
      <c r="K421" s="5"/>
      <c r="L421" s="5"/>
      <c r="M421" s="5"/>
      <c r="N421" s="5"/>
      <c r="O421" s="24"/>
      <c r="P421" s="5"/>
      <c r="Q421" s="5"/>
      <c r="R421" s="5"/>
      <c r="S421" s="5"/>
      <c r="T421" s="5"/>
      <c r="U421" s="5"/>
      <c r="V421" s="5"/>
      <c r="W421" s="5"/>
      <c r="X421" s="5"/>
      <c r="Y421" s="5"/>
      <c r="Z421" s="5"/>
    </row>
    <row r="422">
      <c r="A422" s="5"/>
      <c r="B422" s="17"/>
      <c r="C422" s="18"/>
      <c r="D422" s="5"/>
      <c r="E422" s="20"/>
      <c r="F422" s="21"/>
      <c r="G422" s="21"/>
      <c r="H422" s="21"/>
      <c r="I422" s="5"/>
      <c r="J422" s="20"/>
      <c r="K422" s="5"/>
      <c r="L422" s="5"/>
      <c r="M422" s="5"/>
      <c r="N422" s="5"/>
      <c r="O422" s="24"/>
      <c r="P422" s="5"/>
      <c r="Q422" s="5"/>
      <c r="R422" s="5"/>
      <c r="S422" s="5"/>
      <c r="T422" s="5"/>
      <c r="U422" s="5"/>
      <c r="V422" s="5"/>
      <c r="W422" s="5"/>
      <c r="X422" s="5"/>
      <c r="Y422" s="5"/>
      <c r="Z422" s="5"/>
    </row>
    <row r="423">
      <c r="A423" s="5"/>
      <c r="B423" s="17"/>
      <c r="C423" s="18"/>
      <c r="D423" s="5"/>
      <c r="E423" s="20"/>
      <c r="F423" s="21"/>
      <c r="G423" s="21"/>
      <c r="H423" s="21"/>
      <c r="I423" s="5"/>
      <c r="J423" s="20"/>
      <c r="K423" s="5"/>
      <c r="L423" s="5"/>
      <c r="M423" s="5"/>
      <c r="N423" s="5"/>
      <c r="O423" s="24"/>
      <c r="P423" s="5"/>
      <c r="Q423" s="5"/>
      <c r="R423" s="5"/>
      <c r="S423" s="5"/>
      <c r="T423" s="5"/>
      <c r="U423" s="5"/>
      <c r="V423" s="5"/>
      <c r="W423" s="5"/>
      <c r="X423" s="5"/>
      <c r="Y423" s="5"/>
      <c r="Z423" s="5"/>
    </row>
    <row r="424">
      <c r="A424" s="5"/>
      <c r="B424" s="17"/>
      <c r="C424" s="18"/>
      <c r="D424" s="5"/>
      <c r="E424" s="20"/>
      <c r="F424" s="21"/>
      <c r="G424" s="21"/>
      <c r="H424" s="21"/>
      <c r="I424" s="5"/>
      <c r="J424" s="20"/>
      <c r="K424" s="5"/>
      <c r="L424" s="5"/>
      <c r="M424" s="5"/>
      <c r="N424" s="5"/>
      <c r="O424" s="24"/>
      <c r="P424" s="5"/>
      <c r="Q424" s="5"/>
      <c r="R424" s="5"/>
      <c r="S424" s="5"/>
      <c r="T424" s="5"/>
      <c r="U424" s="5"/>
      <c r="V424" s="5"/>
      <c r="W424" s="5"/>
      <c r="X424" s="5"/>
      <c r="Y424" s="5"/>
      <c r="Z424" s="5"/>
    </row>
    <row r="425">
      <c r="A425" s="5"/>
      <c r="B425" s="17"/>
      <c r="C425" s="18"/>
      <c r="D425" s="5"/>
      <c r="E425" s="20"/>
      <c r="F425" s="21"/>
      <c r="G425" s="21"/>
      <c r="H425" s="21"/>
      <c r="I425" s="5"/>
      <c r="J425" s="20"/>
      <c r="K425" s="5"/>
      <c r="L425" s="5"/>
      <c r="M425" s="5"/>
      <c r="N425" s="5"/>
      <c r="O425" s="24"/>
      <c r="P425" s="5"/>
      <c r="Q425" s="5"/>
      <c r="R425" s="5"/>
      <c r="S425" s="5"/>
      <c r="T425" s="5"/>
      <c r="U425" s="5"/>
      <c r="V425" s="5"/>
      <c r="W425" s="5"/>
      <c r="X425" s="5"/>
      <c r="Y425" s="5"/>
      <c r="Z425" s="5"/>
    </row>
    <row r="426">
      <c r="A426" s="5"/>
      <c r="B426" s="17"/>
      <c r="C426" s="18"/>
      <c r="D426" s="5"/>
      <c r="E426" s="20"/>
      <c r="F426" s="21"/>
      <c r="G426" s="21"/>
      <c r="H426" s="21"/>
      <c r="I426" s="5"/>
      <c r="J426" s="20"/>
      <c r="K426" s="5"/>
      <c r="L426" s="5"/>
      <c r="M426" s="5"/>
      <c r="N426" s="5"/>
      <c r="O426" s="24"/>
      <c r="P426" s="5"/>
      <c r="Q426" s="5"/>
      <c r="R426" s="5"/>
      <c r="S426" s="5"/>
      <c r="T426" s="5"/>
      <c r="U426" s="5"/>
      <c r="V426" s="5"/>
      <c r="W426" s="5"/>
      <c r="X426" s="5"/>
      <c r="Y426" s="5"/>
      <c r="Z426" s="5"/>
    </row>
    <row r="427">
      <c r="A427" s="5"/>
      <c r="B427" s="17"/>
      <c r="C427" s="18"/>
      <c r="D427" s="5"/>
      <c r="E427" s="20"/>
      <c r="F427" s="21"/>
      <c r="G427" s="21"/>
      <c r="H427" s="21"/>
      <c r="I427" s="5"/>
      <c r="J427" s="20"/>
      <c r="K427" s="5"/>
      <c r="L427" s="5"/>
      <c r="M427" s="5"/>
      <c r="N427" s="5"/>
      <c r="O427" s="24"/>
      <c r="P427" s="5"/>
      <c r="Q427" s="5"/>
      <c r="R427" s="5"/>
      <c r="S427" s="5"/>
      <c r="T427" s="5"/>
      <c r="U427" s="5"/>
      <c r="V427" s="5"/>
      <c r="W427" s="5"/>
      <c r="X427" s="5"/>
      <c r="Y427" s="5"/>
      <c r="Z427" s="5"/>
    </row>
    <row r="428">
      <c r="A428" s="5"/>
      <c r="B428" s="17"/>
      <c r="C428" s="18"/>
      <c r="D428" s="5"/>
      <c r="E428" s="20"/>
      <c r="F428" s="21"/>
      <c r="G428" s="21"/>
      <c r="H428" s="21"/>
      <c r="I428" s="5"/>
      <c r="J428" s="20"/>
      <c r="K428" s="5"/>
      <c r="L428" s="5"/>
      <c r="M428" s="5"/>
      <c r="N428" s="5"/>
      <c r="O428" s="24"/>
      <c r="P428" s="5"/>
      <c r="Q428" s="5"/>
      <c r="R428" s="5"/>
      <c r="S428" s="5"/>
      <c r="T428" s="5"/>
      <c r="U428" s="5"/>
      <c r="V428" s="5"/>
      <c r="W428" s="5"/>
      <c r="X428" s="5"/>
      <c r="Y428" s="5"/>
      <c r="Z428" s="5"/>
    </row>
    <row r="429">
      <c r="A429" s="5"/>
      <c r="B429" s="17"/>
      <c r="C429" s="18"/>
      <c r="D429" s="5"/>
      <c r="E429" s="20"/>
      <c r="F429" s="21"/>
      <c r="G429" s="21"/>
      <c r="H429" s="21"/>
      <c r="I429" s="5"/>
      <c r="J429" s="20"/>
      <c r="K429" s="5"/>
      <c r="L429" s="5"/>
      <c r="M429" s="5"/>
      <c r="N429" s="5"/>
      <c r="O429" s="24"/>
      <c r="P429" s="5"/>
      <c r="Q429" s="5"/>
      <c r="R429" s="5"/>
      <c r="S429" s="5"/>
      <c r="T429" s="5"/>
      <c r="U429" s="5"/>
      <c r="V429" s="5"/>
      <c r="W429" s="5"/>
      <c r="X429" s="5"/>
      <c r="Y429" s="5"/>
      <c r="Z429" s="5"/>
    </row>
    <row r="430">
      <c r="A430" s="5"/>
      <c r="B430" s="17"/>
      <c r="C430" s="18"/>
      <c r="D430" s="5"/>
      <c r="E430" s="20"/>
      <c r="F430" s="21"/>
      <c r="G430" s="21"/>
      <c r="H430" s="21"/>
      <c r="I430" s="5"/>
      <c r="J430" s="20"/>
      <c r="K430" s="5"/>
      <c r="L430" s="5"/>
      <c r="M430" s="5"/>
      <c r="N430" s="5"/>
      <c r="O430" s="24"/>
      <c r="P430" s="5"/>
      <c r="Q430" s="5"/>
      <c r="R430" s="5"/>
      <c r="S430" s="5"/>
      <c r="T430" s="5"/>
      <c r="U430" s="5"/>
      <c r="V430" s="5"/>
      <c r="W430" s="5"/>
      <c r="X430" s="5"/>
      <c r="Y430" s="5"/>
      <c r="Z430" s="5"/>
    </row>
    <row r="431">
      <c r="A431" s="5"/>
      <c r="B431" s="17"/>
      <c r="C431" s="18"/>
      <c r="D431" s="5"/>
      <c r="E431" s="20"/>
      <c r="F431" s="21"/>
      <c r="G431" s="21"/>
      <c r="H431" s="21"/>
      <c r="I431" s="5"/>
      <c r="J431" s="20"/>
      <c r="K431" s="5"/>
      <c r="L431" s="5"/>
      <c r="M431" s="5"/>
      <c r="N431" s="5"/>
      <c r="O431" s="24"/>
      <c r="P431" s="5"/>
      <c r="Q431" s="5"/>
      <c r="R431" s="5"/>
      <c r="S431" s="5"/>
      <c r="T431" s="5"/>
      <c r="U431" s="5"/>
      <c r="V431" s="5"/>
      <c r="W431" s="5"/>
      <c r="X431" s="5"/>
      <c r="Y431" s="5"/>
      <c r="Z431" s="5"/>
    </row>
    <row r="432">
      <c r="A432" s="5"/>
      <c r="B432" s="17"/>
      <c r="C432" s="18"/>
      <c r="D432" s="5"/>
      <c r="E432" s="20"/>
      <c r="F432" s="21"/>
      <c r="G432" s="21"/>
      <c r="H432" s="21"/>
      <c r="I432" s="5"/>
      <c r="J432" s="20"/>
      <c r="K432" s="5"/>
      <c r="L432" s="5"/>
      <c r="M432" s="5"/>
      <c r="N432" s="5"/>
      <c r="O432" s="24"/>
      <c r="P432" s="5"/>
      <c r="Q432" s="5"/>
      <c r="R432" s="5"/>
      <c r="S432" s="5"/>
      <c r="T432" s="5"/>
      <c r="U432" s="5"/>
      <c r="V432" s="5"/>
      <c r="W432" s="5"/>
      <c r="X432" s="5"/>
      <c r="Y432" s="5"/>
      <c r="Z432" s="5"/>
    </row>
    <row r="433">
      <c r="A433" s="5"/>
      <c r="B433" s="17"/>
      <c r="C433" s="18"/>
      <c r="D433" s="5"/>
      <c r="E433" s="20"/>
      <c r="F433" s="21"/>
      <c r="G433" s="21"/>
      <c r="H433" s="21"/>
      <c r="I433" s="5"/>
      <c r="J433" s="20"/>
      <c r="K433" s="5"/>
      <c r="L433" s="5"/>
      <c r="M433" s="5"/>
      <c r="N433" s="5"/>
      <c r="O433" s="24"/>
      <c r="P433" s="5"/>
      <c r="Q433" s="5"/>
      <c r="R433" s="5"/>
      <c r="S433" s="5"/>
      <c r="T433" s="5"/>
      <c r="U433" s="5"/>
      <c r="V433" s="5"/>
      <c r="W433" s="5"/>
      <c r="X433" s="5"/>
      <c r="Y433" s="5"/>
      <c r="Z433" s="5"/>
    </row>
    <row r="434">
      <c r="A434" s="5"/>
      <c r="B434" s="17"/>
      <c r="C434" s="18"/>
      <c r="D434" s="5"/>
      <c r="E434" s="20"/>
      <c r="F434" s="21"/>
      <c r="G434" s="21"/>
      <c r="H434" s="21"/>
      <c r="I434" s="5"/>
      <c r="J434" s="20"/>
      <c r="K434" s="5"/>
      <c r="L434" s="5"/>
      <c r="M434" s="5"/>
      <c r="N434" s="5"/>
      <c r="O434" s="24"/>
      <c r="P434" s="5"/>
      <c r="Q434" s="5"/>
      <c r="R434" s="5"/>
      <c r="S434" s="5"/>
      <c r="T434" s="5"/>
      <c r="U434" s="5"/>
      <c r="V434" s="5"/>
      <c r="W434" s="5"/>
      <c r="X434" s="5"/>
      <c r="Y434" s="5"/>
      <c r="Z434" s="5"/>
    </row>
    <row r="435">
      <c r="A435" s="5"/>
      <c r="B435" s="17"/>
      <c r="C435" s="18"/>
      <c r="D435" s="5"/>
      <c r="E435" s="20"/>
      <c r="F435" s="21"/>
      <c r="G435" s="21"/>
      <c r="H435" s="21"/>
      <c r="I435" s="5"/>
      <c r="J435" s="20"/>
      <c r="K435" s="5"/>
      <c r="L435" s="5"/>
      <c r="M435" s="5"/>
      <c r="N435" s="5"/>
      <c r="O435" s="24"/>
      <c r="P435" s="5"/>
      <c r="Q435" s="5"/>
      <c r="R435" s="5"/>
      <c r="S435" s="5"/>
      <c r="T435" s="5"/>
      <c r="U435" s="5"/>
      <c r="V435" s="5"/>
      <c r="W435" s="5"/>
      <c r="X435" s="5"/>
      <c r="Y435" s="5"/>
      <c r="Z435" s="5"/>
    </row>
    <row r="436">
      <c r="A436" s="5"/>
      <c r="B436" s="17"/>
      <c r="C436" s="18"/>
      <c r="D436" s="5"/>
      <c r="E436" s="20"/>
      <c r="F436" s="21"/>
      <c r="G436" s="21"/>
      <c r="H436" s="21"/>
      <c r="I436" s="5"/>
      <c r="J436" s="20"/>
      <c r="K436" s="5"/>
      <c r="L436" s="5"/>
      <c r="M436" s="5"/>
      <c r="N436" s="5"/>
      <c r="O436" s="24"/>
      <c r="P436" s="5"/>
      <c r="Q436" s="5"/>
      <c r="R436" s="5"/>
      <c r="S436" s="5"/>
      <c r="T436" s="5"/>
      <c r="U436" s="5"/>
      <c r="V436" s="5"/>
      <c r="W436" s="5"/>
      <c r="X436" s="5"/>
      <c r="Y436" s="5"/>
      <c r="Z436" s="5"/>
    </row>
    <row r="437">
      <c r="A437" s="5"/>
      <c r="B437" s="17"/>
      <c r="C437" s="18"/>
      <c r="D437" s="5"/>
      <c r="E437" s="20"/>
      <c r="F437" s="21"/>
      <c r="G437" s="21"/>
      <c r="H437" s="21"/>
      <c r="I437" s="5"/>
      <c r="J437" s="20"/>
      <c r="K437" s="5"/>
      <c r="L437" s="5"/>
      <c r="M437" s="5"/>
      <c r="N437" s="5"/>
      <c r="O437" s="24"/>
      <c r="P437" s="5"/>
      <c r="Q437" s="5"/>
      <c r="R437" s="5"/>
      <c r="S437" s="5"/>
      <c r="T437" s="5"/>
      <c r="U437" s="5"/>
      <c r="V437" s="5"/>
      <c r="W437" s="5"/>
      <c r="X437" s="5"/>
      <c r="Y437" s="5"/>
      <c r="Z437" s="5"/>
    </row>
    <row r="438">
      <c r="A438" s="5"/>
      <c r="B438" s="17"/>
      <c r="C438" s="18"/>
      <c r="D438" s="5"/>
      <c r="E438" s="20"/>
      <c r="F438" s="21"/>
      <c r="G438" s="21"/>
      <c r="H438" s="21"/>
      <c r="I438" s="5"/>
      <c r="J438" s="20"/>
      <c r="K438" s="5"/>
      <c r="L438" s="5"/>
      <c r="M438" s="5"/>
      <c r="N438" s="5"/>
      <c r="O438" s="24"/>
      <c r="P438" s="5"/>
      <c r="Q438" s="5"/>
      <c r="R438" s="5"/>
      <c r="S438" s="5"/>
      <c r="T438" s="5"/>
      <c r="U438" s="5"/>
      <c r="V438" s="5"/>
      <c r="W438" s="5"/>
      <c r="X438" s="5"/>
      <c r="Y438" s="5"/>
      <c r="Z438" s="5"/>
    </row>
    <row r="439">
      <c r="A439" s="5"/>
      <c r="B439" s="17"/>
      <c r="C439" s="18"/>
      <c r="D439" s="5"/>
      <c r="E439" s="20"/>
      <c r="F439" s="21"/>
      <c r="G439" s="21"/>
      <c r="H439" s="21"/>
      <c r="I439" s="5"/>
      <c r="J439" s="20"/>
      <c r="K439" s="5"/>
      <c r="L439" s="5"/>
      <c r="M439" s="5"/>
      <c r="N439" s="5"/>
      <c r="O439" s="24"/>
      <c r="P439" s="5"/>
      <c r="Q439" s="5"/>
      <c r="R439" s="5"/>
      <c r="S439" s="5"/>
      <c r="T439" s="5"/>
      <c r="U439" s="5"/>
      <c r="V439" s="5"/>
      <c r="W439" s="5"/>
      <c r="X439" s="5"/>
      <c r="Y439" s="5"/>
      <c r="Z439" s="5"/>
    </row>
    <row r="440">
      <c r="A440" s="5"/>
      <c r="B440" s="17"/>
      <c r="C440" s="18"/>
      <c r="D440" s="5"/>
      <c r="E440" s="20"/>
      <c r="F440" s="21"/>
      <c r="G440" s="21"/>
      <c r="H440" s="21"/>
      <c r="I440" s="5"/>
      <c r="J440" s="20"/>
      <c r="K440" s="5"/>
      <c r="L440" s="5"/>
      <c r="M440" s="5"/>
      <c r="N440" s="5"/>
      <c r="O440" s="24"/>
      <c r="P440" s="5"/>
      <c r="Q440" s="5"/>
      <c r="R440" s="5"/>
      <c r="S440" s="5"/>
      <c r="T440" s="5"/>
      <c r="U440" s="5"/>
      <c r="V440" s="5"/>
      <c r="W440" s="5"/>
      <c r="X440" s="5"/>
      <c r="Y440" s="5"/>
      <c r="Z440" s="5"/>
    </row>
    <row r="441">
      <c r="A441" s="5"/>
      <c r="B441" s="17"/>
      <c r="C441" s="18"/>
      <c r="D441" s="5"/>
      <c r="E441" s="20"/>
      <c r="F441" s="21"/>
      <c r="G441" s="21"/>
      <c r="H441" s="21"/>
      <c r="I441" s="5"/>
      <c r="J441" s="20"/>
      <c r="K441" s="5"/>
      <c r="L441" s="5"/>
      <c r="M441" s="5"/>
      <c r="N441" s="5"/>
      <c r="O441" s="24"/>
      <c r="P441" s="5"/>
      <c r="Q441" s="5"/>
      <c r="R441" s="5"/>
      <c r="S441" s="5"/>
      <c r="T441" s="5"/>
      <c r="U441" s="5"/>
      <c r="V441" s="5"/>
      <c r="W441" s="5"/>
      <c r="X441" s="5"/>
      <c r="Y441" s="5"/>
      <c r="Z441" s="5"/>
    </row>
    <row r="442">
      <c r="A442" s="5"/>
      <c r="B442" s="17"/>
      <c r="C442" s="18"/>
      <c r="D442" s="5"/>
      <c r="E442" s="20"/>
      <c r="F442" s="21"/>
      <c r="G442" s="21"/>
      <c r="H442" s="21"/>
      <c r="I442" s="5"/>
      <c r="J442" s="20"/>
      <c r="K442" s="5"/>
      <c r="L442" s="5"/>
      <c r="M442" s="5"/>
      <c r="N442" s="5"/>
      <c r="O442" s="24"/>
      <c r="P442" s="5"/>
      <c r="Q442" s="5"/>
      <c r="R442" s="5"/>
      <c r="S442" s="5"/>
      <c r="T442" s="5"/>
      <c r="U442" s="5"/>
      <c r="V442" s="5"/>
      <c r="W442" s="5"/>
      <c r="X442" s="5"/>
      <c r="Y442" s="5"/>
      <c r="Z442" s="5"/>
    </row>
    <row r="443">
      <c r="A443" s="5"/>
      <c r="B443" s="17"/>
      <c r="C443" s="18"/>
      <c r="D443" s="5"/>
      <c r="E443" s="20"/>
      <c r="F443" s="21"/>
      <c r="G443" s="21"/>
      <c r="H443" s="21"/>
      <c r="I443" s="5"/>
      <c r="J443" s="20"/>
      <c r="K443" s="5"/>
      <c r="L443" s="5"/>
      <c r="M443" s="5"/>
      <c r="N443" s="5"/>
      <c r="O443" s="24"/>
      <c r="P443" s="5"/>
      <c r="Q443" s="5"/>
      <c r="R443" s="5"/>
      <c r="S443" s="5"/>
      <c r="T443" s="5"/>
      <c r="U443" s="5"/>
      <c r="V443" s="5"/>
      <c r="W443" s="5"/>
      <c r="X443" s="5"/>
      <c r="Y443" s="5"/>
      <c r="Z443" s="5"/>
    </row>
    <row r="444">
      <c r="A444" s="5"/>
      <c r="B444" s="17"/>
      <c r="C444" s="18"/>
      <c r="D444" s="5"/>
      <c r="E444" s="20"/>
      <c r="F444" s="21"/>
      <c r="G444" s="21"/>
      <c r="H444" s="21"/>
      <c r="I444" s="5"/>
      <c r="J444" s="20"/>
      <c r="K444" s="5"/>
      <c r="L444" s="5"/>
      <c r="M444" s="5"/>
      <c r="N444" s="5"/>
      <c r="O444" s="24"/>
      <c r="P444" s="5"/>
      <c r="Q444" s="5"/>
      <c r="R444" s="5"/>
      <c r="S444" s="5"/>
      <c r="T444" s="5"/>
      <c r="U444" s="5"/>
      <c r="V444" s="5"/>
      <c r="W444" s="5"/>
      <c r="X444" s="5"/>
      <c r="Y444" s="5"/>
      <c r="Z444" s="5"/>
    </row>
    <row r="445">
      <c r="A445" s="5"/>
      <c r="B445" s="17"/>
      <c r="C445" s="18"/>
      <c r="D445" s="5"/>
      <c r="E445" s="20"/>
      <c r="F445" s="21"/>
      <c r="G445" s="21"/>
      <c r="H445" s="21"/>
      <c r="I445" s="5"/>
      <c r="J445" s="20"/>
      <c r="K445" s="5"/>
      <c r="L445" s="5"/>
      <c r="M445" s="5"/>
      <c r="N445" s="5"/>
      <c r="O445" s="24"/>
      <c r="P445" s="5"/>
      <c r="Q445" s="5"/>
      <c r="R445" s="5"/>
      <c r="S445" s="5"/>
      <c r="T445" s="5"/>
      <c r="U445" s="5"/>
      <c r="V445" s="5"/>
      <c r="W445" s="5"/>
      <c r="X445" s="5"/>
      <c r="Y445" s="5"/>
      <c r="Z445" s="5"/>
    </row>
    <row r="446">
      <c r="A446" s="5"/>
      <c r="B446" s="17"/>
      <c r="C446" s="18"/>
      <c r="D446" s="5"/>
      <c r="E446" s="20"/>
      <c r="F446" s="21"/>
      <c r="G446" s="21"/>
      <c r="H446" s="21"/>
      <c r="I446" s="5"/>
      <c r="J446" s="20"/>
      <c r="K446" s="5"/>
      <c r="L446" s="5"/>
      <c r="M446" s="5"/>
      <c r="N446" s="5"/>
      <c r="O446" s="24"/>
      <c r="P446" s="5"/>
      <c r="Q446" s="5"/>
      <c r="R446" s="5"/>
      <c r="S446" s="5"/>
      <c r="T446" s="5"/>
      <c r="U446" s="5"/>
      <c r="V446" s="5"/>
      <c r="W446" s="5"/>
      <c r="X446" s="5"/>
      <c r="Y446" s="5"/>
      <c r="Z446" s="5"/>
    </row>
    <row r="447">
      <c r="A447" s="5"/>
      <c r="B447" s="17"/>
      <c r="C447" s="18"/>
      <c r="D447" s="5"/>
      <c r="E447" s="20"/>
      <c r="F447" s="21"/>
      <c r="G447" s="21"/>
      <c r="H447" s="21"/>
      <c r="I447" s="5"/>
      <c r="J447" s="20"/>
      <c r="K447" s="5"/>
      <c r="L447" s="5"/>
      <c r="M447" s="5"/>
      <c r="N447" s="5"/>
      <c r="O447" s="24"/>
      <c r="P447" s="5"/>
      <c r="Q447" s="5"/>
      <c r="R447" s="5"/>
      <c r="S447" s="5"/>
      <c r="T447" s="5"/>
      <c r="U447" s="5"/>
      <c r="V447" s="5"/>
      <c r="W447" s="5"/>
      <c r="X447" s="5"/>
      <c r="Y447" s="5"/>
      <c r="Z447" s="5"/>
    </row>
    <row r="448">
      <c r="A448" s="5"/>
      <c r="B448" s="17"/>
      <c r="C448" s="18"/>
      <c r="D448" s="5"/>
      <c r="E448" s="20"/>
      <c r="F448" s="21"/>
      <c r="G448" s="21"/>
      <c r="H448" s="21"/>
      <c r="I448" s="5"/>
      <c r="J448" s="20"/>
      <c r="K448" s="5"/>
      <c r="L448" s="5"/>
      <c r="M448" s="5"/>
      <c r="N448" s="5"/>
      <c r="O448" s="24"/>
      <c r="P448" s="5"/>
      <c r="Q448" s="5"/>
      <c r="R448" s="5"/>
      <c r="S448" s="5"/>
      <c r="T448" s="5"/>
      <c r="U448" s="5"/>
      <c r="V448" s="5"/>
      <c r="W448" s="5"/>
      <c r="X448" s="5"/>
      <c r="Y448" s="5"/>
      <c r="Z448" s="5"/>
    </row>
    <row r="449">
      <c r="A449" s="5"/>
      <c r="B449" s="17"/>
      <c r="C449" s="18"/>
      <c r="D449" s="5"/>
      <c r="E449" s="20"/>
      <c r="F449" s="21"/>
      <c r="G449" s="21"/>
      <c r="H449" s="21"/>
      <c r="I449" s="5"/>
      <c r="J449" s="20"/>
      <c r="K449" s="5"/>
      <c r="L449" s="5"/>
      <c r="M449" s="5"/>
      <c r="N449" s="5"/>
      <c r="O449" s="24"/>
      <c r="P449" s="5"/>
      <c r="Q449" s="5"/>
      <c r="R449" s="5"/>
      <c r="S449" s="5"/>
      <c r="T449" s="5"/>
      <c r="U449" s="5"/>
      <c r="V449" s="5"/>
      <c r="W449" s="5"/>
      <c r="X449" s="5"/>
      <c r="Y449" s="5"/>
      <c r="Z449" s="5"/>
    </row>
    <row r="450">
      <c r="A450" s="5"/>
      <c r="B450" s="17"/>
      <c r="C450" s="18"/>
      <c r="D450" s="5"/>
      <c r="E450" s="20"/>
      <c r="F450" s="21"/>
      <c r="G450" s="21"/>
      <c r="H450" s="21"/>
      <c r="I450" s="5"/>
      <c r="J450" s="20"/>
      <c r="K450" s="5"/>
      <c r="L450" s="5"/>
      <c r="M450" s="5"/>
      <c r="N450" s="5"/>
      <c r="O450" s="24"/>
      <c r="P450" s="5"/>
      <c r="Q450" s="5"/>
      <c r="R450" s="5"/>
      <c r="S450" s="5"/>
      <c r="T450" s="5"/>
      <c r="U450" s="5"/>
      <c r="V450" s="5"/>
      <c r="W450" s="5"/>
      <c r="X450" s="5"/>
      <c r="Y450" s="5"/>
      <c r="Z450" s="5"/>
    </row>
    <row r="451">
      <c r="A451" s="5"/>
      <c r="B451" s="17"/>
      <c r="C451" s="18"/>
      <c r="D451" s="5"/>
      <c r="E451" s="20"/>
      <c r="F451" s="21"/>
      <c r="G451" s="21"/>
      <c r="H451" s="21"/>
      <c r="I451" s="5"/>
      <c r="J451" s="20"/>
      <c r="K451" s="5"/>
      <c r="L451" s="5"/>
      <c r="M451" s="5"/>
      <c r="N451" s="5"/>
      <c r="O451" s="24"/>
      <c r="P451" s="5"/>
      <c r="Q451" s="5"/>
      <c r="R451" s="5"/>
      <c r="S451" s="5"/>
      <c r="T451" s="5"/>
      <c r="U451" s="5"/>
      <c r="V451" s="5"/>
      <c r="W451" s="5"/>
      <c r="X451" s="5"/>
      <c r="Y451" s="5"/>
      <c r="Z451" s="5"/>
    </row>
    <row r="452">
      <c r="A452" s="5"/>
      <c r="B452" s="17"/>
      <c r="C452" s="18"/>
      <c r="D452" s="5"/>
      <c r="E452" s="20"/>
      <c r="F452" s="21"/>
      <c r="G452" s="21"/>
      <c r="H452" s="21"/>
      <c r="I452" s="5"/>
      <c r="J452" s="20"/>
      <c r="K452" s="5"/>
      <c r="L452" s="5"/>
      <c r="M452" s="5"/>
      <c r="N452" s="5"/>
      <c r="O452" s="24"/>
      <c r="P452" s="5"/>
      <c r="Q452" s="5"/>
      <c r="R452" s="5"/>
      <c r="S452" s="5"/>
      <c r="T452" s="5"/>
      <c r="U452" s="5"/>
      <c r="V452" s="5"/>
      <c r="W452" s="5"/>
      <c r="X452" s="5"/>
      <c r="Y452" s="5"/>
      <c r="Z452" s="5"/>
    </row>
    <row r="453">
      <c r="A453" s="5"/>
      <c r="B453" s="17"/>
      <c r="C453" s="18"/>
      <c r="D453" s="5"/>
      <c r="E453" s="20"/>
      <c r="F453" s="21"/>
      <c r="G453" s="21"/>
      <c r="H453" s="21"/>
      <c r="I453" s="5"/>
      <c r="J453" s="20"/>
      <c r="K453" s="5"/>
      <c r="L453" s="5"/>
      <c r="M453" s="5"/>
      <c r="N453" s="5"/>
      <c r="O453" s="24"/>
      <c r="P453" s="5"/>
      <c r="Q453" s="5"/>
      <c r="R453" s="5"/>
      <c r="S453" s="5"/>
      <c r="T453" s="5"/>
      <c r="U453" s="5"/>
      <c r="V453" s="5"/>
      <c r="W453" s="5"/>
      <c r="X453" s="5"/>
      <c r="Y453" s="5"/>
      <c r="Z453" s="5"/>
    </row>
    <row r="454">
      <c r="A454" s="5"/>
      <c r="B454" s="17"/>
      <c r="C454" s="18"/>
      <c r="D454" s="5"/>
      <c r="E454" s="20"/>
      <c r="F454" s="21"/>
      <c r="G454" s="21"/>
      <c r="H454" s="21"/>
      <c r="I454" s="5"/>
      <c r="J454" s="20"/>
      <c r="K454" s="5"/>
      <c r="L454" s="5"/>
      <c r="M454" s="5"/>
      <c r="N454" s="5"/>
      <c r="O454" s="24"/>
      <c r="P454" s="5"/>
      <c r="Q454" s="5"/>
      <c r="R454" s="5"/>
      <c r="S454" s="5"/>
      <c r="T454" s="5"/>
      <c r="U454" s="5"/>
      <c r="V454" s="5"/>
      <c r="W454" s="5"/>
      <c r="X454" s="5"/>
      <c r="Y454" s="5"/>
      <c r="Z454" s="5"/>
    </row>
    <row r="455">
      <c r="A455" s="5"/>
      <c r="B455" s="17"/>
      <c r="C455" s="18"/>
      <c r="D455" s="5"/>
      <c r="E455" s="20"/>
      <c r="F455" s="21"/>
      <c r="G455" s="21"/>
      <c r="H455" s="21"/>
      <c r="I455" s="5"/>
      <c r="J455" s="20"/>
      <c r="K455" s="5"/>
      <c r="L455" s="5"/>
      <c r="M455" s="5"/>
      <c r="N455" s="5"/>
      <c r="O455" s="24"/>
      <c r="P455" s="5"/>
      <c r="Q455" s="5"/>
      <c r="R455" s="5"/>
      <c r="S455" s="5"/>
      <c r="T455" s="5"/>
      <c r="U455" s="5"/>
      <c r="V455" s="5"/>
      <c r="W455" s="5"/>
      <c r="X455" s="5"/>
      <c r="Y455" s="5"/>
      <c r="Z455" s="5"/>
    </row>
    <row r="456">
      <c r="A456" s="5"/>
      <c r="B456" s="17"/>
      <c r="C456" s="18"/>
      <c r="D456" s="5"/>
      <c r="E456" s="20"/>
      <c r="F456" s="21"/>
      <c r="G456" s="21"/>
      <c r="H456" s="21"/>
      <c r="I456" s="5"/>
      <c r="J456" s="20"/>
      <c r="K456" s="5"/>
      <c r="L456" s="5"/>
      <c r="M456" s="5"/>
      <c r="N456" s="5"/>
      <c r="O456" s="24"/>
      <c r="P456" s="5"/>
      <c r="Q456" s="5"/>
      <c r="R456" s="5"/>
      <c r="S456" s="5"/>
      <c r="T456" s="5"/>
      <c r="U456" s="5"/>
      <c r="V456" s="5"/>
      <c r="W456" s="5"/>
      <c r="X456" s="5"/>
      <c r="Y456" s="5"/>
      <c r="Z456" s="5"/>
    </row>
    <row r="457">
      <c r="A457" s="5"/>
      <c r="B457" s="17"/>
      <c r="C457" s="18"/>
      <c r="D457" s="5"/>
      <c r="E457" s="20"/>
      <c r="F457" s="21"/>
      <c r="G457" s="21"/>
      <c r="H457" s="21"/>
      <c r="I457" s="5"/>
      <c r="J457" s="20"/>
      <c r="K457" s="5"/>
      <c r="L457" s="5"/>
      <c r="M457" s="5"/>
      <c r="N457" s="5"/>
      <c r="O457" s="24"/>
      <c r="P457" s="5"/>
      <c r="Q457" s="5"/>
      <c r="R457" s="5"/>
      <c r="S457" s="5"/>
      <c r="T457" s="5"/>
      <c r="U457" s="5"/>
      <c r="V457" s="5"/>
      <c r="W457" s="5"/>
      <c r="X457" s="5"/>
      <c r="Y457" s="5"/>
      <c r="Z457" s="5"/>
    </row>
    <row r="458">
      <c r="A458" s="5"/>
      <c r="B458" s="17"/>
      <c r="C458" s="18"/>
      <c r="D458" s="5"/>
      <c r="E458" s="20"/>
      <c r="F458" s="21"/>
      <c r="G458" s="21"/>
      <c r="H458" s="21"/>
      <c r="I458" s="5"/>
      <c r="J458" s="20"/>
      <c r="K458" s="5"/>
      <c r="L458" s="5"/>
      <c r="M458" s="5"/>
      <c r="N458" s="5"/>
      <c r="O458" s="24"/>
      <c r="P458" s="5"/>
      <c r="Q458" s="5"/>
      <c r="R458" s="5"/>
      <c r="S458" s="5"/>
      <c r="T458" s="5"/>
      <c r="U458" s="5"/>
      <c r="V458" s="5"/>
      <c r="W458" s="5"/>
      <c r="X458" s="5"/>
      <c r="Y458" s="5"/>
      <c r="Z458" s="5"/>
    </row>
    <row r="459">
      <c r="A459" s="5"/>
      <c r="B459" s="17"/>
      <c r="C459" s="18"/>
      <c r="D459" s="5"/>
      <c r="E459" s="20"/>
      <c r="F459" s="21"/>
      <c r="G459" s="21"/>
      <c r="H459" s="21"/>
      <c r="I459" s="5"/>
      <c r="J459" s="20"/>
      <c r="K459" s="5"/>
      <c r="L459" s="5"/>
      <c r="M459" s="5"/>
      <c r="N459" s="5"/>
      <c r="O459" s="24"/>
      <c r="P459" s="5"/>
      <c r="Q459" s="5"/>
      <c r="R459" s="5"/>
      <c r="S459" s="5"/>
      <c r="T459" s="5"/>
      <c r="U459" s="5"/>
      <c r="V459" s="5"/>
      <c r="W459" s="5"/>
      <c r="X459" s="5"/>
      <c r="Y459" s="5"/>
      <c r="Z459" s="5"/>
    </row>
    <row r="460">
      <c r="A460" s="5"/>
      <c r="B460" s="17"/>
      <c r="C460" s="18"/>
      <c r="D460" s="5"/>
      <c r="E460" s="20"/>
      <c r="F460" s="21"/>
      <c r="G460" s="21"/>
      <c r="H460" s="21"/>
      <c r="I460" s="5"/>
      <c r="J460" s="20"/>
      <c r="K460" s="5"/>
      <c r="L460" s="5"/>
      <c r="M460" s="5"/>
      <c r="N460" s="5"/>
      <c r="O460" s="24"/>
      <c r="P460" s="5"/>
      <c r="Q460" s="5"/>
      <c r="R460" s="5"/>
      <c r="S460" s="5"/>
      <c r="T460" s="5"/>
      <c r="U460" s="5"/>
      <c r="V460" s="5"/>
      <c r="W460" s="5"/>
      <c r="X460" s="5"/>
      <c r="Y460" s="5"/>
      <c r="Z460" s="5"/>
    </row>
    <row r="461">
      <c r="A461" s="5"/>
      <c r="B461" s="17"/>
      <c r="C461" s="18"/>
      <c r="D461" s="5"/>
      <c r="E461" s="20"/>
      <c r="F461" s="21"/>
      <c r="G461" s="21"/>
      <c r="H461" s="21"/>
      <c r="I461" s="5"/>
      <c r="J461" s="20"/>
      <c r="K461" s="5"/>
      <c r="L461" s="5"/>
      <c r="M461" s="5"/>
      <c r="N461" s="5"/>
      <c r="O461" s="24"/>
      <c r="P461" s="5"/>
      <c r="Q461" s="5"/>
      <c r="R461" s="5"/>
      <c r="S461" s="5"/>
      <c r="T461" s="5"/>
      <c r="U461" s="5"/>
      <c r="V461" s="5"/>
      <c r="W461" s="5"/>
      <c r="X461" s="5"/>
      <c r="Y461" s="5"/>
      <c r="Z461" s="5"/>
    </row>
    <row r="462">
      <c r="A462" s="5"/>
      <c r="B462" s="17"/>
      <c r="C462" s="18"/>
      <c r="D462" s="5"/>
      <c r="E462" s="20"/>
      <c r="F462" s="21"/>
      <c r="G462" s="21"/>
      <c r="H462" s="21"/>
      <c r="I462" s="5"/>
      <c r="J462" s="20"/>
      <c r="K462" s="5"/>
      <c r="L462" s="5"/>
      <c r="M462" s="5"/>
      <c r="N462" s="5"/>
      <c r="O462" s="24"/>
      <c r="P462" s="5"/>
      <c r="Q462" s="5"/>
      <c r="R462" s="5"/>
      <c r="S462" s="5"/>
      <c r="T462" s="5"/>
      <c r="U462" s="5"/>
      <c r="V462" s="5"/>
      <c r="W462" s="5"/>
      <c r="X462" s="5"/>
      <c r="Y462" s="5"/>
      <c r="Z462" s="5"/>
    </row>
    <row r="463">
      <c r="A463" s="5"/>
      <c r="B463" s="17"/>
      <c r="C463" s="18"/>
      <c r="D463" s="5"/>
      <c r="E463" s="20"/>
      <c r="F463" s="21"/>
      <c r="G463" s="21"/>
      <c r="H463" s="21"/>
      <c r="I463" s="5"/>
      <c r="J463" s="20"/>
      <c r="K463" s="5"/>
      <c r="L463" s="5"/>
      <c r="M463" s="5"/>
      <c r="N463" s="5"/>
      <c r="O463" s="24"/>
      <c r="P463" s="5"/>
      <c r="Q463" s="5"/>
      <c r="R463" s="5"/>
      <c r="S463" s="5"/>
      <c r="T463" s="5"/>
      <c r="U463" s="5"/>
      <c r="V463" s="5"/>
      <c r="W463" s="5"/>
      <c r="X463" s="5"/>
      <c r="Y463" s="5"/>
      <c r="Z463" s="5"/>
    </row>
    <row r="464">
      <c r="A464" s="5"/>
      <c r="B464" s="17"/>
      <c r="C464" s="18"/>
      <c r="D464" s="5"/>
      <c r="E464" s="20"/>
      <c r="F464" s="21"/>
      <c r="G464" s="21"/>
      <c r="H464" s="21"/>
      <c r="I464" s="5"/>
      <c r="J464" s="20"/>
      <c r="K464" s="5"/>
      <c r="L464" s="5"/>
      <c r="M464" s="5"/>
      <c r="N464" s="5"/>
      <c r="O464" s="24"/>
      <c r="P464" s="5"/>
      <c r="Q464" s="5"/>
      <c r="R464" s="5"/>
      <c r="S464" s="5"/>
      <c r="T464" s="5"/>
      <c r="U464" s="5"/>
      <c r="V464" s="5"/>
      <c r="W464" s="5"/>
      <c r="X464" s="5"/>
      <c r="Y464" s="5"/>
      <c r="Z464" s="5"/>
    </row>
    <row r="465">
      <c r="A465" s="5"/>
      <c r="B465" s="17"/>
      <c r="C465" s="18"/>
      <c r="D465" s="5"/>
      <c r="E465" s="20"/>
      <c r="F465" s="21"/>
      <c r="G465" s="21"/>
      <c r="H465" s="21"/>
      <c r="I465" s="5"/>
      <c r="J465" s="20"/>
      <c r="K465" s="5"/>
      <c r="L465" s="5"/>
      <c r="M465" s="5"/>
      <c r="N465" s="5"/>
      <c r="O465" s="24"/>
      <c r="P465" s="5"/>
      <c r="Q465" s="5"/>
      <c r="R465" s="5"/>
      <c r="S465" s="5"/>
      <c r="T465" s="5"/>
      <c r="U465" s="5"/>
      <c r="V465" s="5"/>
      <c r="W465" s="5"/>
      <c r="X465" s="5"/>
      <c r="Y465" s="5"/>
      <c r="Z465" s="5"/>
    </row>
    <row r="466">
      <c r="A466" s="5"/>
      <c r="B466" s="17"/>
      <c r="C466" s="18"/>
      <c r="D466" s="5"/>
      <c r="E466" s="20"/>
      <c r="F466" s="21"/>
      <c r="G466" s="21"/>
      <c r="H466" s="21"/>
      <c r="I466" s="5"/>
      <c r="J466" s="20"/>
      <c r="K466" s="5"/>
      <c r="L466" s="5"/>
      <c r="M466" s="5"/>
      <c r="N466" s="5"/>
      <c r="O466" s="24"/>
      <c r="P466" s="5"/>
      <c r="Q466" s="5"/>
      <c r="R466" s="5"/>
      <c r="S466" s="5"/>
      <c r="T466" s="5"/>
      <c r="U466" s="5"/>
      <c r="V466" s="5"/>
      <c r="W466" s="5"/>
      <c r="X466" s="5"/>
      <c r="Y466" s="5"/>
      <c r="Z466" s="5"/>
    </row>
    <row r="467">
      <c r="A467" s="5"/>
      <c r="B467" s="17"/>
      <c r="C467" s="18"/>
      <c r="D467" s="5"/>
      <c r="E467" s="20"/>
      <c r="F467" s="21"/>
      <c r="G467" s="21"/>
      <c r="H467" s="21"/>
      <c r="I467" s="5"/>
      <c r="J467" s="20"/>
      <c r="K467" s="5"/>
      <c r="L467" s="5"/>
      <c r="M467" s="5"/>
      <c r="N467" s="5"/>
      <c r="O467" s="24"/>
      <c r="P467" s="5"/>
      <c r="Q467" s="5"/>
      <c r="R467" s="5"/>
      <c r="S467" s="5"/>
      <c r="T467" s="5"/>
      <c r="U467" s="5"/>
      <c r="V467" s="5"/>
      <c r="W467" s="5"/>
      <c r="X467" s="5"/>
      <c r="Y467" s="5"/>
      <c r="Z467" s="5"/>
    </row>
    <row r="468">
      <c r="A468" s="5"/>
      <c r="B468" s="17"/>
      <c r="C468" s="18"/>
      <c r="D468" s="5"/>
      <c r="E468" s="20"/>
      <c r="F468" s="21"/>
      <c r="G468" s="21"/>
      <c r="H468" s="21"/>
      <c r="I468" s="5"/>
      <c r="J468" s="20"/>
      <c r="K468" s="5"/>
      <c r="L468" s="5"/>
      <c r="M468" s="5"/>
      <c r="N468" s="5"/>
      <c r="O468" s="24"/>
      <c r="P468" s="5"/>
      <c r="Q468" s="5"/>
      <c r="R468" s="5"/>
      <c r="S468" s="5"/>
      <c r="T468" s="5"/>
      <c r="U468" s="5"/>
      <c r="V468" s="5"/>
      <c r="W468" s="5"/>
      <c r="X468" s="5"/>
      <c r="Y468" s="5"/>
      <c r="Z468" s="5"/>
    </row>
    <row r="469">
      <c r="A469" s="5"/>
      <c r="B469" s="17"/>
      <c r="C469" s="18"/>
      <c r="D469" s="5"/>
      <c r="E469" s="20"/>
      <c r="F469" s="21"/>
      <c r="G469" s="21"/>
      <c r="H469" s="21"/>
      <c r="I469" s="5"/>
      <c r="J469" s="20"/>
      <c r="K469" s="5"/>
      <c r="L469" s="5"/>
      <c r="M469" s="5"/>
      <c r="N469" s="5"/>
      <c r="O469" s="24"/>
      <c r="P469" s="5"/>
      <c r="Q469" s="5"/>
      <c r="R469" s="5"/>
      <c r="S469" s="5"/>
      <c r="T469" s="5"/>
      <c r="U469" s="5"/>
      <c r="V469" s="5"/>
      <c r="W469" s="5"/>
      <c r="X469" s="5"/>
      <c r="Y469" s="5"/>
      <c r="Z469" s="5"/>
    </row>
    <row r="470">
      <c r="A470" s="5"/>
      <c r="B470" s="17"/>
      <c r="C470" s="18"/>
      <c r="D470" s="5"/>
      <c r="E470" s="20"/>
      <c r="F470" s="21"/>
      <c r="G470" s="21"/>
      <c r="H470" s="21"/>
      <c r="I470" s="5"/>
      <c r="J470" s="20"/>
      <c r="K470" s="5"/>
      <c r="L470" s="5"/>
      <c r="M470" s="5"/>
      <c r="N470" s="5"/>
      <c r="O470" s="24"/>
      <c r="P470" s="5"/>
      <c r="Q470" s="5"/>
      <c r="R470" s="5"/>
      <c r="S470" s="5"/>
      <c r="T470" s="5"/>
      <c r="U470" s="5"/>
      <c r="V470" s="5"/>
      <c r="W470" s="5"/>
      <c r="X470" s="5"/>
      <c r="Y470" s="5"/>
      <c r="Z470" s="5"/>
    </row>
    <row r="471">
      <c r="A471" s="5"/>
      <c r="B471" s="17"/>
      <c r="C471" s="18"/>
      <c r="D471" s="5"/>
      <c r="E471" s="20"/>
      <c r="F471" s="21"/>
      <c r="G471" s="21"/>
      <c r="H471" s="21"/>
      <c r="I471" s="5"/>
      <c r="J471" s="20"/>
      <c r="K471" s="5"/>
      <c r="L471" s="5"/>
      <c r="M471" s="5"/>
      <c r="N471" s="5"/>
      <c r="O471" s="24"/>
      <c r="P471" s="5"/>
      <c r="Q471" s="5"/>
      <c r="R471" s="5"/>
      <c r="S471" s="5"/>
      <c r="T471" s="5"/>
      <c r="U471" s="5"/>
      <c r="V471" s="5"/>
      <c r="W471" s="5"/>
      <c r="X471" s="5"/>
      <c r="Y471" s="5"/>
      <c r="Z471" s="5"/>
    </row>
    <row r="472">
      <c r="A472" s="5"/>
      <c r="B472" s="17"/>
      <c r="C472" s="18"/>
      <c r="D472" s="5"/>
      <c r="E472" s="20"/>
      <c r="F472" s="21"/>
      <c r="G472" s="21"/>
      <c r="H472" s="21"/>
      <c r="I472" s="5"/>
      <c r="J472" s="20"/>
      <c r="K472" s="5"/>
      <c r="L472" s="5"/>
      <c r="M472" s="5"/>
      <c r="N472" s="5"/>
      <c r="O472" s="24"/>
      <c r="P472" s="5"/>
      <c r="Q472" s="5"/>
      <c r="R472" s="5"/>
      <c r="S472" s="5"/>
      <c r="T472" s="5"/>
      <c r="U472" s="5"/>
      <c r="V472" s="5"/>
      <c r="W472" s="5"/>
      <c r="X472" s="5"/>
      <c r="Y472" s="5"/>
      <c r="Z472" s="5"/>
    </row>
    <row r="473">
      <c r="A473" s="5"/>
      <c r="B473" s="17"/>
      <c r="C473" s="18"/>
      <c r="D473" s="5"/>
      <c r="E473" s="20"/>
      <c r="F473" s="21"/>
      <c r="G473" s="21"/>
      <c r="H473" s="21"/>
      <c r="I473" s="5"/>
      <c r="J473" s="20"/>
      <c r="K473" s="5"/>
      <c r="L473" s="5"/>
      <c r="M473" s="5"/>
      <c r="N473" s="5"/>
      <c r="O473" s="24"/>
      <c r="P473" s="5"/>
      <c r="Q473" s="5"/>
      <c r="R473" s="5"/>
      <c r="S473" s="5"/>
      <c r="T473" s="5"/>
      <c r="U473" s="5"/>
      <c r="V473" s="5"/>
      <c r="W473" s="5"/>
      <c r="X473" s="5"/>
      <c r="Y473" s="5"/>
      <c r="Z473" s="5"/>
    </row>
    <row r="474">
      <c r="A474" s="5"/>
      <c r="B474" s="17"/>
      <c r="C474" s="18"/>
      <c r="D474" s="5"/>
      <c r="E474" s="20"/>
      <c r="F474" s="21"/>
      <c r="G474" s="21"/>
      <c r="H474" s="21"/>
      <c r="I474" s="5"/>
      <c r="J474" s="20"/>
      <c r="K474" s="5"/>
      <c r="L474" s="5"/>
      <c r="M474" s="5"/>
      <c r="N474" s="5"/>
      <c r="O474" s="24"/>
      <c r="P474" s="5"/>
      <c r="Q474" s="5"/>
      <c r="R474" s="5"/>
      <c r="S474" s="5"/>
      <c r="T474" s="5"/>
      <c r="U474" s="5"/>
      <c r="V474" s="5"/>
      <c r="W474" s="5"/>
      <c r="X474" s="5"/>
      <c r="Y474" s="5"/>
      <c r="Z474" s="5"/>
    </row>
    <row r="475">
      <c r="A475" s="5"/>
      <c r="B475" s="17"/>
      <c r="C475" s="18"/>
      <c r="D475" s="5"/>
      <c r="E475" s="20"/>
      <c r="F475" s="21"/>
      <c r="G475" s="21"/>
      <c r="H475" s="21"/>
      <c r="I475" s="5"/>
      <c r="J475" s="20"/>
      <c r="K475" s="5"/>
      <c r="L475" s="5"/>
      <c r="M475" s="5"/>
      <c r="N475" s="5"/>
      <c r="O475" s="24"/>
      <c r="P475" s="5"/>
      <c r="Q475" s="5"/>
      <c r="R475" s="5"/>
      <c r="S475" s="5"/>
      <c r="T475" s="5"/>
      <c r="U475" s="5"/>
      <c r="V475" s="5"/>
      <c r="W475" s="5"/>
      <c r="X475" s="5"/>
      <c r="Y475" s="5"/>
      <c r="Z475" s="5"/>
    </row>
    <row r="476">
      <c r="A476" s="5"/>
      <c r="B476" s="17"/>
      <c r="C476" s="18"/>
      <c r="D476" s="5"/>
      <c r="E476" s="20"/>
      <c r="F476" s="21"/>
      <c r="G476" s="21"/>
      <c r="H476" s="21"/>
      <c r="I476" s="5"/>
      <c r="J476" s="20"/>
      <c r="K476" s="5"/>
      <c r="L476" s="5"/>
      <c r="M476" s="5"/>
      <c r="N476" s="5"/>
      <c r="O476" s="24"/>
      <c r="P476" s="5"/>
      <c r="Q476" s="5"/>
      <c r="R476" s="5"/>
      <c r="S476" s="5"/>
      <c r="T476" s="5"/>
      <c r="U476" s="5"/>
      <c r="V476" s="5"/>
      <c r="W476" s="5"/>
      <c r="X476" s="5"/>
      <c r="Y476" s="5"/>
      <c r="Z476" s="5"/>
    </row>
    <row r="477">
      <c r="A477" s="5"/>
      <c r="B477" s="17"/>
      <c r="C477" s="18"/>
      <c r="D477" s="5"/>
      <c r="E477" s="20"/>
      <c r="F477" s="21"/>
      <c r="G477" s="21"/>
      <c r="H477" s="21"/>
      <c r="I477" s="5"/>
      <c r="J477" s="20"/>
      <c r="K477" s="5"/>
      <c r="L477" s="5"/>
      <c r="M477" s="5"/>
      <c r="N477" s="5"/>
      <c r="O477" s="24"/>
      <c r="P477" s="5"/>
      <c r="Q477" s="5"/>
      <c r="R477" s="5"/>
      <c r="S477" s="5"/>
      <c r="T477" s="5"/>
      <c r="U477" s="5"/>
      <c r="V477" s="5"/>
      <c r="W477" s="5"/>
      <c r="X477" s="5"/>
      <c r="Y477" s="5"/>
      <c r="Z477" s="5"/>
    </row>
    <row r="478">
      <c r="A478" s="5"/>
      <c r="B478" s="17"/>
      <c r="C478" s="18"/>
      <c r="D478" s="5"/>
      <c r="E478" s="20"/>
      <c r="F478" s="21"/>
      <c r="G478" s="21"/>
      <c r="H478" s="21"/>
      <c r="I478" s="5"/>
      <c r="J478" s="20"/>
      <c r="K478" s="5"/>
      <c r="L478" s="5"/>
      <c r="M478" s="5"/>
      <c r="N478" s="5"/>
      <c r="O478" s="24"/>
      <c r="P478" s="5"/>
      <c r="Q478" s="5"/>
      <c r="R478" s="5"/>
      <c r="S478" s="5"/>
      <c r="T478" s="5"/>
      <c r="U478" s="5"/>
      <c r="V478" s="5"/>
      <c r="W478" s="5"/>
      <c r="X478" s="5"/>
      <c r="Y478" s="5"/>
      <c r="Z478" s="5"/>
    </row>
    <row r="479">
      <c r="A479" s="5"/>
      <c r="B479" s="17"/>
      <c r="C479" s="18"/>
      <c r="D479" s="5"/>
      <c r="E479" s="20"/>
      <c r="F479" s="21"/>
      <c r="G479" s="21"/>
      <c r="H479" s="21"/>
      <c r="I479" s="5"/>
      <c r="J479" s="20"/>
      <c r="K479" s="5"/>
      <c r="L479" s="5"/>
      <c r="M479" s="5"/>
      <c r="N479" s="5"/>
      <c r="O479" s="24"/>
      <c r="P479" s="5"/>
      <c r="Q479" s="5"/>
      <c r="R479" s="5"/>
      <c r="S479" s="5"/>
      <c r="T479" s="5"/>
      <c r="U479" s="5"/>
      <c r="V479" s="5"/>
      <c r="W479" s="5"/>
      <c r="X479" s="5"/>
      <c r="Y479" s="5"/>
      <c r="Z479" s="5"/>
    </row>
    <row r="480">
      <c r="A480" s="5"/>
      <c r="B480" s="17"/>
      <c r="C480" s="18"/>
      <c r="D480" s="5"/>
      <c r="E480" s="20"/>
      <c r="F480" s="21"/>
      <c r="G480" s="21"/>
      <c r="H480" s="21"/>
      <c r="I480" s="5"/>
      <c r="J480" s="20"/>
      <c r="K480" s="5"/>
      <c r="L480" s="5"/>
      <c r="M480" s="5"/>
      <c r="N480" s="5"/>
      <c r="O480" s="24"/>
      <c r="P480" s="5"/>
      <c r="Q480" s="5"/>
      <c r="R480" s="5"/>
      <c r="S480" s="5"/>
      <c r="T480" s="5"/>
      <c r="U480" s="5"/>
      <c r="V480" s="5"/>
      <c r="W480" s="5"/>
      <c r="X480" s="5"/>
      <c r="Y480" s="5"/>
      <c r="Z480" s="5"/>
    </row>
    <row r="481">
      <c r="A481" s="5"/>
      <c r="B481" s="17"/>
      <c r="C481" s="18"/>
      <c r="D481" s="5"/>
      <c r="E481" s="20"/>
      <c r="F481" s="21"/>
      <c r="G481" s="21"/>
      <c r="H481" s="21"/>
      <c r="I481" s="5"/>
      <c r="J481" s="20"/>
      <c r="K481" s="5"/>
      <c r="L481" s="5"/>
      <c r="M481" s="5"/>
      <c r="N481" s="5"/>
      <c r="O481" s="24"/>
      <c r="P481" s="5"/>
      <c r="Q481" s="5"/>
      <c r="R481" s="5"/>
      <c r="S481" s="5"/>
      <c r="T481" s="5"/>
      <c r="U481" s="5"/>
      <c r="V481" s="5"/>
      <c r="W481" s="5"/>
      <c r="X481" s="5"/>
      <c r="Y481" s="5"/>
      <c r="Z481" s="5"/>
    </row>
    <row r="482">
      <c r="A482" s="5"/>
      <c r="B482" s="17"/>
      <c r="C482" s="18"/>
      <c r="D482" s="5"/>
      <c r="E482" s="20"/>
      <c r="F482" s="21"/>
      <c r="G482" s="21"/>
      <c r="H482" s="21"/>
      <c r="I482" s="5"/>
      <c r="J482" s="20"/>
      <c r="K482" s="5"/>
      <c r="L482" s="5"/>
      <c r="M482" s="5"/>
      <c r="N482" s="5"/>
      <c r="O482" s="24"/>
      <c r="P482" s="5"/>
      <c r="Q482" s="5"/>
      <c r="R482" s="5"/>
      <c r="S482" s="5"/>
      <c r="T482" s="5"/>
      <c r="U482" s="5"/>
      <c r="V482" s="5"/>
      <c r="W482" s="5"/>
      <c r="X482" s="5"/>
      <c r="Y482" s="5"/>
      <c r="Z482" s="5"/>
    </row>
    <row r="483">
      <c r="A483" s="5"/>
      <c r="B483" s="17"/>
      <c r="C483" s="18"/>
      <c r="D483" s="5"/>
      <c r="E483" s="20"/>
      <c r="F483" s="21"/>
      <c r="G483" s="21"/>
      <c r="H483" s="21"/>
      <c r="I483" s="5"/>
      <c r="J483" s="20"/>
      <c r="K483" s="5"/>
      <c r="L483" s="5"/>
      <c r="M483" s="5"/>
      <c r="N483" s="5"/>
      <c r="O483" s="24"/>
      <c r="P483" s="5"/>
      <c r="Q483" s="5"/>
      <c r="R483" s="5"/>
      <c r="S483" s="5"/>
      <c r="T483" s="5"/>
      <c r="U483" s="5"/>
      <c r="V483" s="5"/>
      <c r="W483" s="5"/>
      <c r="X483" s="5"/>
      <c r="Y483" s="5"/>
      <c r="Z483" s="5"/>
    </row>
    <row r="484">
      <c r="A484" s="5"/>
      <c r="B484" s="17"/>
      <c r="C484" s="18"/>
      <c r="D484" s="5"/>
      <c r="E484" s="20"/>
      <c r="F484" s="21"/>
      <c r="G484" s="21"/>
      <c r="H484" s="21"/>
      <c r="I484" s="5"/>
      <c r="J484" s="20"/>
      <c r="K484" s="5"/>
      <c r="L484" s="5"/>
      <c r="M484" s="5"/>
      <c r="N484" s="5"/>
      <c r="O484" s="24"/>
      <c r="P484" s="5"/>
      <c r="Q484" s="5"/>
      <c r="R484" s="5"/>
      <c r="S484" s="5"/>
      <c r="T484" s="5"/>
      <c r="U484" s="5"/>
      <c r="V484" s="5"/>
      <c r="W484" s="5"/>
      <c r="X484" s="5"/>
      <c r="Y484" s="5"/>
      <c r="Z484" s="5"/>
    </row>
    <row r="485">
      <c r="A485" s="5"/>
      <c r="B485" s="17"/>
      <c r="C485" s="18"/>
      <c r="D485" s="5"/>
      <c r="E485" s="20"/>
      <c r="F485" s="21"/>
      <c r="G485" s="21"/>
      <c r="H485" s="21"/>
      <c r="I485" s="5"/>
      <c r="J485" s="20"/>
      <c r="K485" s="5"/>
      <c r="L485" s="5"/>
      <c r="M485" s="5"/>
      <c r="N485" s="5"/>
      <c r="O485" s="24"/>
      <c r="P485" s="5"/>
      <c r="Q485" s="5"/>
      <c r="R485" s="5"/>
      <c r="S485" s="5"/>
      <c r="T485" s="5"/>
      <c r="U485" s="5"/>
      <c r="V485" s="5"/>
      <c r="W485" s="5"/>
      <c r="X485" s="5"/>
      <c r="Y485" s="5"/>
      <c r="Z485" s="5"/>
    </row>
    <row r="486">
      <c r="A486" s="5"/>
      <c r="B486" s="17"/>
      <c r="C486" s="18"/>
      <c r="D486" s="5"/>
      <c r="E486" s="20"/>
      <c r="F486" s="21"/>
      <c r="G486" s="21"/>
      <c r="H486" s="21"/>
      <c r="I486" s="5"/>
      <c r="J486" s="20"/>
      <c r="K486" s="5"/>
      <c r="L486" s="5"/>
      <c r="M486" s="5"/>
      <c r="N486" s="5"/>
      <c r="O486" s="24"/>
      <c r="P486" s="5"/>
      <c r="Q486" s="5"/>
      <c r="R486" s="5"/>
      <c r="S486" s="5"/>
      <c r="T486" s="5"/>
      <c r="U486" s="5"/>
      <c r="V486" s="5"/>
      <c r="W486" s="5"/>
      <c r="X486" s="5"/>
      <c r="Y486" s="5"/>
      <c r="Z486" s="5"/>
    </row>
    <row r="487">
      <c r="A487" s="5"/>
      <c r="B487" s="17"/>
      <c r="C487" s="18"/>
      <c r="D487" s="5"/>
      <c r="E487" s="20"/>
      <c r="F487" s="21"/>
      <c r="G487" s="21"/>
      <c r="H487" s="21"/>
      <c r="I487" s="5"/>
      <c r="J487" s="20"/>
      <c r="K487" s="5"/>
      <c r="L487" s="5"/>
      <c r="M487" s="5"/>
      <c r="N487" s="5"/>
      <c r="O487" s="24"/>
      <c r="P487" s="5"/>
      <c r="Q487" s="5"/>
      <c r="R487" s="5"/>
      <c r="S487" s="5"/>
      <c r="T487" s="5"/>
      <c r="U487" s="5"/>
      <c r="V487" s="5"/>
      <c r="W487" s="5"/>
      <c r="X487" s="5"/>
      <c r="Y487" s="5"/>
      <c r="Z487" s="5"/>
    </row>
    <row r="488">
      <c r="A488" s="5"/>
      <c r="B488" s="17"/>
      <c r="C488" s="18"/>
      <c r="D488" s="5"/>
      <c r="E488" s="20"/>
      <c r="F488" s="21"/>
      <c r="G488" s="21"/>
      <c r="H488" s="21"/>
      <c r="I488" s="5"/>
      <c r="J488" s="20"/>
      <c r="K488" s="5"/>
      <c r="L488" s="5"/>
      <c r="M488" s="5"/>
      <c r="N488" s="5"/>
      <c r="O488" s="24"/>
      <c r="P488" s="5"/>
      <c r="Q488" s="5"/>
      <c r="R488" s="5"/>
      <c r="S488" s="5"/>
      <c r="T488" s="5"/>
      <c r="U488" s="5"/>
      <c r="V488" s="5"/>
      <c r="W488" s="5"/>
      <c r="X488" s="5"/>
      <c r="Y488" s="5"/>
      <c r="Z488" s="5"/>
    </row>
    <row r="489">
      <c r="A489" s="5"/>
      <c r="B489" s="17"/>
      <c r="C489" s="18"/>
      <c r="D489" s="5"/>
      <c r="E489" s="20"/>
      <c r="F489" s="21"/>
      <c r="G489" s="21"/>
      <c r="H489" s="21"/>
      <c r="I489" s="5"/>
      <c r="J489" s="20"/>
      <c r="K489" s="5"/>
      <c r="L489" s="5"/>
      <c r="M489" s="5"/>
      <c r="N489" s="5"/>
      <c r="O489" s="24"/>
      <c r="P489" s="5"/>
      <c r="Q489" s="5"/>
      <c r="R489" s="5"/>
      <c r="S489" s="5"/>
      <c r="T489" s="5"/>
      <c r="U489" s="5"/>
      <c r="V489" s="5"/>
      <c r="W489" s="5"/>
      <c r="X489" s="5"/>
      <c r="Y489" s="5"/>
      <c r="Z489" s="5"/>
    </row>
    <row r="490">
      <c r="A490" s="5"/>
      <c r="B490" s="17"/>
      <c r="C490" s="18"/>
      <c r="D490" s="5"/>
      <c r="E490" s="20"/>
      <c r="F490" s="21"/>
      <c r="G490" s="21"/>
      <c r="H490" s="21"/>
      <c r="I490" s="5"/>
      <c r="J490" s="20"/>
      <c r="K490" s="5"/>
      <c r="L490" s="5"/>
      <c r="M490" s="5"/>
      <c r="N490" s="5"/>
      <c r="O490" s="24"/>
      <c r="P490" s="5"/>
      <c r="Q490" s="5"/>
      <c r="R490" s="5"/>
      <c r="S490" s="5"/>
      <c r="T490" s="5"/>
      <c r="U490" s="5"/>
      <c r="V490" s="5"/>
      <c r="W490" s="5"/>
      <c r="X490" s="5"/>
      <c r="Y490" s="5"/>
      <c r="Z490" s="5"/>
    </row>
    <row r="491">
      <c r="A491" s="5"/>
      <c r="B491" s="17"/>
      <c r="C491" s="18"/>
      <c r="D491" s="5"/>
      <c r="E491" s="20"/>
      <c r="F491" s="21"/>
      <c r="G491" s="21"/>
      <c r="H491" s="21"/>
      <c r="I491" s="5"/>
      <c r="J491" s="20"/>
      <c r="K491" s="5"/>
      <c r="L491" s="5"/>
      <c r="M491" s="5"/>
      <c r="N491" s="5"/>
      <c r="O491" s="24"/>
      <c r="P491" s="5"/>
      <c r="Q491" s="5"/>
      <c r="R491" s="5"/>
      <c r="S491" s="5"/>
      <c r="T491" s="5"/>
      <c r="U491" s="5"/>
      <c r="V491" s="5"/>
      <c r="W491" s="5"/>
      <c r="X491" s="5"/>
      <c r="Y491" s="5"/>
      <c r="Z491" s="5"/>
    </row>
    <row r="492">
      <c r="A492" s="5"/>
      <c r="B492" s="17"/>
      <c r="C492" s="18"/>
      <c r="D492" s="5"/>
      <c r="E492" s="20"/>
      <c r="F492" s="21"/>
      <c r="G492" s="21"/>
      <c r="H492" s="21"/>
      <c r="I492" s="5"/>
      <c r="J492" s="20"/>
      <c r="K492" s="5"/>
      <c r="L492" s="5"/>
      <c r="M492" s="5"/>
      <c r="N492" s="5"/>
      <c r="O492" s="24"/>
      <c r="P492" s="5"/>
      <c r="Q492" s="5"/>
      <c r="R492" s="5"/>
      <c r="S492" s="5"/>
      <c r="T492" s="5"/>
      <c r="U492" s="5"/>
      <c r="V492" s="5"/>
      <c r="W492" s="5"/>
      <c r="X492" s="5"/>
      <c r="Y492" s="5"/>
      <c r="Z492" s="5"/>
    </row>
    <row r="493">
      <c r="A493" s="5"/>
      <c r="B493" s="17"/>
      <c r="C493" s="18"/>
      <c r="D493" s="5"/>
      <c r="E493" s="20"/>
      <c r="F493" s="21"/>
      <c r="G493" s="21"/>
      <c r="H493" s="21"/>
      <c r="I493" s="5"/>
      <c r="J493" s="20"/>
      <c r="K493" s="5"/>
      <c r="L493" s="5"/>
      <c r="M493" s="5"/>
      <c r="N493" s="5"/>
      <c r="O493" s="24"/>
      <c r="P493" s="5"/>
      <c r="Q493" s="5"/>
      <c r="R493" s="5"/>
      <c r="S493" s="5"/>
      <c r="T493" s="5"/>
      <c r="U493" s="5"/>
      <c r="V493" s="5"/>
      <c r="W493" s="5"/>
      <c r="X493" s="5"/>
      <c r="Y493" s="5"/>
      <c r="Z493" s="5"/>
    </row>
    <row r="494">
      <c r="A494" s="5"/>
      <c r="B494" s="17"/>
      <c r="C494" s="18"/>
      <c r="D494" s="5"/>
      <c r="E494" s="20"/>
      <c r="F494" s="21"/>
      <c r="G494" s="21"/>
      <c r="H494" s="21"/>
      <c r="I494" s="5"/>
      <c r="J494" s="20"/>
      <c r="K494" s="5"/>
      <c r="L494" s="5"/>
      <c r="M494" s="5"/>
      <c r="N494" s="5"/>
      <c r="O494" s="24"/>
      <c r="P494" s="5"/>
      <c r="Q494" s="5"/>
      <c r="R494" s="5"/>
      <c r="S494" s="5"/>
      <c r="T494" s="5"/>
      <c r="U494" s="5"/>
      <c r="V494" s="5"/>
      <c r="W494" s="5"/>
      <c r="X494" s="5"/>
      <c r="Y494" s="5"/>
      <c r="Z494" s="5"/>
    </row>
    <row r="495">
      <c r="A495" s="5"/>
      <c r="B495" s="17"/>
      <c r="C495" s="18"/>
      <c r="D495" s="5"/>
      <c r="E495" s="20"/>
      <c r="F495" s="21"/>
      <c r="G495" s="21"/>
      <c r="H495" s="21"/>
      <c r="I495" s="5"/>
      <c r="J495" s="20"/>
      <c r="K495" s="5"/>
      <c r="L495" s="5"/>
      <c r="M495" s="5"/>
      <c r="N495" s="5"/>
      <c r="O495" s="24"/>
      <c r="P495" s="5"/>
      <c r="Q495" s="5"/>
      <c r="R495" s="5"/>
      <c r="S495" s="5"/>
      <c r="T495" s="5"/>
      <c r="U495" s="5"/>
      <c r="V495" s="5"/>
      <c r="W495" s="5"/>
      <c r="X495" s="5"/>
      <c r="Y495" s="5"/>
      <c r="Z495" s="5"/>
    </row>
    <row r="496">
      <c r="A496" s="5"/>
      <c r="B496" s="17"/>
      <c r="C496" s="18"/>
      <c r="D496" s="5"/>
      <c r="E496" s="20"/>
      <c r="F496" s="21"/>
      <c r="G496" s="21"/>
      <c r="H496" s="21"/>
      <c r="I496" s="5"/>
      <c r="J496" s="20"/>
      <c r="K496" s="5"/>
      <c r="L496" s="5"/>
      <c r="M496" s="5"/>
      <c r="N496" s="5"/>
      <c r="O496" s="24"/>
      <c r="P496" s="5"/>
      <c r="Q496" s="5"/>
      <c r="R496" s="5"/>
      <c r="S496" s="5"/>
      <c r="T496" s="5"/>
      <c r="U496" s="5"/>
      <c r="V496" s="5"/>
      <c r="W496" s="5"/>
      <c r="X496" s="5"/>
      <c r="Y496" s="5"/>
      <c r="Z496" s="5"/>
    </row>
    <row r="497">
      <c r="A497" s="5"/>
      <c r="B497" s="17"/>
      <c r="C497" s="18"/>
      <c r="D497" s="5"/>
      <c r="E497" s="20"/>
      <c r="F497" s="21"/>
      <c r="G497" s="21"/>
      <c r="H497" s="21"/>
      <c r="I497" s="5"/>
      <c r="J497" s="20"/>
      <c r="K497" s="5"/>
      <c r="L497" s="5"/>
      <c r="M497" s="5"/>
      <c r="N497" s="5"/>
      <c r="O497" s="24"/>
      <c r="P497" s="5"/>
      <c r="Q497" s="5"/>
      <c r="R497" s="5"/>
      <c r="S497" s="5"/>
      <c r="T497" s="5"/>
      <c r="U497" s="5"/>
      <c r="V497" s="5"/>
      <c r="W497" s="5"/>
      <c r="X497" s="5"/>
      <c r="Y497" s="5"/>
      <c r="Z497" s="5"/>
    </row>
    <row r="498">
      <c r="A498" s="5"/>
      <c r="B498" s="17"/>
      <c r="C498" s="18"/>
      <c r="D498" s="5"/>
      <c r="E498" s="20"/>
      <c r="F498" s="21"/>
      <c r="G498" s="21"/>
      <c r="H498" s="21"/>
      <c r="I498" s="5"/>
      <c r="J498" s="20"/>
      <c r="K498" s="5"/>
      <c r="L498" s="5"/>
      <c r="M498" s="5"/>
      <c r="N498" s="5"/>
      <c r="O498" s="24"/>
      <c r="P498" s="5"/>
      <c r="Q498" s="5"/>
      <c r="R498" s="5"/>
      <c r="S498" s="5"/>
      <c r="T498" s="5"/>
      <c r="U498" s="5"/>
      <c r="V498" s="5"/>
      <c r="W498" s="5"/>
      <c r="X498" s="5"/>
      <c r="Y498" s="5"/>
      <c r="Z498" s="5"/>
    </row>
    <row r="499">
      <c r="A499" s="5"/>
      <c r="B499" s="17"/>
      <c r="C499" s="18"/>
      <c r="D499" s="5"/>
      <c r="E499" s="20"/>
      <c r="F499" s="21"/>
      <c r="G499" s="21"/>
      <c r="H499" s="21"/>
      <c r="I499" s="5"/>
      <c r="J499" s="20"/>
      <c r="K499" s="5"/>
      <c r="L499" s="5"/>
      <c r="M499" s="5"/>
      <c r="N499" s="5"/>
      <c r="O499" s="24"/>
      <c r="P499" s="5"/>
      <c r="Q499" s="5"/>
      <c r="R499" s="5"/>
      <c r="S499" s="5"/>
      <c r="T499" s="5"/>
      <c r="U499" s="5"/>
      <c r="V499" s="5"/>
      <c r="W499" s="5"/>
      <c r="X499" s="5"/>
      <c r="Y499" s="5"/>
      <c r="Z499" s="5"/>
    </row>
    <row r="500">
      <c r="A500" s="5"/>
      <c r="B500" s="17"/>
      <c r="C500" s="18"/>
      <c r="D500" s="5"/>
      <c r="E500" s="20"/>
      <c r="F500" s="21"/>
      <c r="G500" s="21"/>
      <c r="H500" s="21"/>
      <c r="I500" s="5"/>
      <c r="J500" s="20"/>
      <c r="K500" s="5"/>
      <c r="L500" s="5"/>
      <c r="M500" s="5"/>
      <c r="N500" s="5"/>
      <c r="O500" s="24"/>
      <c r="P500" s="5"/>
      <c r="Q500" s="5"/>
      <c r="R500" s="5"/>
      <c r="S500" s="5"/>
      <c r="T500" s="5"/>
      <c r="U500" s="5"/>
      <c r="V500" s="5"/>
      <c r="W500" s="5"/>
      <c r="X500" s="5"/>
      <c r="Y500" s="5"/>
      <c r="Z500" s="5"/>
    </row>
    <row r="501">
      <c r="A501" s="5"/>
      <c r="B501" s="17"/>
      <c r="C501" s="18"/>
      <c r="D501" s="5"/>
      <c r="E501" s="20"/>
      <c r="F501" s="21"/>
      <c r="G501" s="21"/>
      <c r="H501" s="21"/>
      <c r="I501" s="5"/>
      <c r="J501" s="20"/>
      <c r="K501" s="5"/>
      <c r="L501" s="5"/>
      <c r="M501" s="5"/>
      <c r="N501" s="5"/>
      <c r="O501" s="24"/>
      <c r="P501" s="5"/>
      <c r="Q501" s="5"/>
      <c r="R501" s="5"/>
      <c r="S501" s="5"/>
      <c r="T501" s="5"/>
      <c r="U501" s="5"/>
      <c r="V501" s="5"/>
      <c r="W501" s="5"/>
      <c r="X501" s="5"/>
      <c r="Y501" s="5"/>
      <c r="Z501" s="5"/>
    </row>
    <row r="502">
      <c r="A502" s="5"/>
      <c r="B502" s="17"/>
      <c r="C502" s="18"/>
      <c r="D502" s="5"/>
      <c r="E502" s="20"/>
      <c r="F502" s="21"/>
      <c r="G502" s="21"/>
      <c r="H502" s="21"/>
      <c r="I502" s="5"/>
      <c r="J502" s="20"/>
      <c r="K502" s="5"/>
      <c r="L502" s="5"/>
      <c r="M502" s="5"/>
      <c r="N502" s="5"/>
      <c r="O502" s="24"/>
      <c r="P502" s="5"/>
      <c r="Q502" s="5"/>
      <c r="R502" s="5"/>
      <c r="S502" s="5"/>
      <c r="T502" s="5"/>
      <c r="U502" s="5"/>
      <c r="V502" s="5"/>
      <c r="W502" s="5"/>
      <c r="X502" s="5"/>
      <c r="Y502" s="5"/>
      <c r="Z502" s="5"/>
    </row>
    <row r="503">
      <c r="A503" s="5"/>
      <c r="B503" s="17"/>
      <c r="C503" s="18"/>
      <c r="D503" s="5"/>
      <c r="E503" s="20"/>
      <c r="F503" s="21"/>
      <c r="G503" s="21"/>
      <c r="H503" s="21"/>
      <c r="I503" s="5"/>
      <c r="J503" s="20"/>
      <c r="K503" s="5"/>
      <c r="L503" s="5"/>
      <c r="M503" s="5"/>
      <c r="N503" s="5"/>
      <c r="O503" s="24"/>
      <c r="P503" s="5"/>
      <c r="Q503" s="5"/>
      <c r="R503" s="5"/>
      <c r="S503" s="5"/>
      <c r="T503" s="5"/>
      <c r="U503" s="5"/>
      <c r="V503" s="5"/>
      <c r="W503" s="5"/>
      <c r="X503" s="5"/>
      <c r="Y503" s="5"/>
      <c r="Z503" s="5"/>
    </row>
    <row r="504">
      <c r="A504" s="5"/>
      <c r="B504" s="17"/>
      <c r="C504" s="18"/>
      <c r="D504" s="5"/>
      <c r="E504" s="20"/>
      <c r="F504" s="21"/>
      <c r="G504" s="21"/>
      <c r="H504" s="21"/>
      <c r="I504" s="5"/>
      <c r="J504" s="20"/>
      <c r="K504" s="5"/>
      <c r="L504" s="5"/>
      <c r="M504" s="5"/>
      <c r="N504" s="5"/>
      <c r="O504" s="24"/>
      <c r="P504" s="5"/>
      <c r="Q504" s="5"/>
      <c r="R504" s="5"/>
      <c r="S504" s="5"/>
      <c r="T504" s="5"/>
      <c r="U504" s="5"/>
      <c r="V504" s="5"/>
      <c r="W504" s="5"/>
      <c r="X504" s="5"/>
      <c r="Y504" s="5"/>
      <c r="Z504" s="5"/>
    </row>
    <row r="505">
      <c r="A505" s="5"/>
      <c r="B505" s="17"/>
      <c r="C505" s="18"/>
      <c r="D505" s="5"/>
      <c r="E505" s="20"/>
      <c r="F505" s="21"/>
      <c r="G505" s="21"/>
      <c r="H505" s="21"/>
      <c r="I505" s="5"/>
      <c r="J505" s="20"/>
      <c r="K505" s="5"/>
      <c r="L505" s="5"/>
      <c r="M505" s="5"/>
      <c r="N505" s="5"/>
      <c r="O505" s="24"/>
      <c r="P505" s="5"/>
      <c r="Q505" s="5"/>
      <c r="R505" s="5"/>
      <c r="S505" s="5"/>
      <c r="T505" s="5"/>
      <c r="U505" s="5"/>
      <c r="V505" s="5"/>
      <c r="W505" s="5"/>
      <c r="X505" s="5"/>
      <c r="Y505" s="5"/>
      <c r="Z505" s="5"/>
    </row>
    <row r="506">
      <c r="A506" s="5"/>
      <c r="B506" s="17"/>
      <c r="C506" s="18"/>
      <c r="D506" s="5"/>
      <c r="E506" s="20"/>
      <c r="F506" s="21"/>
      <c r="G506" s="21"/>
      <c r="H506" s="21"/>
      <c r="I506" s="5"/>
      <c r="J506" s="20"/>
      <c r="K506" s="5"/>
      <c r="L506" s="5"/>
      <c r="M506" s="5"/>
      <c r="N506" s="5"/>
      <c r="O506" s="24"/>
      <c r="P506" s="5"/>
      <c r="Q506" s="5"/>
      <c r="R506" s="5"/>
      <c r="S506" s="5"/>
      <c r="T506" s="5"/>
      <c r="U506" s="5"/>
      <c r="V506" s="5"/>
      <c r="W506" s="5"/>
      <c r="X506" s="5"/>
      <c r="Y506" s="5"/>
      <c r="Z506" s="5"/>
    </row>
    <row r="507">
      <c r="A507" s="5"/>
      <c r="B507" s="17"/>
      <c r="C507" s="18"/>
      <c r="D507" s="5"/>
      <c r="E507" s="20"/>
      <c r="F507" s="21"/>
      <c r="G507" s="21"/>
      <c r="H507" s="21"/>
      <c r="I507" s="5"/>
      <c r="J507" s="20"/>
      <c r="K507" s="5"/>
      <c r="L507" s="5"/>
      <c r="M507" s="5"/>
      <c r="N507" s="5"/>
      <c r="O507" s="24"/>
      <c r="P507" s="5"/>
      <c r="Q507" s="5"/>
      <c r="R507" s="5"/>
      <c r="S507" s="5"/>
      <c r="T507" s="5"/>
      <c r="U507" s="5"/>
      <c r="V507" s="5"/>
      <c r="W507" s="5"/>
      <c r="X507" s="5"/>
      <c r="Y507" s="5"/>
      <c r="Z507" s="5"/>
    </row>
    <row r="508">
      <c r="A508" s="5"/>
      <c r="B508" s="17"/>
      <c r="C508" s="18"/>
      <c r="D508" s="5"/>
      <c r="E508" s="20"/>
      <c r="F508" s="21"/>
      <c r="G508" s="21"/>
      <c r="H508" s="21"/>
      <c r="I508" s="5"/>
      <c r="J508" s="20"/>
      <c r="K508" s="5"/>
      <c r="L508" s="5"/>
      <c r="M508" s="5"/>
      <c r="N508" s="5"/>
      <c r="O508" s="24"/>
      <c r="P508" s="5"/>
      <c r="Q508" s="5"/>
      <c r="R508" s="5"/>
      <c r="S508" s="5"/>
      <c r="T508" s="5"/>
      <c r="U508" s="5"/>
      <c r="V508" s="5"/>
      <c r="W508" s="5"/>
      <c r="X508" s="5"/>
      <c r="Y508" s="5"/>
      <c r="Z508" s="5"/>
    </row>
    <row r="509">
      <c r="A509" s="5"/>
      <c r="B509" s="17"/>
      <c r="C509" s="18"/>
      <c r="D509" s="5"/>
      <c r="E509" s="20"/>
      <c r="F509" s="21"/>
      <c r="G509" s="21"/>
      <c r="H509" s="21"/>
      <c r="I509" s="5"/>
      <c r="J509" s="20"/>
      <c r="K509" s="5"/>
      <c r="L509" s="5"/>
      <c r="M509" s="5"/>
      <c r="N509" s="5"/>
      <c r="O509" s="24"/>
      <c r="P509" s="5"/>
      <c r="Q509" s="5"/>
      <c r="R509" s="5"/>
      <c r="S509" s="5"/>
      <c r="T509" s="5"/>
      <c r="U509" s="5"/>
      <c r="V509" s="5"/>
      <c r="W509" s="5"/>
      <c r="X509" s="5"/>
      <c r="Y509" s="5"/>
      <c r="Z509" s="5"/>
    </row>
    <row r="510">
      <c r="A510" s="5"/>
      <c r="B510" s="17"/>
      <c r="C510" s="18"/>
      <c r="D510" s="5"/>
      <c r="E510" s="20"/>
      <c r="F510" s="21"/>
      <c r="G510" s="21"/>
      <c r="H510" s="21"/>
      <c r="I510" s="5"/>
      <c r="J510" s="20"/>
      <c r="K510" s="5"/>
      <c r="L510" s="5"/>
      <c r="M510" s="5"/>
      <c r="N510" s="5"/>
      <c r="O510" s="24"/>
      <c r="P510" s="5"/>
      <c r="Q510" s="5"/>
      <c r="R510" s="5"/>
      <c r="S510" s="5"/>
      <c r="T510" s="5"/>
      <c r="U510" s="5"/>
      <c r="V510" s="5"/>
      <c r="W510" s="5"/>
      <c r="X510" s="5"/>
      <c r="Y510" s="5"/>
      <c r="Z510" s="5"/>
    </row>
    <row r="511">
      <c r="A511" s="5"/>
      <c r="B511" s="17"/>
      <c r="C511" s="18"/>
      <c r="D511" s="5"/>
      <c r="E511" s="20"/>
      <c r="F511" s="21"/>
      <c r="G511" s="21"/>
      <c r="H511" s="21"/>
      <c r="I511" s="5"/>
      <c r="J511" s="20"/>
      <c r="K511" s="5"/>
      <c r="L511" s="5"/>
      <c r="M511" s="5"/>
      <c r="N511" s="5"/>
      <c r="O511" s="24"/>
      <c r="P511" s="5"/>
      <c r="Q511" s="5"/>
      <c r="R511" s="5"/>
      <c r="S511" s="5"/>
      <c r="T511" s="5"/>
      <c r="U511" s="5"/>
      <c r="V511" s="5"/>
      <c r="W511" s="5"/>
      <c r="X511" s="5"/>
      <c r="Y511" s="5"/>
      <c r="Z511" s="5"/>
    </row>
    <row r="512">
      <c r="A512" s="5"/>
      <c r="B512" s="17"/>
      <c r="C512" s="18"/>
      <c r="D512" s="5"/>
      <c r="E512" s="20"/>
      <c r="F512" s="21"/>
      <c r="G512" s="21"/>
      <c r="H512" s="21"/>
      <c r="I512" s="5"/>
      <c r="J512" s="20"/>
      <c r="K512" s="5"/>
      <c r="L512" s="5"/>
      <c r="M512" s="5"/>
      <c r="N512" s="5"/>
      <c r="O512" s="24"/>
      <c r="P512" s="5"/>
      <c r="Q512" s="5"/>
      <c r="R512" s="5"/>
      <c r="S512" s="5"/>
      <c r="T512" s="5"/>
      <c r="U512" s="5"/>
      <c r="V512" s="5"/>
      <c r="W512" s="5"/>
      <c r="X512" s="5"/>
      <c r="Y512" s="5"/>
      <c r="Z512" s="5"/>
    </row>
    <row r="513">
      <c r="A513" s="5"/>
      <c r="B513" s="17"/>
      <c r="C513" s="18"/>
      <c r="D513" s="5"/>
      <c r="E513" s="20"/>
      <c r="F513" s="21"/>
      <c r="G513" s="21"/>
      <c r="H513" s="21"/>
      <c r="I513" s="5"/>
      <c r="J513" s="20"/>
      <c r="K513" s="5"/>
      <c r="L513" s="5"/>
      <c r="M513" s="5"/>
      <c r="N513" s="5"/>
      <c r="O513" s="24"/>
      <c r="P513" s="5"/>
      <c r="Q513" s="5"/>
      <c r="R513" s="5"/>
      <c r="S513" s="5"/>
      <c r="T513" s="5"/>
      <c r="U513" s="5"/>
      <c r="V513" s="5"/>
      <c r="W513" s="5"/>
      <c r="X513" s="5"/>
      <c r="Y513" s="5"/>
      <c r="Z513" s="5"/>
    </row>
    <row r="514">
      <c r="A514" s="5"/>
      <c r="B514" s="17"/>
      <c r="C514" s="18"/>
      <c r="D514" s="5"/>
      <c r="E514" s="20"/>
      <c r="F514" s="21"/>
      <c r="G514" s="21"/>
      <c r="H514" s="21"/>
      <c r="I514" s="5"/>
      <c r="J514" s="20"/>
      <c r="K514" s="5"/>
      <c r="L514" s="5"/>
      <c r="M514" s="5"/>
      <c r="N514" s="5"/>
      <c r="O514" s="24"/>
      <c r="P514" s="5"/>
      <c r="Q514" s="5"/>
      <c r="R514" s="5"/>
      <c r="S514" s="5"/>
      <c r="T514" s="5"/>
      <c r="U514" s="5"/>
      <c r="V514" s="5"/>
      <c r="W514" s="5"/>
      <c r="X514" s="5"/>
      <c r="Y514" s="5"/>
      <c r="Z514" s="5"/>
    </row>
    <row r="515">
      <c r="A515" s="5"/>
      <c r="B515" s="17"/>
      <c r="C515" s="18"/>
      <c r="D515" s="5"/>
      <c r="E515" s="20"/>
      <c r="F515" s="21"/>
      <c r="G515" s="21"/>
      <c r="H515" s="21"/>
      <c r="I515" s="5"/>
      <c r="J515" s="20"/>
      <c r="K515" s="5"/>
      <c r="L515" s="5"/>
      <c r="M515" s="5"/>
      <c r="N515" s="5"/>
      <c r="O515" s="24"/>
      <c r="P515" s="5"/>
      <c r="Q515" s="5"/>
      <c r="R515" s="5"/>
      <c r="S515" s="5"/>
      <c r="T515" s="5"/>
      <c r="U515" s="5"/>
      <c r="V515" s="5"/>
      <c r="W515" s="5"/>
      <c r="X515" s="5"/>
      <c r="Y515" s="5"/>
      <c r="Z515" s="5"/>
    </row>
    <row r="516">
      <c r="A516" s="5"/>
      <c r="B516" s="17"/>
      <c r="C516" s="18"/>
      <c r="D516" s="5"/>
      <c r="E516" s="20"/>
      <c r="F516" s="21"/>
      <c r="G516" s="21"/>
      <c r="H516" s="21"/>
      <c r="I516" s="5"/>
      <c r="J516" s="20"/>
      <c r="K516" s="5"/>
      <c r="L516" s="5"/>
      <c r="M516" s="5"/>
      <c r="N516" s="5"/>
      <c r="O516" s="24"/>
      <c r="P516" s="5"/>
      <c r="Q516" s="5"/>
      <c r="R516" s="5"/>
      <c r="S516" s="5"/>
      <c r="T516" s="5"/>
      <c r="U516" s="5"/>
      <c r="V516" s="5"/>
      <c r="W516" s="5"/>
      <c r="X516" s="5"/>
      <c r="Y516" s="5"/>
      <c r="Z516" s="5"/>
    </row>
    <row r="517">
      <c r="A517" s="5"/>
      <c r="B517" s="17"/>
      <c r="C517" s="18"/>
      <c r="D517" s="5"/>
      <c r="E517" s="20"/>
      <c r="F517" s="21"/>
      <c r="G517" s="21"/>
      <c r="H517" s="21"/>
      <c r="I517" s="5"/>
      <c r="J517" s="20"/>
      <c r="K517" s="5"/>
      <c r="L517" s="5"/>
      <c r="M517" s="5"/>
      <c r="N517" s="5"/>
      <c r="O517" s="24"/>
      <c r="P517" s="5"/>
      <c r="Q517" s="5"/>
      <c r="R517" s="5"/>
      <c r="S517" s="5"/>
      <c r="T517" s="5"/>
      <c r="U517" s="5"/>
      <c r="V517" s="5"/>
      <c r="W517" s="5"/>
      <c r="X517" s="5"/>
      <c r="Y517" s="5"/>
      <c r="Z517" s="5"/>
    </row>
    <row r="518">
      <c r="A518" s="5"/>
      <c r="B518" s="17"/>
      <c r="C518" s="18"/>
      <c r="D518" s="5"/>
      <c r="E518" s="20"/>
      <c r="F518" s="21"/>
      <c r="G518" s="21"/>
      <c r="H518" s="21"/>
      <c r="I518" s="5"/>
      <c r="J518" s="20"/>
      <c r="K518" s="5"/>
      <c r="L518" s="5"/>
      <c r="M518" s="5"/>
      <c r="N518" s="5"/>
      <c r="O518" s="24"/>
      <c r="P518" s="5"/>
      <c r="Q518" s="5"/>
      <c r="R518" s="5"/>
      <c r="S518" s="5"/>
      <c r="T518" s="5"/>
      <c r="U518" s="5"/>
      <c r="V518" s="5"/>
      <c r="W518" s="5"/>
      <c r="X518" s="5"/>
      <c r="Y518" s="5"/>
      <c r="Z518" s="5"/>
    </row>
    <row r="519">
      <c r="A519" s="5"/>
      <c r="B519" s="17"/>
      <c r="C519" s="18"/>
      <c r="D519" s="5"/>
      <c r="E519" s="20"/>
      <c r="F519" s="21"/>
      <c r="G519" s="21"/>
      <c r="H519" s="21"/>
      <c r="I519" s="5"/>
      <c r="J519" s="20"/>
      <c r="K519" s="5"/>
      <c r="L519" s="5"/>
      <c r="M519" s="5"/>
      <c r="N519" s="5"/>
      <c r="O519" s="24"/>
      <c r="P519" s="5"/>
      <c r="Q519" s="5"/>
      <c r="R519" s="5"/>
      <c r="S519" s="5"/>
      <c r="T519" s="5"/>
      <c r="U519" s="5"/>
      <c r="V519" s="5"/>
      <c r="W519" s="5"/>
      <c r="X519" s="5"/>
      <c r="Y519" s="5"/>
      <c r="Z519" s="5"/>
    </row>
    <row r="520">
      <c r="A520" s="5"/>
      <c r="B520" s="17"/>
      <c r="C520" s="18"/>
      <c r="D520" s="5"/>
      <c r="E520" s="20"/>
      <c r="F520" s="21"/>
      <c r="G520" s="21"/>
      <c r="H520" s="21"/>
      <c r="I520" s="5"/>
      <c r="J520" s="20"/>
      <c r="K520" s="5"/>
      <c r="L520" s="5"/>
      <c r="M520" s="5"/>
      <c r="N520" s="5"/>
      <c r="O520" s="24"/>
      <c r="P520" s="5"/>
      <c r="Q520" s="5"/>
      <c r="R520" s="5"/>
      <c r="S520" s="5"/>
      <c r="T520" s="5"/>
      <c r="U520" s="5"/>
      <c r="V520" s="5"/>
      <c r="W520" s="5"/>
      <c r="X520" s="5"/>
      <c r="Y520" s="5"/>
      <c r="Z520" s="5"/>
    </row>
    <row r="521">
      <c r="A521" s="5"/>
      <c r="B521" s="17"/>
      <c r="C521" s="18"/>
      <c r="D521" s="5"/>
      <c r="E521" s="20"/>
      <c r="F521" s="21"/>
      <c r="G521" s="21"/>
      <c r="H521" s="21"/>
      <c r="I521" s="5"/>
      <c r="J521" s="20"/>
      <c r="K521" s="5"/>
      <c r="L521" s="5"/>
      <c r="M521" s="5"/>
      <c r="N521" s="5"/>
      <c r="O521" s="24"/>
      <c r="P521" s="5"/>
      <c r="Q521" s="5"/>
      <c r="R521" s="5"/>
      <c r="S521" s="5"/>
      <c r="T521" s="5"/>
      <c r="U521" s="5"/>
      <c r="V521" s="5"/>
      <c r="W521" s="5"/>
      <c r="X521" s="5"/>
      <c r="Y521" s="5"/>
      <c r="Z521" s="5"/>
    </row>
    <row r="522">
      <c r="A522" s="5"/>
      <c r="B522" s="17"/>
      <c r="C522" s="18"/>
      <c r="D522" s="5"/>
      <c r="E522" s="20"/>
      <c r="F522" s="21"/>
      <c r="G522" s="21"/>
      <c r="H522" s="21"/>
      <c r="I522" s="5"/>
      <c r="J522" s="20"/>
      <c r="K522" s="5"/>
      <c r="L522" s="5"/>
      <c r="M522" s="5"/>
      <c r="N522" s="5"/>
      <c r="O522" s="24"/>
      <c r="P522" s="5"/>
      <c r="Q522" s="5"/>
      <c r="R522" s="5"/>
      <c r="S522" s="5"/>
      <c r="T522" s="5"/>
      <c r="U522" s="5"/>
      <c r="V522" s="5"/>
      <c r="W522" s="5"/>
      <c r="X522" s="5"/>
      <c r="Y522" s="5"/>
      <c r="Z522" s="5"/>
    </row>
    <row r="523">
      <c r="A523" s="5"/>
      <c r="B523" s="17"/>
      <c r="C523" s="18"/>
      <c r="D523" s="5"/>
      <c r="E523" s="20"/>
      <c r="F523" s="21"/>
      <c r="G523" s="21"/>
      <c r="H523" s="21"/>
      <c r="I523" s="5"/>
      <c r="J523" s="20"/>
      <c r="K523" s="5"/>
      <c r="L523" s="5"/>
      <c r="M523" s="5"/>
      <c r="N523" s="5"/>
      <c r="O523" s="24"/>
      <c r="P523" s="5"/>
      <c r="Q523" s="5"/>
      <c r="R523" s="5"/>
      <c r="S523" s="5"/>
      <c r="T523" s="5"/>
      <c r="U523" s="5"/>
      <c r="V523" s="5"/>
      <c r="W523" s="5"/>
      <c r="X523" s="5"/>
      <c r="Y523" s="5"/>
      <c r="Z523" s="5"/>
    </row>
    <row r="524">
      <c r="A524" s="5"/>
      <c r="B524" s="17"/>
      <c r="C524" s="18"/>
      <c r="D524" s="5"/>
      <c r="E524" s="20"/>
      <c r="F524" s="21"/>
      <c r="G524" s="21"/>
      <c r="H524" s="21"/>
      <c r="I524" s="5"/>
      <c r="J524" s="20"/>
      <c r="K524" s="5"/>
      <c r="L524" s="5"/>
      <c r="M524" s="5"/>
      <c r="N524" s="5"/>
      <c r="O524" s="24"/>
      <c r="P524" s="5"/>
      <c r="Q524" s="5"/>
      <c r="R524" s="5"/>
      <c r="S524" s="5"/>
      <c r="T524" s="5"/>
      <c r="U524" s="5"/>
      <c r="V524" s="5"/>
      <c r="W524" s="5"/>
      <c r="X524" s="5"/>
      <c r="Y524" s="5"/>
      <c r="Z524" s="5"/>
    </row>
    <row r="525">
      <c r="A525" s="5"/>
      <c r="B525" s="17"/>
      <c r="C525" s="18"/>
      <c r="D525" s="5"/>
      <c r="E525" s="20"/>
      <c r="F525" s="21"/>
      <c r="G525" s="21"/>
      <c r="H525" s="21"/>
      <c r="I525" s="5"/>
      <c r="J525" s="20"/>
      <c r="K525" s="5"/>
      <c r="L525" s="5"/>
      <c r="M525" s="5"/>
      <c r="N525" s="5"/>
      <c r="O525" s="24"/>
      <c r="P525" s="5"/>
      <c r="Q525" s="5"/>
      <c r="R525" s="5"/>
      <c r="S525" s="5"/>
      <c r="T525" s="5"/>
      <c r="U525" s="5"/>
      <c r="V525" s="5"/>
      <c r="W525" s="5"/>
      <c r="X525" s="5"/>
      <c r="Y525" s="5"/>
      <c r="Z525" s="5"/>
    </row>
    <row r="526">
      <c r="A526" s="5"/>
      <c r="B526" s="17"/>
      <c r="C526" s="18"/>
      <c r="D526" s="5"/>
      <c r="E526" s="20"/>
      <c r="F526" s="21"/>
      <c r="G526" s="21"/>
      <c r="H526" s="21"/>
      <c r="I526" s="5"/>
      <c r="J526" s="20"/>
      <c r="K526" s="5"/>
      <c r="L526" s="5"/>
      <c r="M526" s="5"/>
      <c r="N526" s="5"/>
      <c r="O526" s="24"/>
      <c r="P526" s="5"/>
      <c r="Q526" s="5"/>
      <c r="R526" s="5"/>
      <c r="S526" s="5"/>
      <c r="T526" s="5"/>
      <c r="U526" s="5"/>
      <c r="V526" s="5"/>
      <c r="W526" s="5"/>
      <c r="X526" s="5"/>
      <c r="Y526" s="5"/>
      <c r="Z526" s="5"/>
    </row>
    <row r="527">
      <c r="A527" s="5"/>
      <c r="B527" s="17"/>
      <c r="C527" s="18"/>
      <c r="D527" s="5"/>
      <c r="E527" s="20"/>
      <c r="F527" s="21"/>
      <c r="G527" s="21"/>
      <c r="H527" s="21"/>
      <c r="I527" s="5"/>
      <c r="J527" s="20"/>
      <c r="K527" s="5"/>
      <c r="L527" s="5"/>
      <c r="M527" s="5"/>
      <c r="N527" s="5"/>
      <c r="O527" s="24"/>
      <c r="P527" s="5"/>
      <c r="Q527" s="5"/>
      <c r="R527" s="5"/>
      <c r="S527" s="5"/>
      <c r="T527" s="5"/>
      <c r="U527" s="5"/>
      <c r="V527" s="5"/>
      <c r="W527" s="5"/>
      <c r="X527" s="5"/>
      <c r="Y527" s="5"/>
      <c r="Z527" s="5"/>
    </row>
    <row r="528">
      <c r="A528" s="5"/>
      <c r="B528" s="17"/>
      <c r="C528" s="18"/>
      <c r="D528" s="5"/>
      <c r="E528" s="20"/>
      <c r="F528" s="21"/>
      <c r="G528" s="21"/>
      <c r="H528" s="21"/>
      <c r="I528" s="5"/>
      <c r="J528" s="20"/>
      <c r="K528" s="5"/>
      <c r="L528" s="5"/>
      <c r="M528" s="5"/>
      <c r="N528" s="5"/>
      <c r="O528" s="24"/>
      <c r="P528" s="5"/>
      <c r="Q528" s="5"/>
      <c r="R528" s="5"/>
      <c r="S528" s="5"/>
      <c r="T528" s="5"/>
      <c r="U528" s="5"/>
      <c r="V528" s="5"/>
      <c r="W528" s="5"/>
      <c r="X528" s="5"/>
      <c r="Y528" s="5"/>
      <c r="Z528" s="5"/>
    </row>
    <row r="529">
      <c r="A529" s="5"/>
      <c r="B529" s="17"/>
      <c r="C529" s="18"/>
      <c r="D529" s="5"/>
      <c r="E529" s="20"/>
      <c r="F529" s="21"/>
      <c r="G529" s="21"/>
      <c r="H529" s="21"/>
      <c r="I529" s="5"/>
      <c r="J529" s="20"/>
      <c r="K529" s="5"/>
      <c r="L529" s="5"/>
      <c r="M529" s="5"/>
      <c r="N529" s="5"/>
      <c r="O529" s="24"/>
      <c r="P529" s="5"/>
      <c r="Q529" s="5"/>
      <c r="R529" s="5"/>
      <c r="S529" s="5"/>
      <c r="T529" s="5"/>
      <c r="U529" s="5"/>
      <c r="V529" s="5"/>
      <c r="W529" s="5"/>
      <c r="X529" s="5"/>
      <c r="Y529" s="5"/>
      <c r="Z529" s="5"/>
    </row>
    <row r="530">
      <c r="A530" s="5"/>
      <c r="B530" s="17"/>
      <c r="C530" s="18"/>
      <c r="D530" s="5"/>
      <c r="E530" s="20"/>
      <c r="F530" s="21"/>
      <c r="G530" s="21"/>
      <c r="H530" s="21"/>
      <c r="I530" s="5"/>
      <c r="J530" s="20"/>
      <c r="K530" s="5"/>
      <c r="L530" s="5"/>
      <c r="M530" s="5"/>
      <c r="N530" s="5"/>
      <c r="O530" s="24"/>
      <c r="P530" s="5"/>
      <c r="Q530" s="5"/>
      <c r="R530" s="5"/>
      <c r="S530" s="5"/>
      <c r="T530" s="5"/>
      <c r="U530" s="5"/>
      <c r="V530" s="5"/>
      <c r="W530" s="5"/>
      <c r="X530" s="5"/>
      <c r="Y530" s="5"/>
      <c r="Z530" s="5"/>
    </row>
    <row r="531">
      <c r="A531" s="5"/>
      <c r="B531" s="17"/>
      <c r="C531" s="18"/>
      <c r="D531" s="5"/>
      <c r="E531" s="20"/>
      <c r="F531" s="21"/>
      <c r="G531" s="21"/>
      <c r="H531" s="21"/>
      <c r="I531" s="5"/>
      <c r="J531" s="20"/>
      <c r="K531" s="5"/>
      <c r="L531" s="5"/>
      <c r="M531" s="5"/>
      <c r="N531" s="5"/>
      <c r="O531" s="24"/>
      <c r="P531" s="5"/>
      <c r="Q531" s="5"/>
      <c r="R531" s="5"/>
      <c r="S531" s="5"/>
      <c r="T531" s="5"/>
      <c r="U531" s="5"/>
      <c r="V531" s="5"/>
      <c r="W531" s="5"/>
      <c r="X531" s="5"/>
      <c r="Y531" s="5"/>
      <c r="Z531" s="5"/>
    </row>
    <row r="532">
      <c r="A532" s="5"/>
      <c r="B532" s="17"/>
      <c r="C532" s="18"/>
      <c r="D532" s="5"/>
      <c r="E532" s="20"/>
      <c r="F532" s="21"/>
      <c r="G532" s="21"/>
      <c r="H532" s="21"/>
      <c r="I532" s="5"/>
      <c r="J532" s="20"/>
      <c r="K532" s="5"/>
      <c r="L532" s="5"/>
      <c r="M532" s="5"/>
      <c r="N532" s="5"/>
      <c r="O532" s="24"/>
      <c r="P532" s="5"/>
      <c r="Q532" s="5"/>
      <c r="R532" s="5"/>
      <c r="S532" s="5"/>
      <c r="T532" s="5"/>
      <c r="U532" s="5"/>
      <c r="V532" s="5"/>
      <c r="W532" s="5"/>
      <c r="X532" s="5"/>
      <c r="Y532" s="5"/>
      <c r="Z532" s="5"/>
    </row>
    <row r="533">
      <c r="A533" s="5"/>
      <c r="B533" s="17"/>
      <c r="C533" s="18"/>
      <c r="D533" s="5"/>
      <c r="E533" s="20"/>
      <c r="F533" s="21"/>
      <c r="G533" s="21"/>
      <c r="H533" s="21"/>
      <c r="I533" s="5"/>
      <c r="J533" s="20"/>
      <c r="K533" s="5"/>
      <c r="L533" s="5"/>
      <c r="M533" s="5"/>
      <c r="N533" s="5"/>
      <c r="O533" s="24"/>
      <c r="P533" s="5"/>
      <c r="Q533" s="5"/>
      <c r="R533" s="5"/>
      <c r="S533" s="5"/>
      <c r="T533" s="5"/>
      <c r="U533" s="5"/>
      <c r="V533" s="5"/>
      <c r="W533" s="5"/>
      <c r="X533" s="5"/>
      <c r="Y533" s="5"/>
      <c r="Z533" s="5"/>
    </row>
    <row r="534">
      <c r="A534" s="5"/>
      <c r="B534" s="17"/>
      <c r="C534" s="18"/>
      <c r="D534" s="5"/>
      <c r="E534" s="20"/>
      <c r="F534" s="21"/>
      <c r="G534" s="21"/>
      <c r="H534" s="21"/>
      <c r="I534" s="5"/>
      <c r="J534" s="20"/>
      <c r="K534" s="5"/>
      <c r="L534" s="5"/>
      <c r="M534" s="5"/>
      <c r="N534" s="5"/>
      <c r="O534" s="24"/>
      <c r="P534" s="5"/>
      <c r="Q534" s="5"/>
      <c r="R534" s="5"/>
      <c r="S534" s="5"/>
      <c r="T534" s="5"/>
      <c r="U534" s="5"/>
      <c r="V534" s="5"/>
      <c r="W534" s="5"/>
      <c r="X534" s="5"/>
      <c r="Y534" s="5"/>
      <c r="Z534" s="5"/>
    </row>
    <row r="535">
      <c r="A535" s="5"/>
      <c r="B535" s="17"/>
      <c r="C535" s="18"/>
      <c r="D535" s="5"/>
      <c r="E535" s="20"/>
      <c r="F535" s="21"/>
      <c r="G535" s="21"/>
      <c r="H535" s="21"/>
      <c r="I535" s="5"/>
      <c r="J535" s="20"/>
      <c r="K535" s="5"/>
      <c r="L535" s="5"/>
      <c r="M535" s="5"/>
      <c r="N535" s="5"/>
      <c r="O535" s="24"/>
      <c r="P535" s="5"/>
      <c r="Q535" s="5"/>
      <c r="R535" s="5"/>
      <c r="S535" s="5"/>
      <c r="T535" s="5"/>
      <c r="U535" s="5"/>
      <c r="V535" s="5"/>
      <c r="W535" s="5"/>
      <c r="X535" s="5"/>
      <c r="Y535" s="5"/>
      <c r="Z535" s="5"/>
    </row>
    <row r="536">
      <c r="A536" s="5"/>
      <c r="B536" s="17"/>
      <c r="C536" s="18"/>
      <c r="D536" s="5"/>
      <c r="E536" s="20"/>
      <c r="F536" s="21"/>
      <c r="G536" s="21"/>
      <c r="H536" s="21"/>
      <c r="I536" s="5"/>
      <c r="J536" s="20"/>
      <c r="K536" s="5"/>
      <c r="L536" s="5"/>
      <c r="M536" s="5"/>
      <c r="N536" s="5"/>
      <c r="O536" s="24"/>
      <c r="P536" s="5"/>
      <c r="Q536" s="5"/>
      <c r="R536" s="5"/>
      <c r="S536" s="5"/>
      <c r="T536" s="5"/>
      <c r="U536" s="5"/>
      <c r="V536" s="5"/>
      <c r="W536" s="5"/>
      <c r="X536" s="5"/>
      <c r="Y536" s="5"/>
      <c r="Z536" s="5"/>
    </row>
    <row r="537">
      <c r="A537" s="5"/>
      <c r="B537" s="17"/>
      <c r="C537" s="18"/>
      <c r="D537" s="5"/>
      <c r="E537" s="20"/>
      <c r="F537" s="21"/>
      <c r="G537" s="21"/>
      <c r="H537" s="21"/>
      <c r="I537" s="5"/>
      <c r="J537" s="20"/>
      <c r="K537" s="5"/>
      <c r="L537" s="5"/>
      <c r="M537" s="5"/>
      <c r="N537" s="5"/>
      <c r="O537" s="24"/>
      <c r="P537" s="5"/>
      <c r="Q537" s="5"/>
      <c r="R537" s="5"/>
      <c r="S537" s="5"/>
      <c r="T537" s="5"/>
      <c r="U537" s="5"/>
      <c r="V537" s="5"/>
      <c r="W537" s="5"/>
      <c r="X537" s="5"/>
      <c r="Y537" s="5"/>
      <c r="Z537" s="5"/>
    </row>
    <row r="538">
      <c r="A538" s="5"/>
      <c r="B538" s="17"/>
      <c r="C538" s="18"/>
      <c r="D538" s="5"/>
      <c r="E538" s="20"/>
      <c r="F538" s="21"/>
      <c r="G538" s="21"/>
      <c r="H538" s="21"/>
      <c r="I538" s="5"/>
      <c r="J538" s="20"/>
      <c r="K538" s="5"/>
      <c r="L538" s="5"/>
      <c r="M538" s="5"/>
      <c r="N538" s="5"/>
      <c r="O538" s="24"/>
      <c r="P538" s="5"/>
      <c r="Q538" s="5"/>
      <c r="R538" s="5"/>
      <c r="S538" s="5"/>
      <c r="T538" s="5"/>
      <c r="U538" s="5"/>
      <c r="V538" s="5"/>
      <c r="W538" s="5"/>
      <c r="X538" s="5"/>
      <c r="Y538" s="5"/>
      <c r="Z538" s="5"/>
    </row>
    <row r="539">
      <c r="A539" s="5"/>
      <c r="B539" s="17"/>
      <c r="C539" s="18"/>
      <c r="D539" s="5"/>
      <c r="E539" s="20"/>
      <c r="F539" s="21"/>
      <c r="G539" s="21"/>
      <c r="H539" s="21"/>
      <c r="I539" s="5"/>
      <c r="J539" s="20"/>
      <c r="K539" s="5"/>
      <c r="L539" s="5"/>
      <c r="M539" s="5"/>
      <c r="N539" s="5"/>
      <c r="O539" s="24"/>
      <c r="P539" s="5"/>
      <c r="Q539" s="5"/>
      <c r="R539" s="5"/>
      <c r="S539" s="5"/>
      <c r="T539" s="5"/>
      <c r="U539" s="5"/>
      <c r="V539" s="5"/>
      <c r="W539" s="5"/>
      <c r="X539" s="5"/>
      <c r="Y539" s="5"/>
      <c r="Z539" s="5"/>
    </row>
    <row r="540">
      <c r="A540" s="5"/>
      <c r="B540" s="17"/>
      <c r="C540" s="18"/>
      <c r="D540" s="5"/>
      <c r="E540" s="20"/>
      <c r="F540" s="21"/>
      <c r="G540" s="21"/>
      <c r="H540" s="21"/>
      <c r="I540" s="5"/>
      <c r="J540" s="20"/>
      <c r="K540" s="5"/>
      <c r="L540" s="5"/>
      <c r="M540" s="5"/>
      <c r="N540" s="5"/>
      <c r="O540" s="24"/>
      <c r="P540" s="5"/>
      <c r="Q540" s="5"/>
      <c r="R540" s="5"/>
      <c r="S540" s="5"/>
      <c r="T540" s="5"/>
      <c r="U540" s="5"/>
      <c r="V540" s="5"/>
      <c r="W540" s="5"/>
      <c r="X540" s="5"/>
      <c r="Y540" s="5"/>
      <c r="Z540" s="5"/>
    </row>
    <row r="541">
      <c r="A541" s="5"/>
      <c r="B541" s="17"/>
      <c r="C541" s="18"/>
      <c r="D541" s="5"/>
      <c r="E541" s="20"/>
      <c r="F541" s="21"/>
      <c r="G541" s="21"/>
      <c r="H541" s="21"/>
      <c r="I541" s="5"/>
      <c r="J541" s="20"/>
      <c r="K541" s="5"/>
      <c r="L541" s="5"/>
      <c r="M541" s="5"/>
      <c r="N541" s="5"/>
      <c r="O541" s="24"/>
      <c r="P541" s="5"/>
      <c r="Q541" s="5"/>
      <c r="R541" s="5"/>
      <c r="S541" s="5"/>
      <c r="T541" s="5"/>
      <c r="U541" s="5"/>
      <c r="V541" s="5"/>
      <c r="W541" s="5"/>
      <c r="X541" s="5"/>
      <c r="Y541" s="5"/>
      <c r="Z541" s="5"/>
    </row>
    <row r="542">
      <c r="A542" s="5"/>
      <c r="B542" s="17"/>
      <c r="C542" s="18"/>
      <c r="D542" s="5"/>
      <c r="E542" s="20"/>
      <c r="F542" s="21"/>
      <c r="G542" s="21"/>
      <c r="H542" s="21"/>
      <c r="I542" s="5"/>
      <c r="J542" s="20"/>
      <c r="K542" s="5"/>
      <c r="L542" s="5"/>
      <c r="M542" s="5"/>
      <c r="N542" s="5"/>
      <c r="O542" s="24"/>
      <c r="P542" s="5"/>
      <c r="Q542" s="5"/>
      <c r="R542" s="5"/>
      <c r="S542" s="5"/>
      <c r="T542" s="5"/>
      <c r="U542" s="5"/>
      <c r="V542" s="5"/>
      <c r="W542" s="5"/>
      <c r="X542" s="5"/>
      <c r="Y542" s="5"/>
      <c r="Z542" s="5"/>
    </row>
    <row r="543">
      <c r="A543" s="5"/>
      <c r="B543" s="17"/>
      <c r="C543" s="18"/>
      <c r="D543" s="5"/>
      <c r="E543" s="20"/>
      <c r="F543" s="21"/>
      <c r="G543" s="21"/>
      <c r="H543" s="21"/>
      <c r="I543" s="5"/>
      <c r="J543" s="20"/>
      <c r="K543" s="5"/>
      <c r="L543" s="5"/>
      <c r="M543" s="5"/>
      <c r="N543" s="5"/>
      <c r="O543" s="24"/>
      <c r="P543" s="5"/>
      <c r="Q543" s="5"/>
      <c r="R543" s="5"/>
      <c r="S543" s="5"/>
      <c r="T543" s="5"/>
      <c r="U543" s="5"/>
      <c r="V543" s="5"/>
      <c r="W543" s="5"/>
      <c r="X543" s="5"/>
      <c r="Y543" s="5"/>
      <c r="Z543" s="5"/>
    </row>
    <row r="544">
      <c r="A544" s="5"/>
      <c r="B544" s="17"/>
      <c r="C544" s="18"/>
      <c r="D544" s="5"/>
      <c r="E544" s="20"/>
      <c r="F544" s="21"/>
      <c r="G544" s="21"/>
      <c r="H544" s="21"/>
      <c r="I544" s="5"/>
      <c r="J544" s="20"/>
      <c r="K544" s="5"/>
      <c r="L544" s="5"/>
      <c r="M544" s="5"/>
      <c r="N544" s="5"/>
      <c r="O544" s="24"/>
      <c r="P544" s="5"/>
      <c r="Q544" s="5"/>
      <c r="R544" s="5"/>
      <c r="S544" s="5"/>
      <c r="T544" s="5"/>
      <c r="U544" s="5"/>
      <c r="V544" s="5"/>
      <c r="W544" s="5"/>
      <c r="X544" s="5"/>
      <c r="Y544" s="5"/>
      <c r="Z544" s="5"/>
    </row>
    <row r="545">
      <c r="A545" s="5"/>
      <c r="B545" s="17"/>
      <c r="C545" s="18"/>
      <c r="D545" s="5"/>
      <c r="E545" s="20"/>
      <c r="F545" s="21"/>
      <c r="G545" s="21"/>
      <c r="H545" s="21"/>
      <c r="I545" s="5"/>
      <c r="J545" s="20"/>
      <c r="K545" s="5"/>
      <c r="L545" s="5"/>
      <c r="M545" s="5"/>
      <c r="N545" s="5"/>
      <c r="O545" s="24"/>
      <c r="P545" s="5"/>
      <c r="Q545" s="5"/>
      <c r="R545" s="5"/>
      <c r="S545" s="5"/>
      <c r="T545" s="5"/>
      <c r="U545" s="5"/>
      <c r="V545" s="5"/>
      <c r="W545" s="5"/>
      <c r="X545" s="5"/>
      <c r="Y545" s="5"/>
      <c r="Z545" s="5"/>
    </row>
    <row r="546">
      <c r="A546" s="5"/>
      <c r="B546" s="17"/>
      <c r="C546" s="18"/>
      <c r="D546" s="5"/>
      <c r="E546" s="20"/>
      <c r="F546" s="21"/>
      <c r="G546" s="21"/>
      <c r="H546" s="21"/>
      <c r="I546" s="5"/>
      <c r="J546" s="20"/>
      <c r="K546" s="5"/>
      <c r="L546" s="5"/>
      <c r="M546" s="5"/>
      <c r="N546" s="5"/>
      <c r="O546" s="24"/>
      <c r="P546" s="5"/>
      <c r="Q546" s="5"/>
      <c r="R546" s="5"/>
      <c r="S546" s="5"/>
      <c r="T546" s="5"/>
      <c r="U546" s="5"/>
      <c r="V546" s="5"/>
      <c r="W546" s="5"/>
      <c r="X546" s="5"/>
      <c r="Y546" s="5"/>
      <c r="Z546" s="5"/>
    </row>
    <row r="547">
      <c r="A547" s="5"/>
      <c r="B547" s="17"/>
      <c r="C547" s="18"/>
      <c r="D547" s="5"/>
      <c r="E547" s="20"/>
      <c r="F547" s="21"/>
      <c r="G547" s="21"/>
      <c r="H547" s="21"/>
      <c r="I547" s="5"/>
      <c r="J547" s="20"/>
      <c r="K547" s="5"/>
      <c r="L547" s="5"/>
      <c r="M547" s="5"/>
      <c r="N547" s="5"/>
      <c r="O547" s="24"/>
      <c r="P547" s="5"/>
      <c r="Q547" s="5"/>
      <c r="R547" s="5"/>
      <c r="S547" s="5"/>
      <c r="T547" s="5"/>
      <c r="U547" s="5"/>
      <c r="V547" s="5"/>
      <c r="W547" s="5"/>
      <c r="X547" s="5"/>
      <c r="Y547" s="5"/>
      <c r="Z547" s="5"/>
    </row>
    <row r="548">
      <c r="A548" s="5"/>
      <c r="B548" s="17"/>
      <c r="C548" s="18"/>
      <c r="D548" s="5"/>
      <c r="E548" s="20"/>
      <c r="F548" s="21"/>
      <c r="G548" s="21"/>
      <c r="H548" s="21"/>
      <c r="I548" s="5"/>
      <c r="J548" s="20"/>
      <c r="K548" s="5"/>
      <c r="L548" s="5"/>
      <c r="M548" s="5"/>
      <c r="N548" s="5"/>
      <c r="O548" s="24"/>
      <c r="P548" s="5"/>
      <c r="Q548" s="5"/>
      <c r="R548" s="5"/>
      <c r="S548" s="5"/>
      <c r="T548" s="5"/>
      <c r="U548" s="5"/>
      <c r="V548" s="5"/>
      <c r="W548" s="5"/>
      <c r="X548" s="5"/>
      <c r="Y548" s="5"/>
      <c r="Z548" s="5"/>
    </row>
    <row r="549">
      <c r="A549" s="5"/>
      <c r="B549" s="17"/>
      <c r="C549" s="18"/>
      <c r="D549" s="5"/>
      <c r="E549" s="20"/>
      <c r="F549" s="21"/>
      <c r="G549" s="21"/>
      <c r="H549" s="21"/>
      <c r="I549" s="5"/>
      <c r="J549" s="20"/>
      <c r="K549" s="5"/>
      <c r="L549" s="5"/>
      <c r="M549" s="5"/>
      <c r="N549" s="5"/>
      <c r="O549" s="24"/>
      <c r="P549" s="5"/>
      <c r="Q549" s="5"/>
      <c r="R549" s="5"/>
      <c r="S549" s="5"/>
      <c r="T549" s="5"/>
      <c r="U549" s="5"/>
      <c r="V549" s="5"/>
      <c r="W549" s="5"/>
      <c r="X549" s="5"/>
      <c r="Y549" s="5"/>
      <c r="Z549" s="5"/>
    </row>
    <row r="550">
      <c r="A550" s="5"/>
      <c r="B550" s="17"/>
      <c r="C550" s="18"/>
      <c r="D550" s="5"/>
      <c r="E550" s="20"/>
      <c r="F550" s="21"/>
      <c r="G550" s="21"/>
      <c r="H550" s="21"/>
      <c r="I550" s="5"/>
      <c r="J550" s="20"/>
      <c r="K550" s="5"/>
      <c r="L550" s="5"/>
      <c r="M550" s="5"/>
      <c r="N550" s="5"/>
      <c r="O550" s="24"/>
      <c r="P550" s="5"/>
      <c r="Q550" s="5"/>
      <c r="R550" s="5"/>
      <c r="S550" s="5"/>
      <c r="T550" s="5"/>
      <c r="U550" s="5"/>
      <c r="V550" s="5"/>
      <c r="W550" s="5"/>
      <c r="X550" s="5"/>
      <c r="Y550" s="5"/>
      <c r="Z550" s="5"/>
    </row>
    <row r="551">
      <c r="A551" s="5"/>
      <c r="B551" s="17"/>
      <c r="C551" s="18"/>
      <c r="D551" s="5"/>
      <c r="E551" s="20"/>
      <c r="F551" s="21"/>
      <c r="G551" s="21"/>
      <c r="H551" s="21"/>
      <c r="I551" s="5"/>
      <c r="J551" s="20"/>
      <c r="K551" s="5"/>
      <c r="L551" s="5"/>
      <c r="M551" s="5"/>
      <c r="N551" s="5"/>
      <c r="O551" s="24"/>
      <c r="P551" s="5"/>
      <c r="Q551" s="5"/>
      <c r="R551" s="5"/>
      <c r="S551" s="5"/>
      <c r="T551" s="5"/>
      <c r="U551" s="5"/>
      <c r="V551" s="5"/>
      <c r="W551" s="5"/>
      <c r="X551" s="5"/>
      <c r="Y551" s="5"/>
      <c r="Z551" s="5"/>
    </row>
    <row r="552">
      <c r="A552" s="5"/>
      <c r="B552" s="17"/>
      <c r="C552" s="18"/>
      <c r="D552" s="5"/>
      <c r="E552" s="20"/>
      <c r="F552" s="21"/>
      <c r="G552" s="21"/>
      <c r="H552" s="21"/>
      <c r="I552" s="5"/>
      <c r="J552" s="20"/>
      <c r="K552" s="5"/>
      <c r="L552" s="5"/>
      <c r="M552" s="5"/>
      <c r="N552" s="5"/>
      <c r="O552" s="24"/>
      <c r="P552" s="5"/>
      <c r="Q552" s="5"/>
      <c r="R552" s="5"/>
      <c r="S552" s="5"/>
      <c r="T552" s="5"/>
      <c r="U552" s="5"/>
      <c r="V552" s="5"/>
      <c r="W552" s="5"/>
      <c r="X552" s="5"/>
      <c r="Y552" s="5"/>
      <c r="Z552" s="5"/>
    </row>
    <row r="553">
      <c r="A553" s="5"/>
      <c r="B553" s="17"/>
      <c r="C553" s="18"/>
      <c r="D553" s="5"/>
      <c r="E553" s="20"/>
      <c r="F553" s="21"/>
      <c r="G553" s="21"/>
      <c r="H553" s="21"/>
      <c r="I553" s="5"/>
      <c r="J553" s="20"/>
      <c r="K553" s="5"/>
      <c r="L553" s="5"/>
      <c r="M553" s="5"/>
      <c r="N553" s="5"/>
      <c r="O553" s="24"/>
      <c r="P553" s="5"/>
      <c r="Q553" s="5"/>
      <c r="R553" s="5"/>
      <c r="S553" s="5"/>
      <c r="T553" s="5"/>
      <c r="U553" s="5"/>
      <c r="V553" s="5"/>
      <c r="W553" s="5"/>
      <c r="X553" s="5"/>
      <c r="Y553" s="5"/>
      <c r="Z553" s="5"/>
    </row>
    <row r="554">
      <c r="A554" s="5"/>
      <c r="B554" s="17"/>
      <c r="C554" s="18"/>
      <c r="D554" s="5"/>
      <c r="E554" s="20"/>
      <c r="F554" s="21"/>
      <c r="G554" s="21"/>
      <c r="H554" s="21"/>
      <c r="I554" s="5"/>
      <c r="J554" s="20"/>
      <c r="K554" s="5"/>
      <c r="L554" s="5"/>
      <c r="M554" s="5"/>
      <c r="N554" s="5"/>
      <c r="O554" s="24"/>
      <c r="P554" s="5"/>
      <c r="Q554" s="5"/>
      <c r="R554" s="5"/>
      <c r="S554" s="5"/>
      <c r="T554" s="5"/>
      <c r="U554" s="5"/>
      <c r="V554" s="5"/>
      <c r="W554" s="5"/>
      <c r="X554" s="5"/>
      <c r="Y554" s="5"/>
      <c r="Z554" s="5"/>
    </row>
    <row r="555">
      <c r="A555" s="5"/>
      <c r="B555" s="17"/>
      <c r="C555" s="18"/>
      <c r="D555" s="5"/>
      <c r="E555" s="20"/>
      <c r="F555" s="21"/>
      <c r="G555" s="21"/>
      <c r="H555" s="21"/>
      <c r="I555" s="5"/>
      <c r="J555" s="20"/>
      <c r="K555" s="5"/>
      <c r="L555" s="5"/>
      <c r="M555" s="5"/>
      <c r="N555" s="5"/>
      <c r="O555" s="24"/>
      <c r="P555" s="5"/>
      <c r="Q555" s="5"/>
      <c r="R555" s="5"/>
      <c r="S555" s="5"/>
      <c r="T555" s="5"/>
      <c r="U555" s="5"/>
      <c r="V555" s="5"/>
      <c r="W555" s="5"/>
      <c r="X555" s="5"/>
      <c r="Y555" s="5"/>
      <c r="Z555" s="5"/>
    </row>
    <row r="556">
      <c r="A556" s="5"/>
      <c r="B556" s="17"/>
      <c r="C556" s="18"/>
      <c r="D556" s="5"/>
      <c r="E556" s="20"/>
      <c r="F556" s="21"/>
      <c r="G556" s="21"/>
      <c r="H556" s="21"/>
      <c r="I556" s="5"/>
      <c r="J556" s="20"/>
      <c r="K556" s="5"/>
      <c r="L556" s="5"/>
      <c r="M556" s="5"/>
      <c r="N556" s="5"/>
      <c r="O556" s="24"/>
      <c r="P556" s="5"/>
      <c r="Q556" s="5"/>
      <c r="R556" s="5"/>
      <c r="S556" s="5"/>
      <c r="T556" s="5"/>
      <c r="U556" s="5"/>
      <c r="V556" s="5"/>
      <c r="W556" s="5"/>
      <c r="X556" s="5"/>
      <c r="Y556" s="5"/>
      <c r="Z556" s="5"/>
    </row>
    <row r="557">
      <c r="A557" s="5"/>
      <c r="B557" s="17"/>
      <c r="C557" s="18"/>
      <c r="D557" s="5"/>
      <c r="E557" s="20"/>
      <c r="F557" s="21"/>
      <c r="G557" s="21"/>
      <c r="H557" s="21"/>
      <c r="I557" s="5"/>
      <c r="J557" s="20"/>
      <c r="K557" s="5"/>
      <c r="L557" s="5"/>
      <c r="M557" s="5"/>
      <c r="N557" s="5"/>
      <c r="O557" s="24"/>
      <c r="P557" s="5"/>
      <c r="Q557" s="5"/>
      <c r="R557" s="5"/>
      <c r="S557" s="5"/>
      <c r="T557" s="5"/>
      <c r="U557" s="5"/>
      <c r="V557" s="5"/>
      <c r="W557" s="5"/>
      <c r="X557" s="5"/>
      <c r="Y557" s="5"/>
      <c r="Z557" s="5"/>
    </row>
    <row r="558">
      <c r="A558" s="5"/>
      <c r="B558" s="17"/>
      <c r="C558" s="18"/>
      <c r="D558" s="5"/>
      <c r="E558" s="20"/>
      <c r="F558" s="21"/>
      <c r="G558" s="21"/>
      <c r="H558" s="21"/>
      <c r="I558" s="5"/>
      <c r="J558" s="20"/>
      <c r="K558" s="5"/>
      <c r="L558" s="5"/>
      <c r="M558" s="5"/>
      <c r="N558" s="5"/>
      <c r="O558" s="24"/>
      <c r="P558" s="5"/>
      <c r="Q558" s="5"/>
      <c r="R558" s="5"/>
      <c r="S558" s="5"/>
      <c r="T558" s="5"/>
      <c r="U558" s="5"/>
      <c r="V558" s="5"/>
      <c r="W558" s="5"/>
      <c r="X558" s="5"/>
      <c r="Y558" s="5"/>
      <c r="Z558" s="5"/>
    </row>
    <row r="559">
      <c r="A559" s="5"/>
      <c r="B559" s="17"/>
      <c r="C559" s="18"/>
      <c r="D559" s="5"/>
      <c r="E559" s="20"/>
      <c r="F559" s="21"/>
      <c r="G559" s="21"/>
      <c r="H559" s="21"/>
      <c r="I559" s="5"/>
      <c r="J559" s="20"/>
      <c r="K559" s="5"/>
      <c r="L559" s="5"/>
      <c r="M559" s="5"/>
      <c r="N559" s="5"/>
      <c r="O559" s="24"/>
      <c r="P559" s="5"/>
      <c r="Q559" s="5"/>
      <c r="R559" s="5"/>
      <c r="S559" s="5"/>
      <c r="T559" s="5"/>
      <c r="U559" s="5"/>
      <c r="V559" s="5"/>
      <c r="W559" s="5"/>
      <c r="X559" s="5"/>
      <c r="Y559" s="5"/>
      <c r="Z559" s="5"/>
    </row>
    <row r="560">
      <c r="A560" s="5"/>
      <c r="B560" s="17"/>
      <c r="C560" s="18"/>
      <c r="D560" s="5"/>
      <c r="E560" s="20"/>
      <c r="F560" s="21"/>
      <c r="G560" s="21"/>
      <c r="H560" s="21"/>
      <c r="I560" s="5"/>
      <c r="J560" s="20"/>
      <c r="K560" s="5"/>
      <c r="L560" s="5"/>
      <c r="M560" s="5"/>
      <c r="N560" s="5"/>
      <c r="O560" s="24"/>
      <c r="P560" s="5"/>
      <c r="Q560" s="5"/>
      <c r="R560" s="5"/>
      <c r="S560" s="5"/>
      <c r="T560" s="5"/>
      <c r="U560" s="5"/>
      <c r="V560" s="5"/>
      <c r="W560" s="5"/>
      <c r="X560" s="5"/>
      <c r="Y560" s="5"/>
      <c r="Z560" s="5"/>
    </row>
    <row r="561">
      <c r="A561" s="5"/>
      <c r="B561" s="17"/>
      <c r="C561" s="18"/>
      <c r="D561" s="5"/>
      <c r="E561" s="20"/>
      <c r="F561" s="21"/>
      <c r="G561" s="21"/>
      <c r="H561" s="21"/>
      <c r="I561" s="5"/>
      <c r="J561" s="20"/>
      <c r="K561" s="5"/>
      <c r="L561" s="5"/>
      <c r="M561" s="5"/>
      <c r="N561" s="5"/>
      <c r="O561" s="24"/>
      <c r="P561" s="5"/>
      <c r="Q561" s="5"/>
      <c r="R561" s="5"/>
      <c r="S561" s="5"/>
      <c r="T561" s="5"/>
      <c r="U561" s="5"/>
      <c r="V561" s="5"/>
      <c r="W561" s="5"/>
      <c r="X561" s="5"/>
      <c r="Y561" s="5"/>
      <c r="Z561" s="5"/>
    </row>
    <row r="562">
      <c r="A562" s="5"/>
      <c r="B562" s="17"/>
      <c r="C562" s="18"/>
      <c r="D562" s="5"/>
      <c r="E562" s="20"/>
      <c r="F562" s="21"/>
      <c r="G562" s="21"/>
      <c r="H562" s="21"/>
      <c r="I562" s="5"/>
      <c r="J562" s="20"/>
      <c r="K562" s="5"/>
      <c r="L562" s="5"/>
      <c r="M562" s="5"/>
      <c r="N562" s="5"/>
      <c r="O562" s="24"/>
      <c r="P562" s="5"/>
      <c r="Q562" s="5"/>
      <c r="R562" s="5"/>
      <c r="S562" s="5"/>
      <c r="T562" s="5"/>
      <c r="U562" s="5"/>
      <c r="V562" s="5"/>
      <c r="W562" s="5"/>
      <c r="X562" s="5"/>
      <c r="Y562" s="5"/>
      <c r="Z562" s="5"/>
    </row>
    <row r="563">
      <c r="A563" s="5"/>
      <c r="B563" s="17"/>
      <c r="C563" s="18"/>
      <c r="D563" s="5"/>
      <c r="E563" s="20"/>
      <c r="F563" s="21"/>
      <c r="G563" s="21"/>
      <c r="H563" s="21"/>
      <c r="I563" s="5"/>
      <c r="J563" s="20"/>
      <c r="K563" s="5"/>
      <c r="L563" s="5"/>
      <c r="M563" s="5"/>
      <c r="N563" s="5"/>
      <c r="O563" s="24"/>
      <c r="P563" s="5"/>
      <c r="Q563" s="5"/>
      <c r="R563" s="5"/>
      <c r="S563" s="5"/>
      <c r="T563" s="5"/>
      <c r="U563" s="5"/>
      <c r="V563" s="5"/>
      <c r="W563" s="5"/>
      <c r="X563" s="5"/>
      <c r="Y563" s="5"/>
      <c r="Z563" s="5"/>
    </row>
    <row r="564">
      <c r="A564" s="5"/>
      <c r="B564" s="17"/>
      <c r="C564" s="18"/>
      <c r="D564" s="5"/>
      <c r="E564" s="20"/>
      <c r="F564" s="21"/>
      <c r="G564" s="21"/>
      <c r="H564" s="21"/>
      <c r="I564" s="5"/>
      <c r="J564" s="20"/>
      <c r="K564" s="5"/>
      <c r="L564" s="5"/>
      <c r="M564" s="5"/>
      <c r="N564" s="5"/>
      <c r="O564" s="24"/>
      <c r="P564" s="5"/>
      <c r="Q564" s="5"/>
      <c r="R564" s="5"/>
      <c r="S564" s="5"/>
      <c r="T564" s="5"/>
      <c r="U564" s="5"/>
      <c r="V564" s="5"/>
      <c r="W564" s="5"/>
      <c r="X564" s="5"/>
      <c r="Y564" s="5"/>
      <c r="Z564" s="5"/>
    </row>
    <row r="565">
      <c r="A565" s="5"/>
      <c r="B565" s="17"/>
      <c r="C565" s="18"/>
      <c r="D565" s="5"/>
      <c r="E565" s="20"/>
      <c r="F565" s="21"/>
      <c r="G565" s="21"/>
      <c r="H565" s="21"/>
      <c r="I565" s="5"/>
      <c r="J565" s="20"/>
      <c r="K565" s="5"/>
      <c r="L565" s="5"/>
      <c r="M565" s="5"/>
      <c r="N565" s="5"/>
      <c r="O565" s="24"/>
      <c r="P565" s="5"/>
      <c r="Q565" s="5"/>
      <c r="R565" s="5"/>
      <c r="S565" s="5"/>
      <c r="T565" s="5"/>
      <c r="U565" s="5"/>
      <c r="V565" s="5"/>
      <c r="W565" s="5"/>
      <c r="X565" s="5"/>
      <c r="Y565" s="5"/>
      <c r="Z565" s="5"/>
    </row>
    <row r="566">
      <c r="A566" s="5"/>
      <c r="B566" s="17"/>
      <c r="C566" s="18"/>
      <c r="D566" s="5"/>
      <c r="E566" s="20"/>
      <c r="F566" s="21"/>
      <c r="G566" s="21"/>
      <c r="H566" s="21"/>
      <c r="I566" s="5"/>
      <c r="J566" s="20"/>
      <c r="K566" s="5"/>
      <c r="L566" s="5"/>
      <c r="M566" s="5"/>
      <c r="N566" s="5"/>
      <c r="O566" s="24"/>
      <c r="P566" s="5"/>
      <c r="Q566" s="5"/>
      <c r="R566" s="5"/>
      <c r="S566" s="5"/>
      <c r="T566" s="5"/>
      <c r="U566" s="5"/>
      <c r="V566" s="5"/>
      <c r="W566" s="5"/>
      <c r="X566" s="5"/>
      <c r="Y566" s="5"/>
      <c r="Z566" s="5"/>
    </row>
    <row r="567">
      <c r="A567" s="5"/>
      <c r="B567" s="17"/>
      <c r="C567" s="18"/>
      <c r="D567" s="5"/>
      <c r="E567" s="20"/>
      <c r="F567" s="21"/>
      <c r="G567" s="21"/>
      <c r="H567" s="21"/>
      <c r="I567" s="5"/>
      <c r="J567" s="20"/>
      <c r="K567" s="5"/>
      <c r="L567" s="5"/>
      <c r="M567" s="5"/>
      <c r="N567" s="5"/>
      <c r="O567" s="24"/>
      <c r="P567" s="5"/>
      <c r="Q567" s="5"/>
      <c r="R567" s="5"/>
      <c r="S567" s="5"/>
      <c r="T567" s="5"/>
      <c r="U567" s="5"/>
      <c r="V567" s="5"/>
      <c r="W567" s="5"/>
      <c r="X567" s="5"/>
      <c r="Y567" s="5"/>
      <c r="Z567" s="5"/>
    </row>
    <row r="568">
      <c r="A568" s="5"/>
      <c r="B568" s="17"/>
      <c r="C568" s="18"/>
      <c r="D568" s="5"/>
      <c r="E568" s="20"/>
      <c r="F568" s="21"/>
      <c r="G568" s="21"/>
      <c r="H568" s="21"/>
      <c r="I568" s="5"/>
      <c r="J568" s="20"/>
      <c r="K568" s="5"/>
      <c r="L568" s="5"/>
      <c r="M568" s="5"/>
      <c r="N568" s="5"/>
      <c r="O568" s="24"/>
      <c r="P568" s="5"/>
      <c r="Q568" s="5"/>
      <c r="R568" s="5"/>
      <c r="S568" s="5"/>
      <c r="T568" s="5"/>
      <c r="U568" s="5"/>
      <c r="V568" s="5"/>
      <c r="W568" s="5"/>
      <c r="X568" s="5"/>
      <c r="Y568" s="5"/>
      <c r="Z568" s="5"/>
    </row>
    <row r="569">
      <c r="A569" s="5"/>
      <c r="B569" s="17"/>
      <c r="C569" s="18"/>
      <c r="D569" s="5"/>
      <c r="E569" s="20"/>
      <c r="F569" s="21"/>
      <c r="G569" s="21"/>
      <c r="H569" s="21"/>
      <c r="I569" s="5"/>
      <c r="J569" s="20"/>
      <c r="K569" s="5"/>
      <c r="L569" s="5"/>
      <c r="M569" s="5"/>
      <c r="N569" s="5"/>
      <c r="O569" s="24"/>
      <c r="P569" s="5"/>
      <c r="Q569" s="5"/>
      <c r="R569" s="5"/>
      <c r="S569" s="5"/>
      <c r="T569" s="5"/>
      <c r="U569" s="5"/>
      <c r="V569" s="5"/>
      <c r="W569" s="5"/>
      <c r="X569" s="5"/>
      <c r="Y569" s="5"/>
      <c r="Z569" s="5"/>
    </row>
    <row r="570">
      <c r="A570" s="5"/>
      <c r="B570" s="17"/>
      <c r="C570" s="18"/>
      <c r="D570" s="5"/>
      <c r="E570" s="20"/>
      <c r="F570" s="21"/>
      <c r="G570" s="21"/>
      <c r="H570" s="21"/>
      <c r="I570" s="5"/>
      <c r="J570" s="20"/>
      <c r="K570" s="5"/>
      <c r="L570" s="5"/>
      <c r="M570" s="5"/>
      <c r="N570" s="5"/>
      <c r="O570" s="24"/>
      <c r="P570" s="5"/>
      <c r="Q570" s="5"/>
      <c r="R570" s="5"/>
      <c r="S570" s="5"/>
      <c r="T570" s="5"/>
      <c r="U570" s="5"/>
      <c r="V570" s="5"/>
      <c r="W570" s="5"/>
      <c r="X570" s="5"/>
      <c r="Y570" s="5"/>
      <c r="Z570" s="5"/>
    </row>
    <row r="571">
      <c r="A571" s="5"/>
      <c r="B571" s="17"/>
      <c r="C571" s="18"/>
      <c r="D571" s="5"/>
      <c r="E571" s="20"/>
      <c r="F571" s="21"/>
      <c r="G571" s="21"/>
      <c r="H571" s="21"/>
      <c r="I571" s="5"/>
      <c r="J571" s="20"/>
      <c r="K571" s="5"/>
      <c r="L571" s="5"/>
      <c r="M571" s="5"/>
      <c r="N571" s="5"/>
      <c r="O571" s="24"/>
      <c r="P571" s="5"/>
      <c r="Q571" s="5"/>
      <c r="R571" s="5"/>
      <c r="S571" s="5"/>
      <c r="T571" s="5"/>
      <c r="U571" s="5"/>
      <c r="V571" s="5"/>
      <c r="W571" s="5"/>
      <c r="X571" s="5"/>
      <c r="Y571" s="5"/>
      <c r="Z571" s="5"/>
    </row>
    <row r="572">
      <c r="A572" s="5"/>
      <c r="B572" s="17"/>
      <c r="C572" s="18"/>
      <c r="D572" s="5"/>
      <c r="E572" s="20"/>
      <c r="F572" s="21"/>
      <c r="G572" s="21"/>
      <c r="H572" s="21"/>
      <c r="I572" s="5"/>
      <c r="J572" s="20"/>
      <c r="K572" s="5"/>
      <c r="L572" s="5"/>
      <c r="M572" s="5"/>
      <c r="N572" s="5"/>
      <c r="O572" s="24"/>
      <c r="P572" s="5"/>
      <c r="Q572" s="5"/>
      <c r="R572" s="5"/>
      <c r="S572" s="5"/>
      <c r="T572" s="5"/>
      <c r="U572" s="5"/>
      <c r="V572" s="5"/>
      <c r="W572" s="5"/>
      <c r="X572" s="5"/>
      <c r="Y572" s="5"/>
      <c r="Z572" s="5"/>
    </row>
    <row r="573">
      <c r="A573" s="5"/>
      <c r="B573" s="17"/>
      <c r="C573" s="18"/>
      <c r="D573" s="5"/>
      <c r="E573" s="20"/>
      <c r="F573" s="21"/>
      <c r="G573" s="21"/>
      <c r="H573" s="21"/>
      <c r="I573" s="5"/>
      <c r="J573" s="20"/>
      <c r="K573" s="5"/>
      <c r="L573" s="5"/>
      <c r="M573" s="5"/>
      <c r="N573" s="5"/>
      <c r="O573" s="24"/>
      <c r="P573" s="5"/>
      <c r="Q573" s="5"/>
      <c r="R573" s="5"/>
      <c r="S573" s="5"/>
      <c r="T573" s="5"/>
      <c r="U573" s="5"/>
      <c r="V573" s="5"/>
      <c r="W573" s="5"/>
      <c r="X573" s="5"/>
      <c r="Y573" s="5"/>
      <c r="Z573" s="5"/>
    </row>
    <row r="574">
      <c r="A574" s="5"/>
      <c r="B574" s="17"/>
      <c r="C574" s="18"/>
      <c r="D574" s="5"/>
      <c r="E574" s="20"/>
      <c r="F574" s="21"/>
      <c r="G574" s="21"/>
      <c r="H574" s="21"/>
      <c r="I574" s="5"/>
      <c r="J574" s="20"/>
      <c r="K574" s="5"/>
      <c r="L574" s="5"/>
      <c r="M574" s="5"/>
      <c r="N574" s="5"/>
      <c r="O574" s="24"/>
      <c r="P574" s="5"/>
      <c r="Q574" s="5"/>
      <c r="R574" s="5"/>
      <c r="S574" s="5"/>
      <c r="T574" s="5"/>
      <c r="U574" s="5"/>
      <c r="V574" s="5"/>
      <c r="W574" s="5"/>
      <c r="X574" s="5"/>
      <c r="Y574" s="5"/>
      <c r="Z574" s="5"/>
    </row>
    <row r="575">
      <c r="A575" s="5"/>
      <c r="B575" s="17"/>
      <c r="C575" s="18"/>
      <c r="D575" s="5"/>
      <c r="E575" s="20"/>
      <c r="F575" s="21"/>
      <c r="G575" s="21"/>
      <c r="H575" s="21"/>
      <c r="I575" s="5"/>
      <c r="J575" s="20"/>
      <c r="K575" s="5"/>
      <c r="L575" s="5"/>
      <c r="M575" s="5"/>
      <c r="N575" s="5"/>
      <c r="O575" s="24"/>
      <c r="P575" s="5"/>
      <c r="Q575" s="5"/>
      <c r="R575" s="5"/>
      <c r="S575" s="5"/>
      <c r="T575" s="5"/>
      <c r="U575" s="5"/>
      <c r="V575" s="5"/>
      <c r="W575" s="5"/>
      <c r="X575" s="5"/>
      <c r="Y575" s="5"/>
      <c r="Z575" s="5"/>
    </row>
    <row r="576">
      <c r="A576" s="5"/>
      <c r="B576" s="17"/>
      <c r="C576" s="18"/>
      <c r="D576" s="5"/>
      <c r="E576" s="20"/>
      <c r="F576" s="21"/>
      <c r="G576" s="21"/>
      <c r="H576" s="21"/>
      <c r="I576" s="5"/>
      <c r="J576" s="20"/>
      <c r="K576" s="5"/>
      <c r="L576" s="5"/>
      <c r="M576" s="5"/>
      <c r="N576" s="5"/>
      <c r="O576" s="24"/>
      <c r="P576" s="5"/>
      <c r="Q576" s="5"/>
      <c r="R576" s="5"/>
      <c r="S576" s="5"/>
      <c r="T576" s="5"/>
      <c r="U576" s="5"/>
      <c r="V576" s="5"/>
      <c r="W576" s="5"/>
      <c r="X576" s="5"/>
      <c r="Y576" s="5"/>
      <c r="Z576" s="5"/>
    </row>
    <row r="577">
      <c r="A577" s="5"/>
      <c r="B577" s="17"/>
      <c r="C577" s="18"/>
      <c r="D577" s="5"/>
      <c r="E577" s="20"/>
      <c r="F577" s="21"/>
      <c r="G577" s="21"/>
      <c r="H577" s="21"/>
      <c r="I577" s="5"/>
      <c r="J577" s="20"/>
      <c r="K577" s="5"/>
      <c r="L577" s="5"/>
      <c r="M577" s="5"/>
      <c r="N577" s="5"/>
      <c r="O577" s="24"/>
      <c r="P577" s="5"/>
      <c r="Q577" s="5"/>
      <c r="R577" s="5"/>
      <c r="S577" s="5"/>
      <c r="T577" s="5"/>
      <c r="U577" s="5"/>
      <c r="V577" s="5"/>
      <c r="W577" s="5"/>
      <c r="X577" s="5"/>
      <c r="Y577" s="5"/>
      <c r="Z577" s="5"/>
    </row>
    <row r="578">
      <c r="A578" s="5"/>
      <c r="B578" s="17"/>
      <c r="C578" s="18"/>
      <c r="D578" s="5"/>
      <c r="E578" s="20"/>
      <c r="F578" s="21"/>
      <c r="G578" s="21"/>
      <c r="H578" s="21"/>
      <c r="I578" s="5"/>
      <c r="J578" s="20"/>
      <c r="K578" s="5"/>
      <c r="L578" s="5"/>
      <c r="M578" s="5"/>
      <c r="N578" s="5"/>
      <c r="O578" s="24"/>
      <c r="P578" s="5"/>
      <c r="Q578" s="5"/>
      <c r="R578" s="5"/>
      <c r="S578" s="5"/>
      <c r="T578" s="5"/>
      <c r="U578" s="5"/>
      <c r="V578" s="5"/>
      <c r="W578" s="5"/>
      <c r="X578" s="5"/>
      <c r="Y578" s="5"/>
      <c r="Z578" s="5"/>
    </row>
    <row r="579">
      <c r="A579" s="5"/>
      <c r="B579" s="17"/>
      <c r="C579" s="18"/>
      <c r="D579" s="5"/>
      <c r="E579" s="20"/>
      <c r="F579" s="21"/>
      <c r="G579" s="21"/>
      <c r="H579" s="21"/>
      <c r="I579" s="5"/>
      <c r="J579" s="20"/>
      <c r="K579" s="5"/>
      <c r="L579" s="5"/>
      <c r="M579" s="5"/>
      <c r="N579" s="5"/>
      <c r="O579" s="24"/>
      <c r="P579" s="5"/>
      <c r="Q579" s="5"/>
      <c r="R579" s="5"/>
      <c r="S579" s="5"/>
      <c r="T579" s="5"/>
      <c r="U579" s="5"/>
      <c r="V579" s="5"/>
      <c r="W579" s="5"/>
      <c r="X579" s="5"/>
      <c r="Y579" s="5"/>
      <c r="Z579" s="5"/>
    </row>
    <row r="580">
      <c r="A580" s="5"/>
      <c r="B580" s="17"/>
      <c r="C580" s="18"/>
      <c r="D580" s="5"/>
      <c r="E580" s="20"/>
      <c r="F580" s="21"/>
      <c r="G580" s="21"/>
      <c r="H580" s="21"/>
      <c r="I580" s="5"/>
      <c r="J580" s="20"/>
      <c r="K580" s="5"/>
      <c r="L580" s="5"/>
      <c r="M580" s="5"/>
      <c r="N580" s="5"/>
      <c r="O580" s="24"/>
      <c r="P580" s="5"/>
      <c r="Q580" s="5"/>
      <c r="R580" s="5"/>
      <c r="S580" s="5"/>
      <c r="T580" s="5"/>
      <c r="U580" s="5"/>
      <c r="V580" s="5"/>
      <c r="W580" s="5"/>
      <c r="X580" s="5"/>
      <c r="Y580" s="5"/>
      <c r="Z580" s="5"/>
    </row>
    <row r="581">
      <c r="A581" s="5"/>
      <c r="B581" s="17"/>
      <c r="C581" s="18"/>
      <c r="D581" s="5"/>
      <c r="E581" s="20"/>
      <c r="F581" s="21"/>
      <c r="G581" s="21"/>
      <c r="H581" s="21"/>
      <c r="I581" s="5"/>
      <c r="J581" s="20"/>
      <c r="K581" s="5"/>
      <c r="L581" s="5"/>
      <c r="M581" s="5"/>
      <c r="N581" s="5"/>
      <c r="O581" s="24"/>
      <c r="P581" s="5"/>
      <c r="Q581" s="5"/>
      <c r="R581" s="5"/>
      <c r="S581" s="5"/>
      <c r="T581" s="5"/>
      <c r="U581" s="5"/>
      <c r="V581" s="5"/>
      <c r="W581" s="5"/>
      <c r="X581" s="5"/>
      <c r="Y581" s="5"/>
      <c r="Z581" s="5"/>
    </row>
    <row r="582">
      <c r="A582" s="5"/>
      <c r="B582" s="17"/>
      <c r="C582" s="18"/>
      <c r="D582" s="5"/>
      <c r="E582" s="20"/>
      <c r="F582" s="21"/>
      <c r="G582" s="21"/>
      <c r="H582" s="21"/>
      <c r="I582" s="5"/>
      <c r="J582" s="20"/>
      <c r="K582" s="5"/>
      <c r="L582" s="5"/>
      <c r="M582" s="5"/>
      <c r="N582" s="5"/>
      <c r="O582" s="24"/>
      <c r="P582" s="5"/>
      <c r="Q582" s="5"/>
      <c r="R582" s="5"/>
      <c r="S582" s="5"/>
      <c r="T582" s="5"/>
      <c r="U582" s="5"/>
      <c r="V582" s="5"/>
      <c r="W582" s="5"/>
      <c r="X582" s="5"/>
      <c r="Y582" s="5"/>
      <c r="Z582" s="5"/>
    </row>
    <row r="583">
      <c r="A583" s="5"/>
      <c r="B583" s="17"/>
      <c r="C583" s="18"/>
      <c r="D583" s="5"/>
      <c r="E583" s="20"/>
      <c r="F583" s="21"/>
      <c r="G583" s="21"/>
      <c r="H583" s="21"/>
      <c r="I583" s="5"/>
      <c r="J583" s="20"/>
      <c r="K583" s="5"/>
      <c r="L583" s="5"/>
      <c r="M583" s="5"/>
      <c r="N583" s="5"/>
      <c r="O583" s="24"/>
      <c r="P583" s="5"/>
      <c r="Q583" s="5"/>
      <c r="R583" s="5"/>
      <c r="S583" s="5"/>
      <c r="T583" s="5"/>
      <c r="U583" s="5"/>
      <c r="V583" s="5"/>
      <c r="W583" s="5"/>
      <c r="X583" s="5"/>
      <c r="Y583" s="5"/>
      <c r="Z583" s="5"/>
    </row>
    <row r="584">
      <c r="A584" s="5"/>
      <c r="B584" s="17"/>
      <c r="C584" s="18"/>
      <c r="D584" s="5"/>
      <c r="E584" s="20"/>
      <c r="F584" s="21"/>
      <c r="G584" s="21"/>
      <c r="H584" s="21"/>
      <c r="I584" s="5"/>
      <c r="J584" s="20"/>
      <c r="K584" s="5"/>
      <c r="L584" s="5"/>
      <c r="M584" s="5"/>
      <c r="N584" s="5"/>
      <c r="O584" s="24"/>
      <c r="P584" s="5"/>
      <c r="Q584" s="5"/>
      <c r="R584" s="5"/>
      <c r="S584" s="5"/>
      <c r="T584" s="5"/>
      <c r="U584" s="5"/>
      <c r="V584" s="5"/>
      <c r="W584" s="5"/>
      <c r="X584" s="5"/>
      <c r="Y584" s="5"/>
      <c r="Z584" s="5"/>
    </row>
    <row r="585">
      <c r="A585" s="5"/>
      <c r="B585" s="17"/>
      <c r="C585" s="18"/>
      <c r="D585" s="5"/>
      <c r="E585" s="20"/>
      <c r="F585" s="21"/>
      <c r="G585" s="21"/>
      <c r="H585" s="21"/>
      <c r="I585" s="5"/>
      <c r="J585" s="20"/>
      <c r="K585" s="5"/>
      <c r="L585" s="5"/>
      <c r="M585" s="5"/>
      <c r="N585" s="5"/>
      <c r="O585" s="24"/>
      <c r="P585" s="5"/>
      <c r="Q585" s="5"/>
      <c r="R585" s="5"/>
      <c r="S585" s="5"/>
      <c r="T585" s="5"/>
      <c r="U585" s="5"/>
      <c r="V585" s="5"/>
      <c r="W585" s="5"/>
      <c r="X585" s="5"/>
      <c r="Y585" s="5"/>
      <c r="Z585" s="5"/>
    </row>
    <row r="586">
      <c r="A586" s="5"/>
      <c r="B586" s="17"/>
      <c r="C586" s="18"/>
      <c r="D586" s="5"/>
      <c r="E586" s="20"/>
      <c r="F586" s="21"/>
      <c r="G586" s="21"/>
      <c r="H586" s="21"/>
      <c r="I586" s="5"/>
      <c r="J586" s="20"/>
      <c r="K586" s="5"/>
      <c r="L586" s="5"/>
      <c r="M586" s="5"/>
      <c r="N586" s="5"/>
      <c r="O586" s="24"/>
      <c r="P586" s="5"/>
      <c r="Q586" s="5"/>
      <c r="R586" s="5"/>
      <c r="S586" s="5"/>
      <c r="T586" s="5"/>
      <c r="U586" s="5"/>
      <c r="V586" s="5"/>
      <c r="W586" s="5"/>
      <c r="X586" s="5"/>
      <c r="Y586" s="5"/>
      <c r="Z586" s="5"/>
    </row>
    <row r="587">
      <c r="A587" s="5"/>
      <c r="B587" s="17"/>
      <c r="C587" s="18"/>
      <c r="D587" s="5"/>
      <c r="E587" s="20"/>
      <c r="F587" s="21"/>
      <c r="G587" s="21"/>
      <c r="H587" s="21"/>
      <c r="I587" s="5"/>
      <c r="J587" s="20"/>
      <c r="K587" s="5"/>
      <c r="L587" s="5"/>
      <c r="M587" s="5"/>
      <c r="N587" s="5"/>
      <c r="O587" s="24"/>
      <c r="P587" s="5"/>
      <c r="Q587" s="5"/>
      <c r="R587" s="5"/>
      <c r="S587" s="5"/>
      <c r="T587" s="5"/>
      <c r="U587" s="5"/>
      <c r="V587" s="5"/>
      <c r="W587" s="5"/>
      <c r="X587" s="5"/>
      <c r="Y587" s="5"/>
      <c r="Z587" s="5"/>
    </row>
    <row r="588">
      <c r="A588" s="5"/>
      <c r="B588" s="17"/>
      <c r="C588" s="18"/>
      <c r="D588" s="5"/>
      <c r="E588" s="20"/>
      <c r="F588" s="21"/>
      <c r="G588" s="21"/>
      <c r="H588" s="21"/>
      <c r="I588" s="5"/>
      <c r="J588" s="20"/>
      <c r="K588" s="5"/>
      <c r="L588" s="5"/>
      <c r="M588" s="5"/>
      <c r="N588" s="5"/>
      <c r="O588" s="24"/>
      <c r="P588" s="5"/>
      <c r="Q588" s="5"/>
      <c r="R588" s="5"/>
      <c r="S588" s="5"/>
      <c r="T588" s="5"/>
      <c r="U588" s="5"/>
      <c r="V588" s="5"/>
      <c r="W588" s="5"/>
      <c r="X588" s="5"/>
      <c r="Y588" s="5"/>
      <c r="Z588" s="5"/>
    </row>
    <row r="589">
      <c r="A589" s="5"/>
      <c r="B589" s="17"/>
      <c r="C589" s="18"/>
      <c r="D589" s="5"/>
      <c r="E589" s="20"/>
      <c r="F589" s="21"/>
      <c r="G589" s="21"/>
      <c r="H589" s="21"/>
      <c r="I589" s="5"/>
      <c r="J589" s="20"/>
      <c r="K589" s="5"/>
      <c r="L589" s="5"/>
      <c r="M589" s="5"/>
      <c r="N589" s="5"/>
      <c r="O589" s="24"/>
      <c r="P589" s="5"/>
      <c r="Q589" s="5"/>
      <c r="R589" s="5"/>
      <c r="S589" s="5"/>
      <c r="T589" s="5"/>
      <c r="U589" s="5"/>
      <c r="V589" s="5"/>
      <c r="W589" s="5"/>
      <c r="X589" s="5"/>
      <c r="Y589" s="5"/>
      <c r="Z589" s="5"/>
    </row>
    <row r="590">
      <c r="A590" s="5"/>
      <c r="B590" s="17"/>
      <c r="C590" s="18"/>
      <c r="D590" s="5"/>
      <c r="E590" s="20"/>
      <c r="F590" s="21"/>
      <c r="G590" s="21"/>
      <c r="H590" s="21"/>
      <c r="I590" s="5"/>
      <c r="J590" s="20"/>
      <c r="K590" s="5"/>
      <c r="L590" s="5"/>
      <c r="M590" s="5"/>
      <c r="N590" s="5"/>
      <c r="O590" s="24"/>
      <c r="P590" s="5"/>
      <c r="Q590" s="5"/>
      <c r="R590" s="5"/>
      <c r="S590" s="5"/>
      <c r="T590" s="5"/>
      <c r="U590" s="5"/>
      <c r="V590" s="5"/>
      <c r="W590" s="5"/>
      <c r="X590" s="5"/>
      <c r="Y590" s="5"/>
      <c r="Z590" s="5"/>
    </row>
    <row r="591">
      <c r="A591" s="5"/>
      <c r="B591" s="17"/>
      <c r="C591" s="18"/>
      <c r="D591" s="5"/>
      <c r="E591" s="20"/>
      <c r="F591" s="21"/>
      <c r="G591" s="21"/>
      <c r="H591" s="21"/>
      <c r="I591" s="5"/>
      <c r="J591" s="20"/>
      <c r="K591" s="5"/>
      <c r="L591" s="5"/>
      <c r="M591" s="5"/>
      <c r="N591" s="5"/>
      <c r="O591" s="24"/>
      <c r="P591" s="5"/>
      <c r="Q591" s="5"/>
      <c r="R591" s="5"/>
      <c r="S591" s="5"/>
      <c r="T591" s="5"/>
      <c r="U591" s="5"/>
      <c r="V591" s="5"/>
      <c r="W591" s="5"/>
      <c r="X591" s="5"/>
      <c r="Y591" s="5"/>
      <c r="Z591" s="5"/>
    </row>
    <row r="592">
      <c r="A592" s="5"/>
      <c r="B592" s="17"/>
      <c r="C592" s="18"/>
      <c r="D592" s="5"/>
      <c r="E592" s="20"/>
      <c r="F592" s="21"/>
      <c r="G592" s="21"/>
      <c r="H592" s="21"/>
      <c r="I592" s="5"/>
      <c r="J592" s="20"/>
      <c r="K592" s="5"/>
      <c r="L592" s="5"/>
      <c r="M592" s="5"/>
      <c r="N592" s="5"/>
      <c r="O592" s="24"/>
      <c r="P592" s="5"/>
      <c r="Q592" s="5"/>
      <c r="R592" s="5"/>
      <c r="S592" s="5"/>
      <c r="T592" s="5"/>
      <c r="U592" s="5"/>
      <c r="V592" s="5"/>
      <c r="W592" s="5"/>
      <c r="X592" s="5"/>
      <c r="Y592" s="5"/>
      <c r="Z592" s="5"/>
    </row>
    <row r="593">
      <c r="A593" s="5"/>
      <c r="B593" s="17"/>
      <c r="C593" s="18"/>
      <c r="D593" s="5"/>
      <c r="E593" s="20"/>
      <c r="F593" s="21"/>
      <c r="G593" s="21"/>
      <c r="H593" s="21"/>
      <c r="I593" s="5"/>
      <c r="J593" s="20"/>
      <c r="K593" s="5"/>
      <c r="L593" s="5"/>
      <c r="M593" s="5"/>
      <c r="N593" s="5"/>
      <c r="O593" s="24"/>
      <c r="P593" s="5"/>
      <c r="Q593" s="5"/>
      <c r="R593" s="5"/>
      <c r="S593" s="5"/>
      <c r="T593" s="5"/>
      <c r="U593" s="5"/>
      <c r="V593" s="5"/>
      <c r="W593" s="5"/>
      <c r="X593" s="5"/>
      <c r="Y593" s="5"/>
      <c r="Z593" s="5"/>
    </row>
    <row r="594">
      <c r="A594" s="5"/>
      <c r="B594" s="17"/>
      <c r="C594" s="18"/>
      <c r="D594" s="5"/>
      <c r="E594" s="20"/>
      <c r="F594" s="21"/>
      <c r="G594" s="21"/>
      <c r="H594" s="21"/>
      <c r="I594" s="5"/>
      <c r="J594" s="20"/>
      <c r="K594" s="5"/>
      <c r="L594" s="5"/>
      <c r="M594" s="5"/>
      <c r="N594" s="5"/>
      <c r="O594" s="24"/>
      <c r="P594" s="5"/>
      <c r="Q594" s="5"/>
      <c r="R594" s="5"/>
      <c r="S594" s="5"/>
      <c r="T594" s="5"/>
      <c r="U594" s="5"/>
      <c r="V594" s="5"/>
      <c r="W594" s="5"/>
      <c r="X594" s="5"/>
      <c r="Y594" s="5"/>
      <c r="Z594" s="5"/>
    </row>
    <row r="595">
      <c r="A595" s="5"/>
      <c r="B595" s="17"/>
      <c r="C595" s="18"/>
      <c r="D595" s="5"/>
      <c r="E595" s="20"/>
      <c r="F595" s="21"/>
      <c r="G595" s="21"/>
      <c r="H595" s="21"/>
      <c r="I595" s="5"/>
      <c r="J595" s="20"/>
      <c r="K595" s="5"/>
      <c r="L595" s="5"/>
      <c r="M595" s="5"/>
      <c r="N595" s="5"/>
      <c r="O595" s="24"/>
      <c r="P595" s="5"/>
      <c r="Q595" s="5"/>
      <c r="R595" s="5"/>
      <c r="S595" s="5"/>
      <c r="T595" s="5"/>
      <c r="U595" s="5"/>
      <c r="V595" s="5"/>
      <c r="W595" s="5"/>
      <c r="X595" s="5"/>
      <c r="Y595" s="5"/>
      <c r="Z595" s="5"/>
    </row>
    <row r="596">
      <c r="A596" s="5"/>
      <c r="B596" s="17"/>
      <c r="C596" s="18"/>
      <c r="D596" s="5"/>
      <c r="E596" s="20"/>
      <c r="F596" s="21"/>
      <c r="G596" s="21"/>
      <c r="H596" s="21"/>
      <c r="I596" s="5"/>
      <c r="J596" s="20"/>
      <c r="K596" s="5"/>
      <c r="L596" s="5"/>
      <c r="M596" s="5"/>
      <c r="N596" s="5"/>
      <c r="O596" s="24"/>
      <c r="P596" s="5"/>
      <c r="Q596" s="5"/>
      <c r="R596" s="5"/>
      <c r="S596" s="5"/>
      <c r="T596" s="5"/>
      <c r="U596" s="5"/>
      <c r="V596" s="5"/>
      <c r="W596" s="5"/>
      <c r="X596" s="5"/>
      <c r="Y596" s="5"/>
      <c r="Z596" s="5"/>
    </row>
    <row r="597">
      <c r="A597" s="5"/>
      <c r="B597" s="17"/>
      <c r="C597" s="18"/>
      <c r="D597" s="5"/>
      <c r="E597" s="20"/>
      <c r="F597" s="21"/>
      <c r="G597" s="21"/>
      <c r="H597" s="21"/>
      <c r="I597" s="5"/>
      <c r="J597" s="20"/>
      <c r="K597" s="5"/>
      <c r="L597" s="5"/>
      <c r="M597" s="5"/>
      <c r="N597" s="5"/>
      <c r="O597" s="24"/>
      <c r="P597" s="5"/>
      <c r="Q597" s="5"/>
      <c r="R597" s="5"/>
      <c r="S597" s="5"/>
      <c r="T597" s="5"/>
      <c r="U597" s="5"/>
      <c r="V597" s="5"/>
      <c r="W597" s="5"/>
      <c r="X597" s="5"/>
      <c r="Y597" s="5"/>
      <c r="Z597" s="5"/>
    </row>
    <row r="598">
      <c r="A598" s="5"/>
      <c r="B598" s="17"/>
      <c r="C598" s="18"/>
      <c r="D598" s="5"/>
      <c r="E598" s="20"/>
      <c r="F598" s="21"/>
      <c r="G598" s="21"/>
      <c r="H598" s="21"/>
      <c r="I598" s="5"/>
      <c r="J598" s="20"/>
      <c r="K598" s="5"/>
      <c r="L598" s="5"/>
      <c r="M598" s="5"/>
      <c r="N598" s="5"/>
      <c r="O598" s="24"/>
      <c r="P598" s="5"/>
      <c r="Q598" s="5"/>
      <c r="R598" s="5"/>
      <c r="S598" s="5"/>
      <c r="T598" s="5"/>
      <c r="U598" s="5"/>
      <c r="V598" s="5"/>
      <c r="W598" s="5"/>
      <c r="X598" s="5"/>
      <c r="Y598" s="5"/>
      <c r="Z598" s="5"/>
    </row>
    <row r="599">
      <c r="A599" s="5"/>
      <c r="B599" s="17"/>
      <c r="C599" s="18"/>
      <c r="D599" s="5"/>
      <c r="E599" s="20"/>
      <c r="F599" s="21"/>
      <c r="G599" s="21"/>
      <c r="H599" s="21"/>
      <c r="I599" s="5"/>
      <c r="J599" s="20"/>
      <c r="K599" s="5"/>
      <c r="L599" s="5"/>
      <c r="M599" s="5"/>
      <c r="N599" s="5"/>
      <c r="O599" s="24"/>
      <c r="P599" s="5"/>
      <c r="Q599" s="5"/>
      <c r="R599" s="5"/>
      <c r="S599" s="5"/>
      <c r="T599" s="5"/>
      <c r="U599" s="5"/>
      <c r="V599" s="5"/>
      <c r="W599" s="5"/>
      <c r="X599" s="5"/>
      <c r="Y599" s="5"/>
      <c r="Z599" s="5"/>
    </row>
    <row r="600">
      <c r="A600" s="5"/>
      <c r="B600" s="17"/>
      <c r="C600" s="18"/>
      <c r="D600" s="5"/>
      <c r="E600" s="20"/>
      <c r="F600" s="21"/>
      <c r="G600" s="21"/>
      <c r="H600" s="21"/>
      <c r="I600" s="5"/>
      <c r="J600" s="20"/>
      <c r="K600" s="5"/>
      <c r="L600" s="5"/>
      <c r="M600" s="5"/>
      <c r="N600" s="5"/>
      <c r="O600" s="24"/>
      <c r="P600" s="5"/>
      <c r="Q600" s="5"/>
      <c r="R600" s="5"/>
      <c r="S600" s="5"/>
      <c r="T600" s="5"/>
      <c r="U600" s="5"/>
      <c r="V600" s="5"/>
      <c r="W600" s="5"/>
      <c r="X600" s="5"/>
      <c r="Y600" s="5"/>
      <c r="Z600" s="5"/>
    </row>
    <row r="601">
      <c r="A601" s="5"/>
      <c r="B601" s="17"/>
      <c r="C601" s="18"/>
      <c r="D601" s="5"/>
      <c r="E601" s="20"/>
      <c r="F601" s="21"/>
      <c r="G601" s="21"/>
      <c r="H601" s="21"/>
      <c r="I601" s="5"/>
      <c r="J601" s="20"/>
      <c r="K601" s="5"/>
      <c r="L601" s="5"/>
      <c r="M601" s="5"/>
      <c r="N601" s="5"/>
      <c r="O601" s="24"/>
      <c r="P601" s="5"/>
      <c r="Q601" s="5"/>
      <c r="R601" s="5"/>
      <c r="S601" s="5"/>
      <c r="T601" s="5"/>
      <c r="U601" s="5"/>
      <c r="V601" s="5"/>
      <c r="W601" s="5"/>
      <c r="X601" s="5"/>
      <c r="Y601" s="5"/>
      <c r="Z601" s="5"/>
    </row>
    <row r="602">
      <c r="A602" s="5"/>
      <c r="B602" s="17"/>
      <c r="C602" s="18"/>
      <c r="D602" s="5"/>
      <c r="E602" s="20"/>
      <c r="F602" s="21"/>
      <c r="G602" s="21"/>
      <c r="H602" s="21"/>
      <c r="I602" s="5"/>
      <c r="J602" s="20"/>
      <c r="K602" s="5"/>
      <c r="L602" s="5"/>
      <c r="M602" s="5"/>
      <c r="N602" s="5"/>
      <c r="O602" s="24"/>
      <c r="P602" s="5"/>
      <c r="Q602" s="5"/>
      <c r="R602" s="5"/>
      <c r="S602" s="5"/>
      <c r="T602" s="5"/>
      <c r="U602" s="5"/>
      <c r="V602" s="5"/>
      <c r="W602" s="5"/>
      <c r="X602" s="5"/>
      <c r="Y602" s="5"/>
      <c r="Z602" s="5"/>
    </row>
    <row r="603">
      <c r="A603" s="5"/>
      <c r="B603" s="17"/>
      <c r="C603" s="18"/>
      <c r="D603" s="5"/>
      <c r="E603" s="20"/>
      <c r="F603" s="21"/>
      <c r="G603" s="21"/>
      <c r="H603" s="21"/>
      <c r="I603" s="5"/>
      <c r="J603" s="20"/>
      <c r="K603" s="5"/>
      <c r="L603" s="5"/>
      <c r="M603" s="5"/>
      <c r="N603" s="5"/>
      <c r="O603" s="24"/>
      <c r="P603" s="5"/>
      <c r="Q603" s="5"/>
      <c r="R603" s="5"/>
      <c r="S603" s="5"/>
      <c r="T603" s="5"/>
      <c r="U603" s="5"/>
      <c r="V603" s="5"/>
      <c r="W603" s="5"/>
      <c r="X603" s="5"/>
      <c r="Y603" s="5"/>
      <c r="Z603" s="5"/>
    </row>
    <row r="604">
      <c r="A604" s="5"/>
      <c r="B604" s="17"/>
      <c r="C604" s="18"/>
      <c r="D604" s="5"/>
      <c r="E604" s="20"/>
      <c r="F604" s="21"/>
      <c r="G604" s="21"/>
      <c r="H604" s="21"/>
      <c r="I604" s="5"/>
      <c r="J604" s="20"/>
      <c r="K604" s="5"/>
      <c r="L604" s="5"/>
      <c r="M604" s="5"/>
      <c r="N604" s="5"/>
      <c r="O604" s="24"/>
      <c r="P604" s="5"/>
      <c r="Q604" s="5"/>
      <c r="R604" s="5"/>
      <c r="S604" s="5"/>
      <c r="T604" s="5"/>
      <c r="U604" s="5"/>
      <c r="V604" s="5"/>
      <c r="W604" s="5"/>
      <c r="X604" s="5"/>
      <c r="Y604" s="5"/>
      <c r="Z604" s="5"/>
    </row>
    <row r="605">
      <c r="A605" s="5"/>
      <c r="B605" s="17"/>
      <c r="C605" s="18"/>
      <c r="D605" s="5"/>
      <c r="E605" s="20"/>
      <c r="F605" s="21"/>
      <c r="G605" s="21"/>
      <c r="H605" s="21"/>
      <c r="I605" s="5"/>
      <c r="J605" s="20"/>
      <c r="K605" s="5"/>
      <c r="L605" s="5"/>
      <c r="M605" s="5"/>
      <c r="N605" s="5"/>
      <c r="O605" s="24"/>
      <c r="P605" s="5"/>
      <c r="Q605" s="5"/>
      <c r="R605" s="5"/>
      <c r="S605" s="5"/>
      <c r="T605" s="5"/>
      <c r="U605" s="5"/>
      <c r="V605" s="5"/>
      <c r="W605" s="5"/>
      <c r="X605" s="5"/>
      <c r="Y605" s="5"/>
      <c r="Z605" s="5"/>
    </row>
    <row r="606">
      <c r="A606" s="5"/>
      <c r="B606" s="17"/>
      <c r="C606" s="18"/>
      <c r="D606" s="5"/>
      <c r="E606" s="20"/>
      <c r="F606" s="21"/>
      <c r="G606" s="21"/>
      <c r="H606" s="21"/>
      <c r="I606" s="5"/>
      <c r="J606" s="20"/>
      <c r="K606" s="5"/>
      <c r="L606" s="5"/>
      <c r="M606" s="5"/>
      <c r="N606" s="5"/>
      <c r="O606" s="24"/>
      <c r="P606" s="5"/>
      <c r="Q606" s="5"/>
      <c r="R606" s="5"/>
      <c r="S606" s="5"/>
      <c r="T606" s="5"/>
      <c r="U606" s="5"/>
      <c r="V606" s="5"/>
      <c r="W606" s="5"/>
      <c r="X606" s="5"/>
      <c r="Y606" s="5"/>
      <c r="Z606" s="5"/>
    </row>
    <row r="607">
      <c r="A607" s="5"/>
      <c r="B607" s="17"/>
      <c r="C607" s="18"/>
      <c r="D607" s="5"/>
      <c r="E607" s="20"/>
      <c r="F607" s="21"/>
      <c r="G607" s="21"/>
      <c r="H607" s="21"/>
      <c r="I607" s="5"/>
      <c r="J607" s="20"/>
      <c r="K607" s="5"/>
      <c r="L607" s="5"/>
      <c r="M607" s="5"/>
      <c r="N607" s="5"/>
      <c r="O607" s="24"/>
      <c r="P607" s="5"/>
      <c r="Q607" s="5"/>
      <c r="R607" s="5"/>
      <c r="S607" s="5"/>
      <c r="T607" s="5"/>
      <c r="U607" s="5"/>
      <c r="V607" s="5"/>
      <c r="W607" s="5"/>
      <c r="X607" s="5"/>
      <c r="Y607" s="5"/>
      <c r="Z607" s="5"/>
    </row>
    <row r="608">
      <c r="A608" s="5"/>
      <c r="B608" s="17"/>
      <c r="C608" s="18"/>
      <c r="D608" s="5"/>
      <c r="E608" s="20"/>
      <c r="F608" s="21"/>
      <c r="G608" s="21"/>
      <c r="H608" s="21"/>
      <c r="I608" s="5"/>
      <c r="J608" s="20"/>
      <c r="K608" s="5"/>
      <c r="L608" s="5"/>
      <c r="M608" s="5"/>
      <c r="N608" s="5"/>
      <c r="O608" s="24"/>
      <c r="P608" s="5"/>
      <c r="Q608" s="5"/>
      <c r="R608" s="5"/>
      <c r="S608" s="5"/>
      <c r="T608" s="5"/>
      <c r="U608" s="5"/>
      <c r="V608" s="5"/>
      <c r="W608" s="5"/>
      <c r="X608" s="5"/>
      <c r="Y608" s="5"/>
      <c r="Z608" s="5"/>
    </row>
    <row r="609">
      <c r="A609" s="5"/>
      <c r="B609" s="17"/>
      <c r="C609" s="18"/>
      <c r="D609" s="5"/>
      <c r="E609" s="20"/>
      <c r="F609" s="21"/>
      <c r="G609" s="21"/>
      <c r="H609" s="21"/>
      <c r="I609" s="5"/>
      <c r="J609" s="20"/>
      <c r="K609" s="5"/>
      <c r="L609" s="5"/>
      <c r="M609" s="5"/>
      <c r="N609" s="5"/>
      <c r="O609" s="24"/>
      <c r="P609" s="5"/>
      <c r="Q609" s="5"/>
      <c r="R609" s="5"/>
      <c r="S609" s="5"/>
      <c r="T609" s="5"/>
      <c r="U609" s="5"/>
      <c r="V609" s="5"/>
      <c r="W609" s="5"/>
      <c r="X609" s="5"/>
      <c r="Y609" s="5"/>
      <c r="Z609" s="5"/>
    </row>
    <row r="610">
      <c r="A610" s="5"/>
      <c r="B610" s="17"/>
      <c r="C610" s="18"/>
      <c r="D610" s="5"/>
      <c r="E610" s="20"/>
      <c r="F610" s="21"/>
      <c r="G610" s="21"/>
      <c r="H610" s="21"/>
      <c r="I610" s="5"/>
      <c r="J610" s="20"/>
      <c r="K610" s="5"/>
      <c r="L610" s="5"/>
      <c r="M610" s="5"/>
      <c r="N610" s="5"/>
      <c r="O610" s="24"/>
      <c r="P610" s="5"/>
      <c r="Q610" s="5"/>
      <c r="R610" s="5"/>
      <c r="S610" s="5"/>
      <c r="T610" s="5"/>
      <c r="U610" s="5"/>
      <c r="V610" s="5"/>
      <c r="W610" s="5"/>
      <c r="X610" s="5"/>
      <c r="Y610" s="5"/>
      <c r="Z610" s="5"/>
    </row>
    <row r="611">
      <c r="A611" s="5"/>
      <c r="B611" s="17"/>
      <c r="C611" s="18"/>
      <c r="D611" s="5"/>
      <c r="E611" s="20"/>
      <c r="F611" s="21"/>
      <c r="G611" s="21"/>
      <c r="H611" s="21"/>
      <c r="I611" s="5"/>
      <c r="J611" s="20"/>
      <c r="K611" s="5"/>
      <c r="L611" s="5"/>
      <c r="M611" s="5"/>
      <c r="N611" s="5"/>
      <c r="O611" s="24"/>
      <c r="P611" s="5"/>
      <c r="Q611" s="5"/>
      <c r="R611" s="5"/>
      <c r="S611" s="5"/>
      <c r="T611" s="5"/>
      <c r="U611" s="5"/>
      <c r="V611" s="5"/>
      <c r="W611" s="5"/>
      <c r="X611" s="5"/>
      <c r="Y611" s="5"/>
      <c r="Z611" s="5"/>
    </row>
    <row r="612">
      <c r="A612" s="5"/>
      <c r="B612" s="17"/>
      <c r="C612" s="18"/>
      <c r="D612" s="5"/>
      <c r="E612" s="20"/>
      <c r="F612" s="21"/>
      <c r="G612" s="21"/>
      <c r="H612" s="21"/>
      <c r="I612" s="5"/>
      <c r="J612" s="20"/>
      <c r="K612" s="5"/>
      <c r="L612" s="5"/>
      <c r="M612" s="5"/>
      <c r="N612" s="5"/>
      <c r="O612" s="24"/>
      <c r="P612" s="5"/>
      <c r="Q612" s="5"/>
      <c r="R612" s="5"/>
      <c r="S612" s="5"/>
      <c r="T612" s="5"/>
      <c r="U612" s="5"/>
      <c r="V612" s="5"/>
      <c r="W612" s="5"/>
      <c r="X612" s="5"/>
      <c r="Y612" s="5"/>
      <c r="Z612" s="5"/>
    </row>
    <row r="613">
      <c r="A613" s="5"/>
      <c r="B613" s="17"/>
      <c r="C613" s="18"/>
      <c r="D613" s="5"/>
      <c r="E613" s="20"/>
      <c r="F613" s="21"/>
      <c r="G613" s="21"/>
      <c r="H613" s="21"/>
      <c r="I613" s="5"/>
      <c r="J613" s="20"/>
      <c r="K613" s="5"/>
      <c r="L613" s="5"/>
      <c r="M613" s="5"/>
      <c r="N613" s="5"/>
      <c r="O613" s="24"/>
      <c r="P613" s="5"/>
      <c r="Q613" s="5"/>
      <c r="R613" s="5"/>
      <c r="S613" s="5"/>
      <c r="T613" s="5"/>
      <c r="U613" s="5"/>
      <c r="V613" s="5"/>
      <c r="W613" s="5"/>
      <c r="X613" s="5"/>
      <c r="Y613" s="5"/>
      <c r="Z613" s="5"/>
    </row>
    <row r="614">
      <c r="A614" s="5"/>
      <c r="B614" s="17"/>
      <c r="C614" s="18"/>
      <c r="D614" s="5"/>
      <c r="E614" s="20"/>
      <c r="F614" s="21"/>
      <c r="G614" s="21"/>
      <c r="H614" s="21"/>
      <c r="I614" s="5"/>
      <c r="J614" s="20"/>
      <c r="K614" s="5"/>
      <c r="L614" s="5"/>
      <c r="M614" s="5"/>
      <c r="N614" s="5"/>
      <c r="O614" s="24"/>
      <c r="P614" s="5"/>
      <c r="Q614" s="5"/>
      <c r="R614" s="5"/>
      <c r="S614" s="5"/>
      <c r="T614" s="5"/>
      <c r="U614" s="5"/>
      <c r="V614" s="5"/>
      <c r="W614" s="5"/>
      <c r="X614" s="5"/>
      <c r="Y614" s="5"/>
      <c r="Z614" s="5"/>
    </row>
    <row r="615">
      <c r="A615" s="5"/>
      <c r="B615" s="17"/>
      <c r="C615" s="18"/>
      <c r="D615" s="5"/>
      <c r="E615" s="20"/>
      <c r="F615" s="21"/>
      <c r="G615" s="21"/>
      <c r="H615" s="21"/>
      <c r="I615" s="5"/>
      <c r="J615" s="20"/>
      <c r="K615" s="5"/>
      <c r="L615" s="5"/>
      <c r="M615" s="5"/>
      <c r="N615" s="5"/>
      <c r="O615" s="24"/>
      <c r="P615" s="5"/>
      <c r="Q615" s="5"/>
      <c r="R615" s="5"/>
      <c r="S615" s="5"/>
      <c r="T615" s="5"/>
      <c r="U615" s="5"/>
      <c r="V615" s="5"/>
      <c r="W615" s="5"/>
      <c r="X615" s="5"/>
      <c r="Y615" s="5"/>
      <c r="Z615" s="5"/>
    </row>
    <row r="616">
      <c r="A616" s="5"/>
      <c r="B616" s="17"/>
      <c r="C616" s="18"/>
      <c r="D616" s="5"/>
      <c r="E616" s="20"/>
      <c r="F616" s="21"/>
      <c r="G616" s="21"/>
      <c r="H616" s="21"/>
      <c r="I616" s="5"/>
      <c r="J616" s="20"/>
      <c r="K616" s="5"/>
      <c r="L616" s="5"/>
      <c r="M616" s="5"/>
      <c r="N616" s="5"/>
      <c r="O616" s="24"/>
      <c r="P616" s="5"/>
      <c r="Q616" s="5"/>
      <c r="R616" s="5"/>
      <c r="S616" s="5"/>
      <c r="T616" s="5"/>
      <c r="U616" s="5"/>
      <c r="V616" s="5"/>
      <c r="W616" s="5"/>
      <c r="X616" s="5"/>
      <c r="Y616" s="5"/>
      <c r="Z616" s="5"/>
    </row>
    <row r="617">
      <c r="A617" s="5"/>
      <c r="B617" s="17"/>
      <c r="C617" s="18"/>
      <c r="D617" s="5"/>
      <c r="E617" s="20"/>
      <c r="F617" s="21"/>
      <c r="G617" s="21"/>
      <c r="H617" s="21"/>
      <c r="I617" s="5"/>
      <c r="J617" s="20"/>
      <c r="K617" s="5"/>
      <c r="L617" s="5"/>
      <c r="M617" s="5"/>
      <c r="N617" s="5"/>
      <c r="O617" s="24"/>
      <c r="P617" s="5"/>
      <c r="Q617" s="5"/>
      <c r="R617" s="5"/>
      <c r="S617" s="5"/>
      <c r="T617" s="5"/>
      <c r="U617" s="5"/>
      <c r="V617" s="5"/>
      <c r="W617" s="5"/>
      <c r="X617" s="5"/>
      <c r="Y617" s="5"/>
      <c r="Z617" s="5"/>
    </row>
    <row r="618">
      <c r="A618" s="5"/>
      <c r="B618" s="17"/>
      <c r="C618" s="18"/>
      <c r="D618" s="5"/>
      <c r="E618" s="20"/>
      <c r="F618" s="21"/>
      <c r="G618" s="21"/>
      <c r="H618" s="21"/>
      <c r="I618" s="5"/>
      <c r="J618" s="20"/>
      <c r="K618" s="5"/>
      <c r="L618" s="5"/>
      <c r="M618" s="5"/>
      <c r="N618" s="5"/>
      <c r="O618" s="24"/>
      <c r="P618" s="5"/>
      <c r="Q618" s="5"/>
      <c r="R618" s="5"/>
      <c r="S618" s="5"/>
      <c r="T618" s="5"/>
      <c r="U618" s="5"/>
      <c r="V618" s="5"/>
      <c r="W618" s="5"/>
      <c r="X618" s="5"/>
      <c r="Y618" s="5"/>
      <c r="Z618" s="5"/>
    </row>
    <row r="619">
      <c r="A619" s="5"/>
      <c r="B619" s="17"/>
      <c r="C619" s="18"/>
      <c r="D619" s="5"/>
      <c r="E619" s="20"/>
      <c r="F619" s="21"/>
      <c r="G619" s="21"/>
      <c r="H619" s="21"/>
      <c r="I619" s="5"/>
      <c r="J619" s="20"/>
      <c r="K619" s="5"/>
      <c r="L619" s="5"/>
      <c r="M619" s="5"/>
      <c r="N619" s="5"/>
      <c r="O619" s="24"/>
      <c r="P619" s="5"/>
      <c r="Q619" s="5"/>
      <c r="R619" s="5"/>
      <c r="S619" s="5"/>
      <c r="T619" s="5"/>
      <c r="U619" s="5"/>
      <c r="V619" s="5"/>
      <c r="W619" s="5"/>
      <c r="X619" s="5"/>
      <c r="Y619" s="5"/>
      <c r="Z619" s="5"/>
    </row>
    <row r="620">
      <c r="A620" s="5"/>
      <c r="B620" s="17"/>
      <c r="C620" s="18"/>
      <c r="D620" s="5"/>
      <c r="E620" s="20"/>
      <c r="F620" s="21"/>
      <c r="G620" s="21"/>
      <c r="H620" s="21"/>
      <c r="I620" s="5"/>
      <c r="J620" s="20"/>
      <c r="K620" s="5"/>
      <c r="L620" s="5"/>
      <c r="M620" s="5"/>
      <c r="N620" s="5"/>
      <c r="O620" s="24"/>
      <c r="P620" s="5"/>
      <c r="Q620" s="5"/>
      <c r="R620" s="5"/>
      <c r="S620" s="5"/>
      <c r="T620" s="5"/>
      <c r="U620" s="5"/>
      <c r="V620" s="5"/>
      <c r="W620" s="5"/>
      <c r="X620" s="5"/>
      <c r="Y620" s="5"/>
      <c r="Z620" s="5"/>
    </row>
    <row r="621">
      <c r="A621" s="5"/>
      <c r="B621" s="17"/>
      <c r="C621" s="18"/>
      <c r="D621" s="5"/>
      <c r="E621" s="20"/>
      <c r="F621" s="21"/>
      <c r="G621" s="21"/>
      <c r="H621" s="21"/>
      <c r="I621" s="5"/>
      <c r="J621" s="20"/>
      <c r="K621" s="5"/>
      <c r="L621" s="5"/>
      <c r="M621" s="5"/>
      <c r="N621" s="5"/>
      <c r="O621" s="24"/>
      <c r="P621" s="5"/>
      <c r="Q621" s="5"/>
      <c r="R621" s="5"/>
      <c r="S621" s="5"/>
      <c r="T621" s="5"/>
      <c r="U621" s="5"/>
      <c r="V621" s="5"/>
      <c r="W621" s="5"/>
      <c r="X621" s="5"/>
      <c r="Y621" s="5"/>
      <c r="Z621" s="5"/>
    </row>
    <row r="622">
      <c r="A622" s="5"/>
      <c r="B622" s="17"/>
      <c r="C622" s="18"/>
      <c r="D622" s="5"/>
      <c r="E622" s="20"/>
      <c r="F622" s="21"/>
      <c r="G622" s="21"/>
      <c r="H622" s="21"/>
      <c r="I622" s="5"/>
      <c r="J622" s="20"/>
      <c r="K622" s="5"/>
      <c r="L622" s="5"/>
      <c r="M622" s="5"/>
      <c r="N622" s="5"/>
      <c r="O622" s="24"/>
      <c r="P622" s="5"/>
      <c r="Q622" s="5"/>
      <c r="R622" s="5"/>
      <c r="S622" s="5"/>
      <c r="T622" s="5"/>
      <c r="U622" s="5"/>
      <c r="V622" s="5"/>
      <c r="W622" s="5"/>
      <c r="X622" s="5"/>
      <c r="Y622" s="5"/>
      <c r="Z622" s="5"/>
    </row>
    <row r="623">
      <c r="A623" s="5"/>
      <c r="B623" s="17"/>
      <c r="C623" s="18"/>
      <c r="D623" s="5"/>
      <c r="E623" s="20"/>
      <c r="F623" s="21"/>
      <c r="G623" s="21"/>
      <c r="H623" s="21"/>
      <c r="I623" s="5"/>
      <c r="J623" s="20"/>
      <c r="K623" s="5"/>
      <c r="L623" s="5"/>
      <c r="M623" s="5"/>
      <c r="N623" s="5"/>
      <c r="O623" s="24"/>
      <c r="P623" s="5"/>
      <c r="Q623" s="5"/>
      <c r="R623" s="5"/>
      <c r="S623" s="5"/>
      <c r="T623" s="5"/>
      <c r="U623" s="5"/>
      <c r="V623" s="5"/>
      <c r="W623" s="5"/>
      <c r="X623" s="5"/>
      <c r="Y623" s="5"/>
      <c r="Z623" s="5"/>
    </row>
    <row r="624">
      <c r="A624" s="5"/>
      <c r="B624" s="17"/>
      <c r="C624" s="18"/>
      <c r="D624" s="5"/>
      <c r="E624" s="20"/>
      <c r="F624" s="21"/>
      <c r="G624" s="21"/>
      <c r="H624" s="21"/>
      <c r="I624" s="5"/>
      <c r="J624" s="20"/>
      <c r="K624" s="5"/>
      <c r="L624" s="5"/>
      <c r="M624" s="5"/>
      <c r="N624" s="5"/>
      <c r="O624" s="24"/>
      <c r="P624" s="5"/>
      <c r="Q624" s="5"/>
      <c r="R624" s="5"/>
      <c r="S624" s="5"/>
      <c r="T624" s="5"/>
      <c r="U624" s="5"/>
      <c r="V624" s="5"/>
      <c r="W624" s="5"/>
      <c r="X624" s="5"/>
      <c r="Y624" s="5"/>
      <c r="Z624" s="5"/>
    </row>
    <row r="625">
      <c r="A625" s="5"/>
      <c r="B625" s="17"/>
      <c r="C625" s="18"/>
      <c r="D625" s="5"/>
      <c r="E625" s="20"/>
      <c r="F625" s="21"/>
      <c r="G625" s="21"/>
      <c r="H625" s="21"/>
      <c r="I625" s="5"/>
      <c r="J625" s="20"/>
      <c r="K625" s="5"/>
      <c r="L625" s="5"/>
      <c r="M625" s="5"/>
      <c r="N625" s="5"/>
      <c r="O625" s="24"/>
      <c r="P625" s="5"/>
      <c r="Q625" s="5"/>
      <c r="R625" s="5"/>
      <c r="S625" s="5"/>
      <c r="T625" s="5"/>
      <c r="U625" s="5"/>
      <c r="V625" s="5"/>
      <c r="W625" s="5"/>
      <c r="X625" s="5"/>
      <c r="Y625" s="5"/>
      <c r="Z625" s="5"/>
    </row>
    <row r="626">
      <c r="A626" s="5"/>
      <c r="B626" s="17"/>
      <c r="C626" s="18"/>
      <c r="D626" s="5"/>
      <c r="E626" s="20"/>
      <c r="F626" s="21"/>
      <c r="G626" s="21"/>
      <c r="H626" s="21"/>
      <c r="I626" s="5"/>
      <c r="J626" s="20"/>
      <c r="K626" s="5"/>
      <c r="L626" s="5"/>
      <c r="M626" s="5"/>
      <c r="N626" s="5"/>
      <c r="O626" s="24"/>
      <c r="P626" s="5"/>
      <c r="Q626" s="5"/>
      <c r="R626" s="5"/>
      <c r="S626" s="5"/>
      <c r="T626" s="5"/>
      <c r="U626" s="5"/>
      <c r="V626" s="5"/>
      <c r="W626" s="5"/>
      <c r="X626" s="5"/>
      <c r="Y626" s="5"/>
      <c r="Z626" s="5"/>
    </row>
    <row r="627">
      <c r="A627" s="5"/>
      <c r="B627" s="17"/>
      <c r="C627" s="18"/>
      <c r="D627" s="5"/>
      <c r="E627" s="20"/>
      <c r="F627" s="21"/>
      <c r="G627" s="21"/>
      <c r="H627" s="21"/>
      <c r="I627" s="5"/>
      <c r="J627" s="20"/>
      <c r="K627" s="5"/>
      <c r="L627" s="5"/>
      <c r="M627" s="5"/>
      <c r="N627" s="5"/>
      <c r="O627" s="24"/>
      <c r="P627" s="5"/>
      <c r="Q627" s="5"/>
      <c r="R627" s="5"/>
      <c r="S627" s="5"/>
      <c r="T627" s="5"/>
      <c r="U627" s="5"/>
      <c r="V627" s="5"/>
      <c r="W627" s="5"/>
      <c r="X627" s="5"/>
      <c r="Y627" s="5"/>
      <c r="Z627" s="5"/>
    </row>
    <row r="628">
      <c r="A628" s="5"/>
      <c r="B628" s="17"/>
      <c r="C628" s="18"/>
      <c r="D628" s="5"/>
      <c r="E628" s="20"/>
      <c r="F628" s="21"/>
      <c r="G628" s="21"/>
      <c r="H628" s="21"/>
      <c r="I628" s="5"/>
      <c r="J628" s="20"/>
      <c r="K628" s="5"/>
      <c r="L628" s="5"/>
      <c r="M628" s="5"/>
      <c r="N628" s="5"/>
      <c r="O628" s="24"/>
      <c r="P628" s="5"/>
      <c r="Q628" s="5"/>
      <c r="R628" s="5"/>
      <c r="S628" s="5"/>
      <c r="T628" s="5"/>
      <c r="U628" s="5"/>
      <c r="V628" s="5"/>
      <c r="W628" s="5"/>
      <c r="X628" s="5"/>
      <c r="Y628" s="5"/>
      <c r="Z628" s="5"/>
    </row>
    <row r="629">
      <c r="A629" s="5"/>
      <c r="B629" s="17"/>
      <c r="C629" s="18"/>
      <c r="D629" s="5"/>
      <c r="E629" s="20"/>
      <c r="F629" s="21"/>
      <c r="G629" s="21"/>
      <c r="H629" s="21"/>
      <c r="I629" s="5"/>
      <c r="J629" s="20"/>
      <c r="K629" s="5"/>
      <c r="L629" s="5"/>
      <c r="M629" s="5"/>
      <c r="N629" s="5"/>
      <c r="O629" s="24"/>
      <c r="P629" s="5"/>
      <c r="Q629" s="5"/>
      <c r="R629" s="5"/>
      <c r="S629" s="5"/>
      <c r="T629" s="5"/>
      <c r="U629" s="5"/>
      <c r="V629" s="5"/>
      <c r="W629" s="5"/>
      <c r="X629" s="5"/>
      <c r="Y629" s="5"/>
      <c r="Z629" s="5"/>
    </row>
    <row r="630">
      <c r="A630" s="5"/>
      <c r="B630" s="17"/>
      <c r="C630" s="18"/>
      <c r="D630" s="5"/>
      <c r="E630" s="20"/>
      <c r="F630" s="21"/>
      <c r="G630" s="21"/>
      <c r="H630" s="21"/>
      <c r="I630" s="5"/>
      <c r="J630" s="20"/>
      <c r="K630" s="5"/>
      <c r="L630" s="5"/>
      <c r="M630" s="5"/>
      <c r="N630" s="5"/>
      <c r="O630" s="24"/>
      <c r="P630" s="5"/>
      <c r="Q630" s="5"/>
      <c r="R630" s="5"/>
      <c r="S630" s="5"/>
      <c r="T630" s="5"/>
      <c r="U630" s="5"/>
      <c r="V630" s="5"/>
      <c r="W630" s="5"/>
      <c r="X630" s="5"/>
      <c r="Y630" s="5"/>
      <c r="Z630" s="5"/>
    </row>
    <row r="631">
      <c r="A631" s="5"/>
      <c r="B631" s="17"/>
      <c r="C631" s="18"/>
      <c r="D631" s="5"/>
      <c r="E631" s="20"/>
      <c r="F631" s="21"/>
      <c r="G631" s="21"/>
      <c r="H631" s="21"/>
      <c r="I631" s="5"/>
      <c r="J631" s="20"/>
      <c r="K631" s="5"/>
      <c r="L631" s="5"/>
      <c r="M631" s="5"/>
      <c r="N631" s="5"/>
      <c r="O631" s="24"/>
      <c r="P631" s="5"/>
      <c r="Q631" s="5"/>
      <c r="R631" s="5"/>
      <c r="S631" s="5"/>
      <c r="T631" s="5"/>
      <c r="U631" s="5"/>
      <c r="V631" s="5"/>
      <c r="W631" s="5"/>
      <c r="X631" s="5"/>
      <c r="Y631" s="5"/>
      <c r="Z631" s="5"/>
    </row>
    <row r="632">
      <c r="A632" s="5"/>
      <c r="B632" s="17"/>
      <c r="C632" s="18"/>
      <c r="D632" s="5"/>
      <c r="E632" s="20"/>
      <c r="F632" s="21"/>
      <c r="G632" s="21"/>
      <c r="H632" s="21"/>
      <c r="I632" s="5"/>
      <c r="J632" s="20"/>
      <c r="K632" s="5"/>
      <c r="L632" s="5"/>
      <c r="M632" s="5"/>
      <c r="N632" s="5"/>
      <c r="O632" s="24"/>
      <c r="P632" s="5"/>
      <c r="Q632" s="5"/>
      <c r="R632" s="5"/>
      <c r="S632" s="5"/>
      <c r="T632" s="5"/>
      <c r="U632" s="5"/>
      <c r="V632" s="5"/>
      <c r="W632" s="5"/>
      <c r="X632" s="5"/>
      <c r="Y632" s="5"/>
      <c r="Z632" s="5"/>
    </row>
    <row r="633">
      <c r="A633" s="5"/>
      <c r="B633" s="17"/>
      <c r="C633" s="18"/>
      <c r="D633" s="5"/>
      <c r="E633" s="20"/>
      <c r="F633" s="21"/>
      <c r="G633" s="21"/>
      <c r="H633" s="21"/>
      <c r="I633" s="5"/>
      <c r="J633" s="20"/>
      <c r="K633" s="5"/>
      <c r="L633" s="5"/>
      <c r="M633" s="5"/>
      <c r="N633" s="5"/>
      <c r="O633" s="24"/>
      <c r="P633" s="5"/>
      <c r="Q633" s="5"/>
      <c r="R633" s="5"/>
      <c r="S633" s="5"/>
      <c r="T633" s="5"/>
      <c r="U633" s="5"/>
      <c r="V633" s="5"/>
      <c r="W633" s="5"/>
      <c r="X633" s="5"/>
      <c r="Y633" s="5"/>
      <c r="Z633" s="5"/>
    </row>
    <row r="634">
      <c r="A634" s="5"/>
      <c r="B634" s="17"/>
      <c r="C634" s="18"/>
      <c r="D634" s="5"/>
      <c r="E634" s="20"/>
      <c r="F634" s="21"/>
      <c r="G634" s="21"/>
      <c r="H634" s="21"/>
      <c r="I634" s="5"/>
      <c r="J634" s="20"/>
      <c r="K634" s="5"/>
      <c r="L634" s="5"/>
      <c r="M634" s="5"/>
      <c r="N634" s="5"/>
      <c r="O634" s="24"/>
      <c r="P634" s="5"/>
      <c r="Q634" s="5"/>
      <c r="R634" s="5"/>
      <c r="S634" s="5"/>
      <c r="T634" s="5"/>
      <c r="U634" s="5"/>
      <c r="V634" s="5"/>
      <c r="W634" s="5"/>
      <c r="X634" s="5"/>
      <c r="Y634" s="5"/>
      <c r="Z634" s="5"/>
    </row>
    <row r="635">
      <c r="A635" s="5"/>
      <c r="B635" s="17"/>
      <c r="C635" s="18"/>
      <c r="D635" s="5"/>
      <c r="E635" s="20"/>
      <c r="F635" s="21"/>
      <c r="G635" s="21"/>
      <c r="H635" s="21"/>
      <c r="I635" s="5"/>
      <c r="J635" s="20"/>
      <c r="K635" s="5"/>
      <c r="L635" s="5"/>
      <c r="M635" s="5"/>
      <c r="N635" s="5"/>
      <c r="O635" s="24"/>
      <c r="P635" s="5"/>
      <c r="Q635" s="5"/>
      <c r="R635" s="5"/>
      <c r="S635" s="5"/>
      <c r="T635" s="5"/>
      <c r="U635" s="5"/>
      <c r="V635" s="5"/>
      <c r="W635" s="5"/>
      <c r="X635" s="5"/>
      <c r="Y635" s="5"/>
      <c r="Z635" s="5"/>
    </row>
    <row r="636">
      <c r="A636" s="5"/>
      <c r="B636" s="17"/>
      <c r="C636" s="18"/>
      <c r="D636" s="5"/>
      <c r="E636" s="20"/>
      <c r="F636" s="21"/>
      <c r="G636" s="21"/>
      <c r="H636" s="21"/>
      <c r="I636" s="5"/>
      <c r="J636" s="20"/>
      <c r="K636" s="5"/>
      <c r="L636" s="5"/>
      <c r="M636" s="5"/>
      <c r="N636" s="5"/>
      <c r="O636" s="24"/>
      <c r="P636" s="5"/>
      <c r="Q636" s="5"/>
      <c r="R636" s="5"/>
      <c r="S636" s="5"/>
      <c r="T636" s="5"/>
      <c r="U636" s="5"/>
      <c r="V636" s="5"/>
      <c r="W636" s="5"/>
      <c r="X636" s="5"/>
      <c r="Y636" s="5"/>
      <c r="Z636" s="5"/>
    </row>
    <row r="637">
      <c r="A637" s="5"/>
      <c r="B637" s="17"/>
      <c r="C637" s="18"/>
      <c r="D637" s="5"/>
      <c r="E637" s="20"/>
      <c r="F637" s="21"/>
      <c r="G637" s="21"/>
      <c r="H637" s="21"/>
      <c r="I637" s="5"/>
      <c r="J637" s="20"/>
      <c r="K637" s="5"/>
      <c r="L637" s="5"/>
      <c r="M637" s="5"/>
      <c r="N637" s="5"/>
      <c r="O637" s="24"/>
      <c r="P637" s="5"/>
      <c r="Q637" s="5"/>
      <c r="R637" s="5"/>
      <c r="S637" s="5"/>
      <c r="T637" s="5"/>
      <c r="U637" s="5"/>
      <c r="V637" s="5"/>
      <c r="W637" s="5"/>
      <c r="X637" s="5"/>
      <c r="Y637" s="5"/>
      <c r="Z637" s="5"/>
    </row>
    <row r="638">
      <c r="A638" s="5"/>
      <c r="B638" s="17"/>
      <c r="C638" s="18"/>
      <c r="D638" s="5"/>
      <c r="E638" s="20"/>
      <c r="F638" s="21"/>
      <c r="G638" s="21"/>
      <c r="H638" s="21"/>
      <c r="I638" s="5"/>
      <c r="J638" s="20"/>
      <c r="K638" s="5"/>
      <c r="L638" s="5"/>
      <c r="M638" s="5"/>
      <c r="N638" s="5"/>
      <c r="O638" s="24"/>
      <c r="P638" s="5"/>
      <c r="Q638" s="5"/>
      <c r="R638" s="5"/>
      <c r="S638" s="5"/>
      <c r="T638" s="5"/>
      <c r="U638" s="5"/>
      <c r="V638" s="5"/>
      <c r="W638" s="5"/>
      <c r="X638" s="5"/>
      <c r="Y638" s="5"/>
      <c r="Z638" s="5"/>
    </row>
    <row r="639">
      <c r="A639" s="5"/>
      <c r="B639" s="17"/>
      <c r="C639" s="18"/>
      <c r="D639" s="5"/>
      <c r="E639" s="20"/>
      <c r="F639" s="21"/>
      <c r="G639" s="21"/>
      <c r="H639" s="21"/>
      <c r="I639" s="5"/>
      <c r="J639" s="20"/>
      <c r="K639" s="5"/>
      <c r="L639" s="5"/>
      <c r="M639" s="5"/>
      <c r="N639" s="5"/>
      <c r="O639" s="24"/>
      <c r="P639" s="5"/>
      <c r="Q639" s="5"/>
      <c r="R639" s="5"/>
      <c r="S639" s="5"/>
      <c r="T639" s="5"/>
      <c r="U639" s="5"/>
      <c r="V639" s="5"/>
      <c r="W639" s="5"/>
      <c r="X639" s="5"/>
      <c r="Y639" s="5"/>
      <c r="Z639" s="5"/>
    </row>
    <row r="640">
      <c r="A640" s="5"/>
      <c r="B640" s="17"/>
      <c r="C640" s="18"/>
      <c r="D640" s="5"/>
      <c r="E640" s="20"/>
      <c r="F640" s="21"/>
      <c r="G640" s="21"/>
      <c r="H640" s="21"/>
      <c r="I640" s="5"/>
      <c r="J640" s="20"/>
      <c r="K640" s="5"/>
      <c r="L640" s="5"/>
      <c r="M640" s="5"/>
      <c r="N640" s="5"/>
      <c r="O640" s="24"/>
      <c r="P640" s="5"/>
      <c r="Q640" s="5"/>
      <c r="R640" s="5"/>
      <c r="S640" s="5"/>
      <c r="T640" s="5"/>
      <c r="U640" s="5"/>
      <c r="V640" s="5"/>
      <c r="W640" s="5"/>
      <c r="X640" s="5"/>
      <c r="Y640" s="5"/>
      <c r="Z640" s="5"/>
    </row>
    <row r="641">
      <c r="A641" s="5"/>
      <c r="B641" s="17"/>
      <c r="C641" s="18"/>
      <c r="D641" s="5"/>
      <c r="E641" s="20"/>
      <c r="F641" s="21"/>
      <c r="G641" s="21"/>
      <c r="H641" s="21"/>
      <c r="I641" s="5"/>
      <c r="J641" s="20"/>
      <c r="K641" s="5"/>
      <c r="L641" s="5"/>
      <c r="M641" s="5"/>
      <c r="N641" s="5"/>
      <c r="O641" s="24"/>
      <c r="P641" s="5"/>
      <c r="Q641" s="5"/>
      <c r="R641" s="5"/>
      <c r="S641" s="5"/>
      <c r="T641" s="5"/>
      <c r="U641" s="5"/>
      <c r="V641" s="5"/>
      <c r="W641" s="5"/>
      <c r="X641" s="5"/>
      <c r="Y641" s="5"/>
      <c r="Z641" s="5"/>
    </row>
    <row r="642">
      <c r="A642" s="5"/>
      <c r="B642" s="17"/>
      <c r="C642" s="18"/>
      <c r="D642" s="5"/>
      <c r="E642" s="20"/>
      <c r="F642" s="21"/>
      <c r="G642" s="21"/>
      <c r="H642" s="21"/>
      <c r="I642" s="5"/>
      <c r="J642" s="20"/>
      <c r="K642" s="5"/>
      <c r="L642" s="5"/>
      <c r="M642" s="5"/>
      <c r="N642" s="5"/>
      <c r="O642" s="24"/>
      <c r="P642" s="5"/>
      <c r="Q642" s="5"/>
      <c r="R642" s="5"/>
      <c r="S642" s="5"/>
      <c r="T642" s="5"/>
      <c r="U642" s="5"/>
      <c r="V642" s="5"/>
      <c r="W642" s="5"/>
      <c r="X642" s="5"/>
      <c r="Y642" s="5"/>
      <c r="Z642" s="5"/>
    </row>
    <row r="643">
      <c r="A643" s="5"/>
      <c r="B643" s="17"/>
      <c r="C643" s="18"/>
      <c r="D643" s="5"/>
      <c r="E643" s="20"/>
      <c r="F643" s="21"/>
      <c r="G643" s="21"/>
      <c r="H643" s="21"/>
      <c r="I643" s="5"/>
      <c r="J643" s="20"/>
      <c r="K643" s="5"/>
      <c r="L643" s="5"/>
      <c r="M643" s="5"/>
      <c r="N643" s="5"/>
      <c r="O643" s="24"/>
      <c r="P643" s="5"/>
      <c r="Q643" s="5"/>
      <c r="R643" s="5"/>
      <c r="S643" s="5"/>
      <c r="T643" s="5"/>
      <c r="U643" s="5"/>
      <c r="V643" s="5"/>
      <c r="W643" s="5"/>
      <c r="X643" s="5"/>
      <c r="Y643" s="5"/>
      <c r="Z643" s="5"/>
    </row>
    <row r="644">
      <c r="A644" s="5"/>
      <c r="B644" s="17"/>
      <c r="C644" s="18"/>
      <c r="D644" s="5"/>
      <c r="E644" s="20"/>
      <c r="F644" s="21"/>
      <c r="G644" s="21"/>
      <c r="H644" s="21"/>
      <c r="I644" s="5"/>
      <c r="J644" s="20"/>
      <c r="K644" s="5"/>
      <c r="L644" s="5"/>
      <c r="M644" s="5"/>
      <c r="N644" s="5"/>
      <c r="O644" s="24"/>
      <c r="P644" s="5"/>
      <c r="Q644" s="5"/>
      <c r="R644" s="5"/>
      <c r="S644" s="5"/>
      <c r="T644" s="5"/>
      <c r="U644" s="5"/>
      <c r="V644" s="5"/>
      <c r="W644" s="5"/>
      <c r="X644" s="5"/>
      <c r="Y644" s="5"/>
      <c r="Z644" s="5"/>
    </row>
    <row r="645">
      <c r="A645" s="5"/>
      <c r="B645" s="17"/>
      <c r="C645" s="18"/>
      <c r="D645" s="5"/>
      <c r="E645" s="20"/>
      <c r="F645" s="21"/>
      <c r="G645" s="21"/>
      <c r="H645" s="21"/>
      <c r="I645" s="5"/>
      <c r="J645" s="20"/>
      <c r="K645" s="5"/>
      <c r="L645" s="5"/>
      <c r="M645" s="5"/>
      <c r="N645" s="5"/>
      <c r="O645" s="24"/>
      <c r="P645" s="5"/>
      <c r="Q645" s="5"/>
      <c r="R645" s="5"/>
      <c r="S645" s="5"/>
      <c r="T645" s="5"/>
      <c r="U645" s="5"/>
      <c r="V645" s="5"/>
      <c r="W645" s="5"/>
      <c r="X645" s="5"/>
      <c r="Y645" s="5"/>
      <c r="Z645" s="5"/>
    </row>
    <row r="646">
      <c r="A646" s="5"/>
      <c r="B646" s="17"/>
      <c r="C646" s="18"/>
      <c r="D646" s="5"/>
      <c r="E646" s="20"/>
      <c r="F646" s="21"/>
      <c r="G646" s="21"/>
      <c r="H646" s="21"/>
      <c r="I646" s="5"/>
      <c r="J646" s="20"/>
      <c r="K646" s="5"/>
      <c r="L646" s="5"/>
      <c r="M646" s="5"/>
      <c r="N646" s="5"/>
      <c r="O646" s="24"/>
      <c r="P646" s="5"/>
      <c r="Q646" s="5"/>
      <c r="R646" s="5"/>
      <c r="S646" s="5"/>
      <c r="T646" s="5"/>
      <c r="U646" s="5"/>
      <c r="V646" s="5"/>
      <c r="W646" s="5"/>
      <c r="X646" s="5"/>
      <c r="Y646" s="5"/>
      <c r="Z646" s="5"/>
    </row>
    <row r="647">
      <c r="A647" s="5"/>
      <c r="B647" s="17"/>
      <c r="C647" s="18"/>
      <c r="D647" s="5"/>
      <c r="E647" s="20"/>
      <c r="F647" s="21"/>
      <c r="G647" s="21"/>
      <c r="H647" s="21"/>
      <c r="I647" s="5"/>
      <c r="J647" s="20"/>
      <c r="K647" s="5"/>
      <c r="L647" s="5"/>
      <c r="M647" s="5"/>
      <c r="N647" s="5"/>
      <c r="O647" s="24"/>
      <c r="P647" s="5"/>
      <c r="Q647" s="5"/>
      <c r="R647" s="5"/>
      <c r="S647" s="5"/>
      <c r="T647" s="5"/>
      <c r="U647" s="5"/>
      <c r="V647" s="5"/>
      <c r="W647" s="5"/>
      <c r="X647" s="5"/>
      <c r="Y647" s="5"/>
      <c r="Z647" s="5"/>
    </row>
    <row r="648">
      <c r="A648" s="5"/>
      <c r="B648" s="17"/>
      <c r="C648" s="18"/>
      <c r="D648" s="5"/>
      <c r="E648" s="20"/>
      <c r="F648" s="21"/>
      <c r="G648" s="21"/>
      <c r="H648" s="21"/>
      <c r="I648" s="5"/>
      <c r="J648" s="20"/>
      <c r="K648" s="5"/>
      <c r="L648" s="5"/>
      <c r="M648" s="5"/>
      <c r="N648" s="5"/>
      <c r="O648" s="24"/>
      <c r="P648" s="5"/>
      <c r="Q648" s="5"/>
      <c r="R648" s="5"/>
      <c r="S648" s="5"/>
      <c r="T648" s="5"/>
      <c r="U648" s="5"/>
      <c r="V648" s="5"/>
      <c r="W648" s="5"/>
      <c r="X648" s="5"/>
      <c r="Y648" s="5"/>
      <c r="Z648" s="5"/>
    </row>
    <row r="649">
      <c r="A649" s="5"/>
      <c r="B649" s="17"/>
      <c r="C649" s="18"/>
      <c r="D649" s="5"/>
      <c r="E649" s="20"/>
      <c r="F649" s="21"/>
      <c r="G649" s="21"/>
      <c r="H649" s="21"/>
      <c r="I649" s="5"/>
      <c r="J649" s="20"/>
      <c r="K649" s="5"/>
      <c r="L649" s="5"/>
      <c r="M649" s="5"/>
      <c r="N649" s="5"/>
      <c r="O649" s="24"/>
      <c r="P649" s="5"/>
      <c r="Q649" s="5"/>
      <c r="R649" s="5"/>
      <c r="S649" s="5"/>
      <c r="T649" s="5"/>
      <c r="U649" s="5"/>
      <c r="V649" s="5"/>
      <c r="W649" s="5"/>
      <c r="X649" s="5"/>
      <c r="Y649" s="5"/>
      <c r="Z649" s="5"/>
    </row>
    <row r="650">
      <c r="A650" s="5"/>
      <c r="B650" s="17"/>
      <c r="C650" s="18"/>
      <c r="D650" s="5"/>
      <c r="E650" s="20"/>
      <c r="F650" s="21"/>
      <c r="G650" s="21"/>
      <c r="H650" s="21"/>
      <c r="I650" s="5"/>
      <c r="J650" s="20"/>
      <c r="K650" s="5"/>
      <c r="L650" s="5"/>
      <c r="M650" s="5"/>
      <c r="N650" s="5"/>
      <c r="O650" s="24"/>
      <c r="P650" s="5"/>
      <c r="Q650" s="5"/>
      <c r="R650" s="5"/>
      <c r="S650" s="5"/>
      <c r="T650" s="5"/>
      <c r="U650" s="5"/>
      <c r="V650" s="5"/>
      <c r="W650" s="5"/>
      <c r="X650" s="5"/>
      <c r="Y650" s="5"/>
      <c r="Z650" s="5"/>
    </row>
    <row r="651">
      <c r="A651" s="5"/>
      <c r="B651" s="17"/>
      <c r="C651" s="18"/>
      <c r="D651" s="5"/>
      <c r="E651" s="20"/>
      <c r="F651" s="21"/>
      <c r="G651" s="21"/>
      <c r="H651" s="21"/>
      <c r="I651" s="5"/>
      <c r="J651" s="20"/>
      <c r="K651" s="5"/>
      <c r="L651" s="5"/>
      <c r="M651" s="5"/>
      <c r="N651" s="5"/>
      <c r="O651" s="24"/>
      <c r="P651" s="5"/>
      <c r="Q651" s="5"/>
      <c r="R651" s="5"/>
      <c r="S651" s="5"/>
      <c r="T651" s="5"/>
      <c r="U651" s="5"/>
      <c r="V651" s="5"/>
      <c r="W651" s="5"/>
      <c r="X651" s="5"/>
      <c r="Y651" s="5"/>
      <c r="Z651" s="5"/>
    </row>
    <row r="652">
      <c r="A652" s="5"/>
      <c r="B652" s="17"/>
      <c r="C652" s="18"/>
      <c r="D652" s="5"/>
      <c r="E652" s="20"/>
      <c r="F652" s="21"/>
      <c r="G652" s="21"/>
      <c r="H652" s="21"/>
      <c r="I652" s="5"/>
      <c r="J652" s="20"/>
      <c r="K652" s="5"/>
      <c r="L652" s="5"/>
      <c r="M652" s="5"/>
      <c r="N652" s="5"/>
      <c r="O652" s="24"/>
      <c r="P652" s="5"/>
      <c r="Q652" s="5"/>
      <c r="R652" s="5"/>
      <c r="S652" s="5"/>
      <c r="T652" s="5"/>
      <c r="U652" s="5"/>
      <c r="V652" s="5"/>
      <c r="W652" s="5"/>
      <c r="X652" s="5"/>
      <c r="Y652" s="5"/>
      <c r="Z652" s="5"/>
    </row>
    <row r="653">
      <c r="A653" s="5"/>
      <c r="B653" s="17"/>
      <c r="C653" s="18"/>
      <c r="D653" s="5"/>
      <c r="E653" s="20"/>
      <c r="F653" s="21"/>
      <c r="G653" s="21"/>
      <c r="H653" s="21"/>
      <c r="I653" s="5"/>
      <c r="J653" s="20"/>
      <c r="K653" s="5"/>
      <c r="L653" s="5"/>
      <c r="M653" s="5"/>
      <c r="N653" s="5"/>
      <c r="O653" s="24"/>
      <c r="P653" s="5"/>
      <c r="Q653" s="5"/>
      <c r="R653" s="5"/>
      <c r="S653" s="5"/>
      <c r="T653" s="5"/>
      <c r="U653" s="5"/>
      <c r="V653" s="5"/>
      <c r="W653" s="5"/>
      <c r="X653" s="5"/>
      <c r="Y653" s="5"/>
      <c r="Z653" s="5"/>
    </row>
    <row r="654">
      <c r="A654" s="5"/>
      <c r="B654" s="17"/>
      <c r="C654" s="18"/>
      <c r="D654" s="5"/>
      <c r="E654" s="20"/>
      <c r="F654" s="21"/>
      <c r="G654" s="21"/>
      <c r="H654" s="21"/>
      <c r="I654" s="5"/>
      <c r="J654" s="20"/>
      <c r="K654" s="5"/>
      <c r="L654" s="5"/>
      <c r="M654" s="5"/>
      <c r="N654" s="5"/>
      <c r="O654" s="24"/>
      <c r="P654" s="5"/>
      <c r="Q654" s="5"/>
      <c r="R654" s="5"/>
      <c r="S654" s="5"/>
      <c r="T654" s="5"/>
      <c r="U654" s="5"/>
      <c r="V654" s="5"/>
      <c r="W654" s="5"/>
      <c r="X654" s="5"/>
      <c r="Y654" s="5"/>
      <c r="Z654" s="5"/>
    </row>
    <row r="655">
      <c r="A655" s="5"/>
      <c r="B655" s="17"/>
      <c r="C655" s="18"/>
      <c r="D655" s="5"/>
      <c r="E655" s="20"/>
      <c r="F655" s="21"/>
      <c r="G655" s="21"/>
      <c r="H655" s="21"/>
      <c r="I655" s="5"/>
      <c r="J655" s="20"/>
      <c r="K655" s="5"/>
      <c r="L655" s="5"/>
      <c r="M655" s="5"/>
      <c r="N655" s="5"/>
      <c r="O655" s="24"/>
      <c r="P655" s="5"/>
      <c r="Q655" s="5"/>
      <c r="R655" s="5"/>
      <c r="S655" s="5"/>
      <c r="T655" s="5"/>
      <c r="U655" s="5"/>
      <c r="V655" s="5"/>
      <c r="W655" s="5"/>
      <c r="X655" s="5"/>
      <c r="Y655" s="5"/>
      <c r="Z655" s="5"/>
    </row>
    <row r="656">
      <c r="A656" s="5"/>
      <c r="B656" s="17"/>
      <c r="C656" s="18"/>
      <c r="D656" s="5"/>
      <c r="E656" s="20"/>
      <c r="F656" s="21"/>
      <c r="G656" s="21"/>
      <c r="H656" s="21"/>
      <c r="I656" s="5"/>
      <c r="J656" s="20"/>
      <c r="K656" s="5"/>
      <c r="L656" s="5"/>
      <c r="M656" s="5"/>
      <c r="N656" s="5"/>
      <c r="O656" s="24"/>
      <c r="P656" s="5"/>
      <c r="Q656" s="5"/>
      <c r="R656" s="5"/>
      <c r="S656" s="5"/>
      <c r="T656" s="5"/>
      <c r="U656" s="5"/>
      <c r="V656" s="5"/>
      <c r="W656" s="5"/>
      <c r="X656" s="5"/>
      <c r="Y656" s="5"/>
      <c r="Z656" s="5"/>
    </row>
    <row r="657">
      <c r="A657" s="5"/>
      <c r="B657" s="17"/>
      <c r="C657" s="18"/>
      <c r="D657" s="5"/>
      <c r="E657" s="20"/>
      <c r="F657" s="21"/>
      <c r="G657" s="21"/>
      <c r="H657" s="21"/>
      <c r="I657" s="5"/>
      <c r="J657" s="20"/>
      <c r="K657" s="5"/>
      <c r="L657" s="5"/>
      <c r="M657" s="5"/>
      <c r="N657" s="5"/>
      <c r="O657" s="24"/>
      <c r="P657" s="5"/>
      <c r="Q657" s="5"/>
      <c r="R657" s="5"/>
      <c r="S657" s="5"/>
      <c r="T657" s="5"/>
      <c r="U657" s="5"/>
      <c r="V657" s="5"/>
      <c r="W657" s="5"/>
      <c r="X657" s="5"/>
      <c r="Y657" s="5"/>
      <c r="Z657" s="5"/>
    </row>
    <row r="658">
      <c r="A658" s="5"/>
      <c r="B658" s="17"/>
      <c r="C658" s="18"/>
      <c r="D658" s="5"/>
      <c r="E658" s="20"/>
      <c r="F658" s="21"/>
      <c r="G658" s="21"/>
      <c r="H658" s="21"/>
      <c r="I658" s="5"/>
      <c r="J658" s="20"/>
      <c r="K658" s="5"/>
      <c r="L658" s="5"/>
      <c r="M658" s="5"/>
      <c r="N658" s="5"/>
      <c r="O658" s="24"/>
      <c r="P658" s="5"/>
      <c r="Q658" s="5"/>
      <c r="R658" s="5"/>
      <c r="S658" s="5"/>
      <c r="T658" s="5"/>
      <c r="U658" s="5"/>
      <c r="V658" s="5"/>
      <c r="W658" s="5"/>
      <c r="X658" s="5"/>
      <c r="Y658" s="5"/>
      <c r="Z658" s="5"/>
    </row>
    <row r="659">
      <c r="A659" s="5"/>
      <c r="B659" s="17"/>
      <c r="C659" s="18"/>
      <c r="D659" s="5"/>
      <c r="E659" s="20"/>
      <c r="F659" s="21"/>
      <c r="G659" s="21"/>
      <c r="H659" s="21"/>
      <c r="I659" s="5"/>
      <c r="J659" s="20"/>
      <c r="K659" s="5"/>
      <c r="L659" s="5"/>
      <c r="M659" s="5"/>
      <c r="N659" s="5"/>
      <c r="O659" s="24"/>
      <c r="P659" s="5"/>
      <c r="Q659" s="5"/>
      <c r="R659" s="5"/>
      <c r="S659" s="5"/>
      <c r="T659" s="5"/>
      <c r="U659" s="5"/>
      <c r="V659" s="5"/>
      <c r="W659" s="5"/>
      <c r="X659" s="5"/>
      <c r="Y659" s="5"/>
      <c r="Z659" s="5"/>
    </row>
    <row r="660">
      <c r="A660" s="5"/>
      <c r="B660" s="17"/>
      <c r="C660" s="18"/>
      <c r="D660" s="5"/>
      <c r="E660" s="20"/>
      <c r="F660" s="21"/>
      <c r="G660" s="21"/>
      <c r="H660" s="21"/>
      <c r="I660" s="5"/>
      <c r="J660" s="20"/>
      <c r="K660" s="5"/>
      <c r="L660" s="5"/>
      <c r="M660" s="5"/>
      <c r="N660" s="5"/>
      <c r="O660" s="24"/>
      <c r="P660" s="5"/>
      <c r="Q660" s="5"/>
      <c r="R660" s="5"/>
      <c r="S660" s="5"/>
      <c r="T660" s="5"/>
      <c r="U660" s="5"/>
      <c r="V660" s="5"/>
      <c r="W660" s="5"/>
      <c r="X660" s="5"/>
      <c r="Y660" s="5"/>
      <c r="Z660" s="5"/>
    </row>
    <row r="661">
      <c r="A661" s="5"/>
      <c r="B661" s="17"/>
      <c r="C661" s="18"/>
      <c r="D661" s="5"/>
      <c r="E661" s="20"/>
      <c r="F661" s="21"/>
      <c r="G661" s="21"/>
      <c r="H661" s="21"/>
      <c r="I661" s="5"/>
      <c r="J661" s="20"/>
      <c r="K661" s="5"/>
      <c r="L661" s="5"/>
      <c r="M661" s="5"/>
      <c r="N661" s="5"/>
      <c r="O661" s="24"/>
      <c r="P661" s="5"/>
      <c r="Q661" s="5"/>
      <c r="R661" s="5"/>
      <c r="S661" s="5"/>
      <c r="T661" s="5"/>
      <c r="U661" s="5"/>
      <c r="V661" s="5"/>
      <c r="W661" s="5"/>
      <c r="X661" s="5"/>
      <c r="Y661" s="5"/>
      <c r="Z661" s="5"/>
    </row>
    <row r="662">
      <c r="A662" s="5"/>
      <c r="B662" s="17"/>
      <c r="C662" s="18"/>
      <c r="D662" s="5"/>
      <c r="E662" s="20"/>
      <c r="F662" s="21"/>
      <c r="G662" s="21"/>
      <c r="H662" s="21"/>
      <c r="I662" s="5"/>
      <c r="J662" s="20"/>
      <c r="K662" s="5"/>
      <c r="L662" s="5"/>
      <c r="M662" s="5"/>
      <c r="N662" s="5"/>
      <c r="O662" s="24"/>
      <c r="P662" s="5"/>
      <c r="Q662" s="5"/>
      <c r="R662" s="5"/>
      <c r="S662" s="5"/>
      <c r="T662" s="5"/>
      <c r="U662" s="5"/>
      <c r="V662" s="5"/>
      <c r="W662" s="5"/>
      <c r="X662" s="5"/>
      <c r="Y662" s="5"/>
      <c r="Z662" s="5"/>
    </row>
    <row r="663">
      <c r="A663" s="5"/>
      <c r="B663" s="17"/>
      <c r="C663" s="18"/>
      <c r="D663" s="5"/>
      <c r="E663" s="20"/>
      <c r="F663" s="21"/>
      <c r="G663" s="21"/>
      <c r="H663" s="21"/>
      <c r="I663" s="5"/>
      <c r="J663" s="20"/>
      <c r="K663" s="5"/>
      <c r="L663" s="5"/>
      <c r="M663" s="5"/>
      <c r="N663" s="5"/>
      <c r="O663" s="24"/>
      <c r="P663" s="5"/>
      <c r="Q663" s="5"/>
      <c r="R663" s="5"/>
      <c r="S663" s="5"/>
      <c r="T663" s="5"/>
      <c r="U663" s="5"/>
      <c r="V663" s="5"/>
      <c r="W663" s="5"/>
      <c r="X663" s="5"/>
      <c r="Y663" s="5"/>
      <c r="Z663" s="5"/>
    </row>
    <row r="664">
      <c r="A664" s="5"/>
      <c r="B664" s="17"/>
      <c r="C664" s="18"/>
      <c r="D664" s="5"/>
      <c r="E664" s="20"/>
      <c r="F664" s="21"/>
      <c r="G664" s="21"/>
      <c r="H664" s="21"/>
      <c r="I664" s="5"/>
      <c r="J664" s="20"/>
      <c r="K664" s="5"/>
      <c r="L664" s="5"/>
      <c r="M664" s="5"/>
      <c r="N664" s="5"/>
      <c r="O664" s="24"/>
      <c r="P664" s="5"/>
      <c r="Q664" s="5"/>
      <c r="R664" s="5"/>
      <c r="S664" s="5"/>
      <c r="T664" s="5"/>
      <c r="U664" s="5"/>
      <c r="V664" s="5"/>
      <c r="W664" s="5"/>
      <c r="X664" s="5"/>
      <c r="Y664" s="5"/>
      <c r="Z664" s="5"/>
    </row>
    <row r="665">
      <c r="A665" s="5"/>
      <c r="B665" s="17"/>
      <c r="C665" s="18"/>
      <c r="D665" s="5"/>
      <c r="E665" s="20"/>
      <c r="F665" s="21"/>
      <c r="G665" s="21"/>
      <c r="H665" s="21"/>
      <c r="I665" s="5"/>
      <c r="J665" s="20"/>
      <c r="K665" s="5"/>
      <c r="L665" s="5"/>
      <c r="M665" s="5"/>
      <c r="N665" s="5"/>
      <c r="O665" s="24"/>
      <c r="P665" s="5"/>
      <c r="Q665" s="5"/>
      <c r="R665" s="5"/>
      <c r="S665" s="5"/>
      <c r="T665" s="5"/>
      <c r="U665" s="5"/>
      <c r="V665" s="5"/>
      <c r="W665" s="5"/>
      <c r="X665" s="5"/>
      <c r="Y665" s="5"/>
      <c r="Z665" s="5"/>
    </row>
    <row r="666">
      <c r="A666" s="5"/>
      <c r="B666" s="17"/>
      <c r="C666" s="18"/>
      <c r="D666" s="5"/>
      <c r="E666" s="20"/>
      <c r="F666" s="21"/>
      <c r="G666" s="21"/>
      <c r="H666" s="21"/>
      <c r="I666" s="5"/>
      <c r="J666" s="20"/>
      <c r="K666" s="5"/>
      <c r="L666" s="5"/>
      <c r="M666" s="5"/>
      <c r="N666" s="5"/>
      <c r="O666" s="24"/>
      <c r="P666" s="5"/>
      <c r="Q666" s="5"/>
      <c r="R666" s="5"/>
      <c r="S666" s="5"/>
      <c r="T666" s="5"/>
      <c r="U666" s="5"/>
      <c r="V666" s="5"/>
      <c r="W666" s="5"/>
      <c r="X666" s="5"/>
      <c r="Y666" s="5"/>
      <c r="Z666" s="5"/>
    </row>
    <row r="667">
      <c r="A667" s="5"/>
      <c r="B667" s="17"/>
      <c r="C667" s="18"/>
      <c r="D667" s="5"/>
      <c r="E667" s="20"/>
      <c r="F667" s="21"/>
      <c r="G667" s="21"/>
      <c r="H667" s="21"/>
      <c r="I667" s="5"/>
      <c r="J667" s="20"/>
      <c r="K667" s="5"/>
      <c r="L667" s="5"/>
      <c r="M667" s="5"/>
      <c r="N667" s="5"/>
      <c r="O667" s="24"/>
      <c r="P667" s="5"/>
      <c r="Q667" s="5"/>
      <c r="R667" s="5"/>
      <c r="S667" s="5"/>
      <c r="T667" s="5"/>
      <c r="U667" s="5"/>
      <c r="V667" s="5"/>
      <c r="W667" s="5"/>
      <c r="X667" s="5"/>
      <c r="Y667" s="5"/>
      <c r="Z667" s="5"/>
    </row>
    <row r="668">
      <c r="A668" s="5"/>
      <c r="B668" s="17"/>
      <c r="C668" s="18"/>
      <c r="D668" s="5"/>
      <c r="E668" s="20"/>
      <c r="F668" s="21"/>
      <c r="G668" s="21"/>
      <c r="H668" s="21"/>
      <c r="I668" s="5"/>
      <c r="J668" s="20"/>
      <c r="K668" s="5"/>
      <c r="L668" s="5"/>
      <c r="M668" s="5"/>
      <c r="N668" s="5"/>
      <c r="O668" s="24"/>
      <c r="P668" s="5"/>
      <c r="Q668" s="5"/>
      <c r="R668" s="5"/>
      <c r="S668" s="5"/>
      <c r="T668" s="5"/>
      <c r="U668" s="5"/>
      <c r="V668" s="5"/>
      <c r="W668" s="5"/>
      <c r="X668" s="5"/>
      <c r="Y668" s="5"/>
      <c r="Z668" s="5"/>
    </row>
    <row r="669">
      <c r="A669" s="5"/>
      <c r="B669" s="17"/>
      <c r="C669" s="18"/>
      <c r="D669" s="5"/>
      <c r="E669" s="20"/>
      <c r="F669" s="21"/>
      <c r="G669" s="21"/>
      <c r="H669" s="21"/>
      <c r="I669" s="5"/>
      <c r="J669" s="20"/>
      <c r="K669" s="5"/>
      <c r="L669" s="5"/>
      <c r="M669" s="5"/>
      <c r="N669" s="5"/>
      <c r="O669" s="24"/>
      <c r="P669" s="5"/>
      <c r="Q669" s="5"/>
      <c r="R669" s="5"/>
      <c r="S669" s="5"/>
      <c r="T669" s="5"/>
      <c r="U669" s="5"/>
      <c r="V669" s="5"/>
      <c r="W669" s="5"/>
      <c r="X669" s="5"/>
      <c r="Y669" s="5"/>
      <c r="Z669" s="5"/>
    </row>
    <row r="670">
      <c r="A670" s="5"/>
      <c r="B670" s="17"/>
      <c r="C670" s="18"/>
      <c r="D670" s="5"/>
      <c r="E670" s="20"/>
      <c r="F670" s="21"/>
      <c r="G670" s="21"/>
      <c r="H670" s="21"/>
      <c r="I670" s="5"/>
      <c r="J670" s="20"/>
      <c r="K670" s="5"/>
      <c r="L670" s="5"/>
      <c r="M670" s="5"/>
      <c r="N670" s="5"/>
      <c r="O670" s="24"/>
      <c r="P670" s="5"/>
      <c r="Q670" s="5"/>
      <c r="R670" s="5"/>
      <c r="S670" s="5"/>
      <c r="T670" s="5"/>
      <c r="U670" s="5"/>
      <c r="V670" s="5"/>
      <c r="W670" s="5"/>
      <c r="X670" s="5"/>
      <c r="Y670" s="5"/>
      <c r="Z670" s="5"/>
    </row>
    <row r="671">
      <c r="A671" s="5"/>
      <c r="B671" s="17"/>
      <c r="C671" s="18"/>
      <c r="D671" s="5"/>
      <c r="E671" s="20"/>
      <c r="F671" s="21"/>
      <c r="G671" s="21"/>
      <c r="H671" s="21"/>
      <c r="I671" s="5"/>
      <c r="J671" s="20"/>
      <c r="K671" s="5"/>
      <c r="L671" s="5"/>
      <c r="M671" s="5"/>
      <c r="N671" s="5"/>
      <c r="O671" s="24"/>
      <c r="P671" s="5"/>
      <c r="Q671" s="5"/>
      <c r="R671" s="5"/>
      <c r="S671" s="5"/>
      <c r="T671" s="5"/>
      <c r="U671" s="5"/>
      <c r="V671" s="5"/>
      <c r="W671" s="5"/>
      <c r="X671" s="5"/>
      <c r="Y671" s="5"/>
      <c r="Z671" s="5"/>
    </row>
    <row r="672">
      <c r="A672" s="5"/>
      <c r="B672" s="17"/>
      <c r="C672" s="18"/>
      <c r="D672" s="5"/>
      <c r="E672" s="20"/>
      <c r="F672" s="21"/>
      <c r="G672" s="21"/>
      <c r="H672" s="21"/>
      <c r="I672" s="5"/>
      <c r="J672" s="20"/>
      <c r="K672" s="5"/>
      <c r="L672" s="5"/>
      <c r="M672" s="5"/>
      <c r="N672" s="5"/>
      <c r="O672" s="24"/>
      <c r="P672" s="5"/>
      <c r="Q672" s="5"/>
      <c r="R672" s="5"/>
      <c r="S672" s="5"/>
      <c r="T672" s="5"/>
      <c r="U672" s="5"/>
      <c r="V672" s="5"/>
      <c r="W672" s="5"/>
      <c r="X672" s="5"/>
      <c r="Y672" s="5"/>
      <c r="Z672" s="5"/>
    </row>
    <row r="673">
      <c r="A673" s="5"/>
      <c r="B673" s="17"/>
      <c r="C673" s="18"/>
      <c r="D673" s="5"/>
      <c r="E673" s="20"/>
      <c r="F673" s="21"/>
      <c r="G673" s="21"/>
      <c r="H673" s="21"/>
      <c r="I673" s="5"/>
      <c r="J673" s="20"/>
      <c r="K673" s="5"/>
      <c r="L673" s="5"/>
      <c r="M673" s="5"/>
      <c r="N673" s="5"/>
      <c r="O673" s="24"/>
      <c r="P673" s="5"/>
      <c r="Q673" s="5"/>
      <c r="R673" s="5"/>
      <c r="S673" s="5"/>
      <c r="T673" s="5"/>
      <c r="U673" s="5"/>
      <c r="V673" s="5"/>
      <c r="W673" s="5"/>
      <c r="X673" s="5"/>
      <c r="Y673" s="5"/>
      <c r="Z673" s="5"/>
    </row>
    <row r="674">
      <c r="A674" s="5"/>
      <c r="B674" s="17"/>
      <c r="C674" s="18"/>
      <c r="D674" s="5"/>
      <c r="E674" s="20"/>
      <c r="F674" s="21"/>
      <c r="G674" s="21"/>
      <c r="H674" s="21"/>
      <c r="I674" s="5"/>
      <c r="J674" s="20"/>
      <c r="K674" s="5"/>
      <c r="L674" s="5"/>
      <c r="M674" s="5"/>
      <c r="N674" s="5"/>
      <c r="O674" s="24"/>
      <c r="P674" s="5"/>
      <c r="Q674" s="5"/>
      <c r="R674" s="5"/>
      <c r="S674" s="5"/>
      <c r="T674" s="5"/>
      <c r="U674" s="5"/>
      <c r="V674" s="5"/>
      <c r="W674" s="5"/>
      <c r="X674" s="5"/>
      <c r="Y674" s="5"/>
      <c r="Z674" s="5"/>
    </row>
    <row r="675">
      <c r="A675" s="5"/>
      <c r="B675" s="17"/>
      <c r="C675" s="18"/>
      <c r="D675" s="5"/>
      <c r="E675" s="20"/>
      <c r="F675" s="21"/>
      <c r="G675" s="21"/>
      <c r="H675" s="21"/>
      <c r="I675" s="5"/>
      <c r="J675" s="20"/>
      <c r="K675" s="5"/>
      <c r="L675" s="5"/>
      <c r="M675" s="5"/>
      <c r="N675" s="5"/>
      <c r="O675" s="24"/>
      <c r="P675" s="5"/>
      <c r="Q675" s="5"/>
      <c r="R675" s="5"/>
      <c r="S675" s="5"/>
      <c r="T675" s="5"/>
      <c r="U675" s="5"/>
      <c r="V675" s="5"/>
      <c r="W675" s="5"/>
      <c r="X675" s="5"/>
      <c r="Y675" s="5"/>
      <c r="Z675" s="5"/>
    </row>
    <row r="676">
      <c r="A676" s="5"/>
      <c r="B676" s="17"/>
      <c r="C676" s="18"/>
      <c r="D676" s="5"/>
      <c r="E676" s="20"/>
      <c r="F676" s="21"/>
      <c r="G676" s="21"/>
      <c r="H676" s="21"/>
      <c r="I676" s="5"/>
      <c r="J676" s="20"/>
      <c r="K676" s="5"/>
      <c r="L676" s="5"/>
      <c r="M676" s="5"/>
      <c r="N676" s="5"/>
      <c r="O676" s="24"/>
      <c r="P676" s="5"/>
      <c r="Q676" s="5"/>
      <c r="R676" s="5"/>
      <c r="S676" s="5"/>
      <c r="T676" s="5"/>
      <c r="U676" s="5"/>
      <c r="V676" s="5"/>
      <c r="W676" s="5"/>
      <c r="X676" s="5"/>
      <c r="Y676" s="5"/>
      <c r="Z676" s="5"/>
    </row>
    <row r="677">
      <c r="A677" s="5"/>
      <c r="B677" s="17"/>
      <c r="C677" s="18"/>
      <c r="D677" s="5"/>
      <c r="E677" s="20"/>
      <c r="F677" s="21"/>
      <c r="G677" s="21"/>
      <c r="H677" s="21"/>
      <c r="I677" s="5"/>
      <c r="J677" s="20"/>
      <c r="K677" s="5"/>
      <c r="L677" s="5"/>
      <c r="M677" s="5"/>
      <c r="N677" s="5"/>
      <c r="O677" s="24"/>
      <c r="P677" s="5"/>
      <c r="Q677" s="5"/>
      <c r="R677" s="5"/>
      <c r="S677" s="5"/>
      <c r="T677" s="5"/>
      <c r="U677" s="5"/>
      <c r="V677" s="5"/>
      <c r="W677" s="5"/>
      <c r="X677" s="5"/>
      <c r="Y677" s="5"/>
      <c r="Z677" s="5"/>
    </row>
    <row r="678">
      <c r="A678" s="5"/>
      <c r="B678" s="17"/>
      <c r="C678" s="18"/>
      <c r="D678" s="5"/>
      <c r="E678" s="20"/>
      <c r="F678" s="21"/>
      <c r="G678" s="21"/>
      <c r="H678" s="21"/>
      <c r="I678" s="5"/>
      <c r="J678" s="20"/>
      <c r="K678" s="5"/>
      <c r="L678" s="5"/>
      <c r="M678" s="5"/>
      <c r="N678" s="5"/>
      <c r="O678" s="24"/>
      <c r="P678" s="5"/>
      <c r="Q678" s="5"/>
      <c r="R678" s="5"/>
      <c r="S678" s="5"/>
      <c r="T678" s="5"/>
      <c r="U678" s="5"/>
      <c r="V678" s="5"/>
      <c r="W678" s="5"/>
      <c r="X678" s="5"/>
      <c r="Y678" s="5"/>
      <c r="Z678" s="5"/>
    </row>
    <row r="679">
      <c r="A679" s="5"/>
      <c r="B679" s="17"/>
      <c r="C679" s="18"/>
      <c r="D679" s="5"/>
      <c r="E679" s="20"/>
      <c r="F679" s="21"/>
      <c r="G679" s="21"/>
      <c r="H679" s="21"/>
      <c r="I679" s="5"/>
      <c r="J679" s="20"/>
      <c r="K679" s="5"/>
      <c r="L679" s="5"/>
      <c r="M679" s="5"/>
      <c r="N679" s="5"/>
      <c r="O679" s="24"/>
      <c r="P679" s="5"/>
      <c r="Q679" s="5"/>
      <c r="R679" s="5"/>
      <c r="S679" s="5"/>
      <c r="T679" s="5"/>
      <c r="U679" s="5"/>
      <c r="V679" s="5"/>
      <c r="W679" s="5"/>
      <c r="X679" s="5"/>
      <c r="Y679" s="5"/>
      <c r="Z679" s="5"/>
    </row>
    <row r="680">
      <c r="A680" s="5"/>
      <c r="B680" s="17"/>
      <c r="C680" s="18"/>
      <c r="D680" s="5"/>
      <c r="E680" s="20"/>
      <c r="F680" s="21"/>
      <c r="G680" s="21"/>
      <c r="H680" s="21"/>
      <c r="I680" s="5"/>
      <c r="J680" s="20"/>
      <c r="K680" s="5"/>
      <c r="L680" s="5"/>
      <c r="M680" s="5"/>
      <c r="N680" s="5"/>
      <c r="O680" s="24"/>
      <c r="P680" s="5"/>
      <c r="Q680" s="5"/>
      <c r="R680" s="5"/>
      <c r="S680" s="5"/>
      <c r="T680" s="5"/>
      <c r="U680" s="5"/>
      <c r="V680" s="5"/>
      <c r="W680" s="5"/>
      <c r="X680" s="5"/>
      <c r="Y680" s="5"/>
      <c r="Z680" s="5"/>
    </row>
    <row r="681">
      <c r="A681" s="5"/>
      <c r="B681" s="17"/>
      <c r="C681" s="18"/>
      <c r="D681" s="5"/>
      <c r="E681" s="20"/>
      <c r="F681" s="21"/>
      <c r="G681" s="21"/>
      <c r="H681" s="21"/>
      <c r="I681" s="5"/>
      <c r="J681" s="20"/>
      <c r="K681" s="5"/>
      <c r="L681" s="5"/>
      <c r="M681" s="5"/>
      <c r="N681" s="5"/>
      <c r="O681" s="24"/>
      <c r="P681" s="5"/>
      <c r="Q681" s="5"/>
      <c r="R681" s="5"/>
      <c r="S681" s="5"/>
      <c r="T681" s="5"/>
      <c r="U681" s="5"/>
      <c r="V681" s="5"/>
      <c r="W681" s="5"/>
      <c r="X681" s="5"/>
      <c r="Y681" s="5"/>
      <c r="Z681" s="5"/>
    </row>
    <row r="682">
      <c r="A682" s="5"/>
      <c r="B682" s="17"/>
      <c r="C682" s="18"/>
      <c r="D682" s="5"/>
      <c r="E682" s="20"/>
      <c r="F682" s="21"/>
      <c r="G682" s="21"/>
      <c r="H682" s="21"/>
      <c r="I682" s="5"/>
      <c r="J682" s="20"/>
      <c r="K682" s="5"/>
      <c r="L682" s="5"/>
      <c r="M682" s="5"/>
      <c r="N682" s="5"/>
      <c r="O682" s="24"/>
      <c r="P682" s="5"/>
      <c r="Q682" s="5"/>
      <c r="R682" s="5"/>
      <c r="S682" s="5"/>
      <c r="T682" s="5"/>
      <c r="U682" s="5"/>
      <c r="V682" s="5"/>
      <c r="W682" s="5"/>
      <c r="X682" s="5"/>
      <c r="Y682" s="5"/>
      <c r="Z682" s="5"/>
    </row>
    <row r="683">
      <c r="A683" s="5"/>
      <c r="B683" s="17"/>
      <c r="C683" s="18"/>
      <c r="D683" s="5"/>
      <c r="E683" s="20"/>
      <c r="F683" s="21"/>
      <c r="G683" s="21"/>
      <c r="H683" s="21"/>
      <c r="I683" s="5"/>
      <c r="J683" s="20"/>
      <c r="K683" s="5"/>
      <c r="L683" s="5"/>
      <c r="M683" s="5"/>
      <c r="N683" s="5"/>
      <c r="O683" s="24"/>
      <c r="P683" s="5"/>
      <c r="Q683" s="5"/>
      <c r="R683" s="5"/>
      <c r="S683" s="5"/>
      <c r="T683" s="5"/>
      <c r="U683" s="5"/>
      <c r="V683" s="5"/>
      <c r="W683" s="5"/>
      <c r="X683" s="5"/>
      <c r="Y683" s="5"/>
      <c r="Z683" s="5"/>
    </row>
    <row r="684">
      <c r="A684" s="5"/>
      <c r="B684" s="17"/>
      <c r="C684" s="18"/>
      <c r="D684" s="5"/>
      <c r="E684" s="20"/>
      <c r="F684" s="21"/>
      <c r="G684" s="21"/>
      <c r="H684" s="21"/>
      <c r="I684" s="5"/>
      <c r="J684" s="20"/>
      <c r="K684" s="5"/>
      <c r="L684" s="5"/>
      <c r="M684" s="5"/>
      <c r="N684" s="5"/>
      <c r="O684" s="24"/>
      <c r="P684" s="5"/>
      <c r="Q684" s="5"/>
      <c r="R684" s="5"/>
      <c r="S684" s="5"/>
      <c r="T684" s="5"/>
      <c r="U684" s="5"/>
      <c r="V684" s="5"/>
      <c r="W684" s="5"/>
      <c r="X684" s="5"/>
      <c r="Y684" s="5"/>
      <c r="Z684" s="5"/>
    </row>
    <row r="685">
      <c r="A685" s="5"/>
      <c r="B685" s="17"/>
      <c r="C685" s="18"/>
      <c r="D685" s="5"/>
      <c r="E685" s="20"/>
      <c r="F685" s="21"/>
      <c r="G685" s="21"/>
      <c r="H685" s="21"/>
      <c r="I685" s="5"/>
      <c r="J685" s="20"/>
      <c r="K685" s="5"/>
      <c r="L685" s="5"/>
      <c r="M685" s="5"/>
      <c r="N685" s="5"/>
      <c r="O685" s="24"/>
      <c r="P685" s="5"/>
      <c r="Q685" s="5"/>
      <c r="R685" s="5"/>
      <c r="S685" s="5"/>
      <c r="T685" s="5"/>
      <c r="U685" s="5"/>
      <c r="V685" s="5"/>
      <c r="W685" s="5"/>
      <c r="X685" s="5"/>
      <c r="Y685" s="5"/>
      <c r="Z685" s="5"/>
    </row>
    <row r="686">
      <c r="A686" s="5"/>
      <c r="B686" s="17"/>
      <c r="C686" s="18"/>
      <c r="D686" s="5"/>
      <c r="E686" s="20"/>
      <c r="F686" s="21"/>
      <c r="G686" s="21"/>
      <c r="H686" s="21"/>
      <c r="I686" s="5"/>
      <c r="J686" s="20"/>
      <c r="K686" s="5"/>
      <c r="L686" s="5"/>
      <c r="M686" s="5"/>
      <c r="N686" s="5"/>
      <c r="O686" s="24"/>
      <c r="P686" s="5"/>
      <c r="Q686" s="5"/>
      <c r="R686" s="5"/>
      <c r="S686" s="5"/>
      <c r="T686" s="5"/>
      <c r="U686" s="5"/>
      <c r="V686" s="5"/>
      <c r="W686" s="5"/>
      <c r="X686" s="5"/>
      <c r="Y686" s="5"/>
      <c r="Z686" s="5"/>
    </row>
    <row r="687">
      <c r="A687" s="5"/>
      <c r="B687" s="17"/>
      <c r="C687" s="18"/>
      <c r="D687" s="5"/>
      <c r="E687" s="20"/>
      <c r="F687" s="21"/>
      <c r="G687" s="21"/>
      <c r="H687" s="21"/>
      <c r="I687" s="5"/>
      <c r="J687" s="20"/>
      <c r="K687" s="5"/>
      <c r="L687" s="5"/>
      <c r="M687" s="5"/>
      <c r="N687" s="5"/>
      <c r="O687" s="24"/>
      <c r="P687" s="5"/>
      <c r="Q687" s="5"/>
      <c r="R687" s="5"/>
      <c r="S687" s="5"/>
      <c r="T687" s="5"/>
      <c r="U687" s="5"/>
      <c r="V687" s="5"/>
      <c r="W687" s="5"/>
      <c r="X687" s="5"/>
      <c r="Y687" s="5"/>
      <c r="Z687" s="5"/>
    </row>
    <row r="688">
      <c r="A688" s="5"/>
      <c r="B688" s="17"/>
      <c r="C688" s="18"/>
      <c r="D688" s="5"/>
      <c r="E688" s="20"/>
      <c r="F688" s="21"/>
      <c r="G688" s="21"/>
      <c r="H688" s="21"/>
      <c r="I688" s="5"/>
      <c r="J688" s="20"/>
      <c r="K688" s="5"/>
      <c r="L688" s="5"/>
      <c r="M688" s="5"/>
      <c r="N688" s="5"/>
      <c r="O688" s="24"/>
      <c r="P688" s="5"/>
      <c r="Q688" s="5"/>
      <c r="R688" s="5"/>
      <c r="S688" s="5"/>
      <c r="T688" s="5"/>
      <c r="U688" s="5"/>
      <c r="V688" s="5"/>
      <c r="W688" s="5"/>
      <c r="X688" s="5"/>
      <c r="Y688" s="5"/>
      <c r="Z688" s="5"/>
    </row>
    <row r="689">
      <c r="A689" s="5"/>
      <c r="B689" s="17"/>
      <c r="C689" s="18"/>
      <c r="D689" s="5"/>
      <c r="E689" s="20"/>
      <c r="F689" s="21"/>
      <c r="G689" s="21"/>
      <c r="H689" s="21"/>
      <c r="I689" s="5"/>
      <c r="J689" s="20"/>
      <c r="K689" s="5"/>
      <c r="L689" s="5"/>
      <c r="M689" s="5"/>
      <c r="N689" s="5"/>
      <c r="O689" s="24"/>
      <c r="P689" s="5"/>
      <c r="Q689" s="5"/>
      <c r="R689" s="5"/>
      <c r="S689" s="5"/>
      <c r="T689" s="5"/>
      <c r="U689" s="5"/>
      <c r="V689" s="5"/>
      <c r="W689" s="5"/>
      <c r="X689" s="5"/>
      <c r="Y689" s="5"/>
      <c r="Z689" s="5"/>
    </row>
    <row r="690">
      <c r="A690" s="5"/>
      <c r="B690" s="17"/>
      <c r="C690" s="18"/>
      <c r="D690" s="5"/>
      <c r="E690" s="20"/>
      <c r="F690" s="21"/>
      <c r="G690" s="21"/>
      <c r="H690" s="21"/>
      <c r="I690" s="5"/>
      <c r="J690" s="20"/>
      <c r="K690" s="5"/>
      <c r="L690" s="5"/>
      <c r="M690" s="5"/>
      <c r="N690" s="5"/>
      <c r="O690" s="24"/>
      <c r="P690" s="5"/>
      <c r="Q690" s="5"/>
      <c r="R690" s="5"/>
      <c r="S690" s="5"/>
      <c r="T690" s="5"/>
      <c r="U690" s="5"/>
      <c r="V690" s="5"/>
      <c r="W690" s="5"/>
      <c r="X690" s="5"/>
      <c r="Y690" s="5"/>
      <c r="Z690" s="5"/>
    </row>
    <row r="691">
      <c r="A691" s="5"/>
      <c r="B691" s="17"/>
      <c r="C691" s="18"/>
      <c r="D691" s="5"/>
      <c r="E691" s="20"/>
      <c r="F691" s="21"/>
      <c r="G691" s="21"/>
      <c r="H691" s="21"/>
      <c r="I691" s="5"/>
      <c r="J691" s="20"/>
      <c r="K691" s="5"/>
      <c r="L691" s="5"/>
      <c r="M691" s="5"/>
      <c r="N691" s="5"/>
      <c r="O691" s="24"/>
      <c r="P691" s="5"/>
      <c r="Q691" s="5"/>
      <c r="R691" s="5"/>
      <c r="S691" s="5"/>
      <c r="T691" s="5"/>
      <c r="U691" s="5"/>
      <c r="V691" s="5"/>
      <c r="W691" s="5"/>
      <c r="X691" s="5"/>
      <c r="Y691" s="5"/>
      <c r="Z691" s="5"/>
    </row>
    <row r="692">
      <c r="A692" s="5"/>
      <c r="B692" s="17"/>
      <c r="C692" s="18"/>
      <c r="D692" s="5"/>
      <c r="E692" s="20"/>
      <c r="F692" s="21"/>
      <c r="G692" s="21"/>
      <c r="H692" s="21"/>
      <c r="I692" s="5"/>
      <c r="J692" s="20"/>
      <c r="K692" s="5"/>
      <c r="L692" s="5"/>
      <c r="M692" s="5"/>
      <c r="N692" s="5"/>
      <c r="O692" s="24"/>
      <c r="P692" s="5"/>
      <c r="Q692" s="5"/>
      <c r="R692" s="5"/>
      <c r="S692" s="5"/>
      <c r="T692" s="5"/>
      <c r="U692" s="5"/>
      <c r="V692" s="5"/>
      <c r="W692" s="5"/>
      <c r="X692" s="5"/>
      <c r="Y692" s="5"/>
      <c r="Z692" s="5"/>
    </row>
    <row r="693">
      <c r="A693" s="5"/>
      <c r="B693" s="17"/>
      <c r="C693" s="18"/>
      <c r="D693" s="5"/>
      <c r="E693" s="20"/>
      <c r="F693" s="21"/>
      <c r="G693" s="21"/>
      <c r="H693" s="21"/>
      <c r="I693" s="5"/>
      <c r="J693" s="20"/>
      <c r="K693" s="5"/>
      <c r="L693" s="5"/>
      <c r="M693" s="5"/>
      <c r="N693" s="5"/>
      <c r="O693" s="24"/>
      <c r="P693" s="5"/>
      <c r="Q693" s="5"/>
      <c r="R693" s="5"/>
      <c r="S693" s="5"/>
      <c r="T693" s="5"/>
      <c r="U693" s="5"/>
      <c r="V693" s="5"/>
      <c r="W693" s="5"/>
      <c r="X693" s="5"/>
      <c r="Y693" s="5"/>
      <c r="Z693" s="5"/>
    </row>
    <row r="694">
      <c r="A694" s="5"/>
      <c r="B694" s="17"/>
      <c r="C694" s="18"/>
      <c r="D694" s="5"/>
      <c r="E694" s="20"/>
      <c r="F694" s="21"/>
      <c r="G694" s="21"/>
      <c r="H694" s="21"/>
      <c r="I694" s="5"/>
      <c r="J694" s="20"/>
      <c r="K694" s="5"/>
      <c r="L694" s="5"/>
      <c r="M694" s="5"/>
      <c r="N694" s="5"/>
      <c r="O694" s="24"/>
      <c r="P694" s="5"/>
      <c r="Q694" s="5"/>
      <c r="R694" s="5"/>
      <c r="S694" s="5"/>
      <c r="T694" s="5"/>
      <c r="U694" s="5"/>
      <c r="V694" s="5"/>
      <c r="W694" s="5"/>
      <c r="X694" s="5"/>
      <c r="Y694" s="5"/>
      <c r="Z694" s="5"/>
    </row>
    <row r="695">
      <c r="A695" s="5"/>
      <c r="B695" s="17"/>
      <c r="C695" s="18"/>
      <c r="D695" s="5"/>
      <c r="E695" s="20"/>
      <c r="F695" s="21"/>
      <c r="G695" s="21"/>
      <c r="H695" s="21"/>
      <c r="I695" s="5"/>
      <c r="J695" s="20"/>
      <c r="K695" s="5"/>
      <c r="L695" s="5"/>
      <c r="M695" s="5"/>
      <c r="N695" s="5"/>
      <c r="O695" s="24"/>
      <c r="P695" s="5"/>
      <c r="Q695" s="5"/>
      <c r="R695" s="5"/>
      <c r="S695" s="5"/>
      <c r="T695" s="5"/>
      <c r="U695" s="5"/>
      <c r="V695" s="5"/>
      <c r="W695" s="5"/>
      <c r="X695" s="5"/>
      <c r="Y695" s="5"/>
      <c r="Z695" s="5"/>
    </row>
    <row r="696">
      <c r="A696" s="5"/>
      <c r="B696" s="17"/>
      <c r="C696" s="18"/>
      <c r="D696" s="5"/>
      <c r="E696" s="20"/>
      <c r="F696" s="21"/>
      <c r="G696" s="21"/>
      <c r="H696" s="21"/>
      <c r="I696" s="5"/>
      <c r="J696" s="20"/>
      <c r="K696" s="5"/>
      <c r="L696" s="5"/>
      <c r="M696" s="5"/>
      <c r="N696" s="5"/>
      <c r="O696" s="24"/>
      <c r="P696" s="5"/>
      <c r="Q696" s="5"/>
      <c r="R696" s="5"/>
      <c r="S696" s="5"/>
      <c r="T696" s="5"/>
      <c r="U696" s="5"/>
      <c r="V696" s="5"/>
      <c r="W696" s="5"/>
      <c r="X696" s="5"/>
      <c r="Y696" s="5"/>
      <c r="Z696" s="5"/>
    </row>
    <row r="697">
      <c r="A697" s="5"/>
      <c r="B697" s="17"/>
      <c r="C697" s="18"/>
      <c r="D697" s="5"/>
      <c r="E697" s="20"/>
      <c r="F697" s="21"/>
      <c r="G697" s="21"/>
      <c r="H697" s="21"/>
      <c r="I697" s="5"/>
      <c r="J697" s="20"/>
      <c r="K697" s="5"/>
      <c r="L697" s="5"/>
      <c r="M697" s="5"/>
      <c r="N697" s="5"/>
      <c r="O697" s="24"/>
      <c r="P697" s="5"/>
      <c r="Q697" s="5"/>
      <c r="R697" s="5"/>
      <c r="S697" s="5"/>
      <c r="T697" s="5"/>
      <c r="U697" s="5"/>
      <c r="V697" s="5"/>
      <c r="W697" s="5"/>
      <c r="X697" s="5"/>
      <c r="Y697" s="5"/>
      <c r="Z697" s="5"/>
    </row>
    <row r="698">
      <c r="A698" s="5"/>
      <c r="B698" s="17"/>
      <c r="C698" s="18"/>
      <c r="D698" s="5"/>
      <c r="E698" s="20"/>
      <c r="F698" s="21"/>
      <c r="G698" s="21"/>
      <c r="H698" s="21"/>
      <c r="I698" s="5"/>
      <c r="J698" s="20"/>
      <c r="K698" s="5"/>
      <c r="L698" s="5"/>
      <c r="M698" s="5"/>
      <c r="N698" s="5"/>
      <c r="O698" s="24"/>
      <c r="P698" s="5"/>
      <c r="Q698" s="5"/>
      <c r="R698" s="5"/>
      <c r="S698" s="5"/>
      <c r="T698" s="5"/>
      <c r="U698" s="5"/>
      <c r="V698" s="5"/>
      <c r="W698" s="5"/>
      <c r="X698" s="5"/>
      <c r="Y698" s="5"/>
      <c r="Z698" s="5"/>
    </row>
    <row r="699">
      <c r="A699" s="5"/>
      <c r="B699" s="17"/>
      <c r="C699" s="18"/>
      <c r="D699" s="5"/>
      <c r="E699" s="20"/>
      <c r="F699" s="21"/>
      <c r="G699" s="21"/>
      <c r="H699" s="21"/>
      <c r="I699" s="5"/>
      <c r="J699" s="20"/>
      <c r="K699" s="5"/>
      <c r="L699" s="5"/>
      <c r="M699" s="5"/>
      <c r="N699" s="5"/>
      <c r="O699" s="24"/>
      <c r="P699" s="5"/>
      <c r="Q699" s="5"/>
      <c r="R699" s="5"/>
      <c r="S699" s="5"/>
      <c r="T699" s="5"/>
      <c r="U699" s="5"/>
      <c r="V699" s="5"/>
      <c r="W699" s="5"/>
      <c r="X699" s="5"/>
      <c r="Y699" s="5"/>
      <c r="Z699" s="5"/>
    </row>
    <row r="700">
      <c r="A700" s="5"/>
      <c r="B700" s="17"/>
      <c r="C700" s="18"/>
      <c r="D700" s="5"/>
      <c r="E700" s="20"/>
      <c r="F700" s="21"/>
      <c r="G700" s="21"/>
      <c r="H700" s="21"/>
      <c r="I700" s="5"/>
      <c r="J700" s="20"/>
      <c r="K700" s="5"/>
      <c r="L700" s="5"/>
      <c r="M700" s="5"/>
      <c r="N700" s="5"/>
      <c r="O700" s="24"/>
      <c r="P700" s="5"/>
      <c r="Q700" s="5"/>
      <c r="R700" s="5"/>
      <c r="S700" s="5"/>
      <c r="T700" s="5"/>
      <c r="U700" s="5"/>
      <c r="V700" s="5"/>
      <c r="W700" s="5"/>
      <c r="X700" s="5"/>
      <c r="Y700" s="5"/>
      <c r="Z700" s="5"/>
    </row>
    <row r="701">
      <c r="A701" s="5"/>
      <c r="B701" s="17"/>
      <c r="C701" s="18"/>
      <c r="D701" s="5"/>
      <c r="E701" s="20"/>
      <c r="F701" s="21"/>
      <c r="G701" s="21"/>
      <c r="H701" s="21"/>
      <c r="I701" s="5"/>
      <c r="J701" s="20"/>
      <c r="K701" s="5"/>
      <c r="L701" s="5"/>
      <c r="M701" s="5"/>
      <c r="N701" s="5"/>
      <c r="O701" s="24"/>
      <c r="P701" s="5"/>
      <c r="Q701" s="5"/>
      <c r="R701" s="5"/>
      <c r="S701" s="5"/>
      <c r="T701" s="5"/>
      <c r="U701" s="5"/>
      <c r="V701" s="5"/>
      <c r="W701" s="5"/>
      <c r="X701" s="5"/>
      <c r="Y701" s="5"/>
      <c r="Z701" s="5"/>
    </row>
    <row r="702">
      <c r="A702" s="5"/>
      <c r="B702" s="17"/>
      <c r="C702" s="18"/>
      <c r="D702" s="5"/>
      <c r="E702" s="20"/>
      <c r="F702" s="21"/>
      <c r="G702" s="21"/>
      <c r="H702" s="21"/>
      <c r="I702" s="5"/>
      <c r="J702" s="20"/>
      <c r="K702" s="5"/>
      <c r="L702" s="5"/>
      <c r="M702" s="5"/>
      <c r="N702" s="5"/>
      <c r="O702" s="24"/>
      <c r="P702" s="5"/>
      <c r="Q702" s="5"/>
      <c r="R702" s="5"/>
      <c r="S702" s="5"/>
      <c r="T702" s="5"/>
      <c r="U702" s="5"/>
      <c r="V702" s="5"/>
      <c r="W702" s="5"/>
      <c r="X702" s="5"/>
      <c r="Y702" s="5"/>
      <c r="Z702" s="5"/>
    </row>
    <row r="703">
      <c r="A703" s="5"/>
      <c r="B703" s="17"/>
      <c r="C703" s="18"/>
      <c r="D703" s="5"/>
      <c r="E703" s="20"/>
      <c r="F703" s="21"/>
      <c r="G703" s="21"/>
      <c r="H703" s="21"/>
      <c r="I703" s="5"/>
      <c r="J703" s="20"/>
      <c r="K703" s="5"/>
      <c r="L703" s="5"/>
      <c r="M703" s="5"/>
      <c r="N703" s="5"/>
      <c r="O703" s="24"/>
      <c r="P703" s="5"/>
      <c r="Q703" s="5"/>
      <c r="R703" s="5"/>
      <c r="S703" s="5"/>
      <c r="T703" s="5"/>
      <c r="U703" s="5"/>
      <c r="V703" s="5"/>
      <c r="W703" s="5"/>
      <c r="X703" s="5"/>
      <c r="Y703" s="5"/>
      <c r="Z703" s="5"/>
    </row>
    <row r="704">
      <c r="A704" s="5"/>
      <c r="B704" s="17"/>
      <c r="C704" s="18"/>
      <c r="D704" s="5"/>
      <c r="E704" s="20"/>
      <c r="F704" s="21"/>
      <c r="G704" s="21"/>
      <c r="H704" s="21"/>
      <c r="I704" s="5"/>
      <c r="J704" s="20"/>
      <c r="K704" s="5"/>
      <c r="L704" s="5"/>
      <c r="M704" s="5"/>
      <c r="N704" s="5"/>
      <c r="O704" s="24"/>
      <c r="P704" s="5"/>
      <c r="Q704" s="5"/>
      <c r="R704" s="5"/>
      <c r="S704" s="5"/>
      <c r="T704" s="5"/>
      <c r="U704" s="5"/>
      <c r="V704" s="5"/>
      <c r="W704" s="5"/>
      <c r="X704" s="5"/>
      <c r="Y704" s="5"/>
      <c r="Z704" s="5"/>
    </row>
    <row r="705">
      <c r="A705" s="5"/>
      <c r="B705" s="17"/>
      <c r="C705" s="18"/>
      <c r="D705" s="5"/>
      <c r="E705" s="20"/>
      <c r="F705" s="21"/>
      <c r="G705" s="21"/>
      <c r="H705" s="21"/>
      <c r="I705" s="5"/>
      <c r="J705" s="20"/>
      <c r="K705" s="5"/>
      <c r="L705" s="5"/>
      <c r="M705" s="5"/>
      <c r="N705" s="5"/>
      <c r="O705" s="24"/>
      <c r="P705" s="5"/>
      <c r="Q705" s="5"/>
      <c r="R705" s="5"/>
      <c r="S705" s="5"/>
      <c r="T705" s="5"/>
      <c r="U705" s="5"/>
      <c r="V705" s="5"/>
      <c r="W705" s="5"/>
      <c r="X705" s="5"/>
      <c r="Y705" s="5"/>
      <c r="Z705" s="5"/>
    </row>
    <row r="706">
      <c r="A706" s="5"/>
      <c r="B706" s="17"/>
      <c r="C706" s="18"/>
      <c r="D706" s="5"/>
      <c r="E706" s="20"/>
      <c r="F706" s="21"/>
      <c r="G706" s="21"/>
      <c r="H706" s="21"/>
      <c r="I706" s="5"/>
      <c r="J706" s="20"/>
      <c r="K706" s="5"/>
      <c r="L706" s="5"/>
      <c r="M706" s="5"/>
      <c r="N706" s="5"/>
      <c r="O706" s="24"/>
      <c r="P706" s="5"/>
      <c r="Q706" s="5"/>
      <c r="R706" s="5"/>
      <c r="S706" s="5"/>
      <c r="T706" s="5"/>
      <c r="U706" s="5"/>
      <c r="V706" s="5"/>
      <c r="W706" s="5"/>
      <c r="X706" s="5"/>
      <c r="Y706" s="5"/>
      <c r="Z706" s="5"/>
    </row>
    <row r="707">
      <c r="A707" s="5"/>
      <c r="B707" s="17"/>
      <c r="C707" s="18"/>
      <c r="D707" s="5"/>
      <c r="E707" s="20"/>
      <c r="F707" s="21"/>
      <c r="G707" s="21"/>
      <c r="H707" s="21"/>
      <c r="I707" s="5"/>
      <c r="J707" s="20"/>
      <c r="K707" s="5"/>
      <c r="L707" s="5"/>
      <c r="M707" s="5"/>
      <c r="N707" s="5"/>
      <c r="O707" s="24"/>
      <c r="P707" s="5"/>
      <c r="Q707" s="5"/>
      <c r="R707" s="5"/>
      <c r="S707" s="5"/>
      <c r="T707" s="5"/>
      <c r="U707" s="5"/>
      <c r="V707" s="5"/>
      <c r="W707" s="5"/>
      <c r="X707" s="5"/>
      <c r="Y707" s="5"/>
      <c r="Z707" s="5"/>
    </row>
    <row r="708">
      <c r="A708" s="5"/>
      <c r="B708" s="17"/>
      <c r="C708" s="18"/>
      <c r="D708" s="5"/>
      <c r="E708" s="20"/>
      <c r="F708" s="21"/>
      <c r="G708" s="21"/>
      <c r="H708" s="21"/>
      <c r="I708" s="5"/>
      <c r="J708" s="20"/>
      <c r="K708" s="5"/>
      <c r="L708" s="5"/>
      <c r="M708" s="5"/>
      <c r="N708" s="5"/>
      <c r="O708" s="24"/>
      <c r="P708" s="5"/>
      <c r="Q708" s="5"/>
      <c r="R708" s="5"/>
      <c r="S708" s="5"/>
      <c r="T708" s="5"/>
      <c r="U708" s="5"/>
      <c r="V708" s="5"/>
      <c r="W708" s="5"/>
      <c r="X708" s="5"/>
      <c r="Y708" s="5"/>
      <c r="Z708" s="5"/>
    </row>
    <row r="709">
      <c r="A709" s="5"/>
      <c r="B709" s="17"/>
      <c r="C709" s="18"/>
      <c r="D709" s="5"/>
      <c r="E709" s="20"/>
      <c r="F709" s="21"/>
      <c r="G709" s="21"/>
      <c r="H709" s="21"/>
      <c r="I709" s="5"/>
      <c r="J709" s="20"/>
      <c r="K709" s="5"/>
      <c r="L709" s="5"/>
      <c r="M709" s="5"/>
      <c r="N709" s="5"/>
      <c r="O709" s="24"/>
      <c r="P709" s="5"/>
      <c r="Q709" s="5"/>
      <c r="R709" s="5"/>
      <c r="S709" s="5"/>
      <c r="T709" s="5"/>
      <c r="U709" s="5"/>
      <c r="V709" s="5"/>
      <c r="W709" s="5"/>
      <c r="X709" s="5"/>
      <c r="Y709" s="5"/>
      <c r="Z709" s="5"/>
    </row>
    <row r="710">
      <c r="A710" s="5"/>
      <c r="B710" s="17"/>
      <c r="C710" s="18"/>
      <c r="D710" s="5"/>
      <c r="E710" s="20"/>
      <c r="F710" s="21"/>
      <c r="G710" s="21"/>
      <c r="H710" s="21"/>
      <c r="I710" s="5"/>
      <c r="J710" s="20"/>
      <c r="K710" s="5"/>
      <c r="L710" s="5"/>
      <c r="M710" s="5"/>
      <c r="N710" s="5"/>
      <c r="O710" s="24"/>
      <c r="P710" s="5"/>
      <c r="Q710" s="5"/>
      <c r="R710" s="5"/>
      <c r="S710" s="5"/>
      <c r="T710" s="5"/>
      <c r="U710" s="5"/>
      <c r="V710" s="5"/>
      <c r="W710" s="5"/>
      <c r="X710" s="5"/>
      <c r="Y710" s="5"/>
      <c r="Z710" s="5"/>
    </row>
    <row r="711">
      <c r="A711" s="5"/>
      <c r="B711" s="17"/>
      <c r="C711" s="18"/>
      <c r="D711" s="5"/>
      <c r="E711" s="20"/>
      <c r="F711" s="21"/>
      <c r="G711" s="21"/>
      <c r="H711" s="21"/>
      <c r="I711" s="5"/>
      <c r="J711" s="20"/>
      <c r="K711" s="5"/>
      <c r="L711" s="5"/>
      <c r="M711" s="5"/>
      <c r="N711" s="5"/>
      <c r="O711" s="24"/>
      <c r="P711" s="5"/>
      <c r="Q711" s="5"/>
      <c r="R711" s="5"/>
      <c r="S711" s="5"/>
      <c r="T711" s="5"/>
      <c r="U711" s="5"/>
      <c r="V711" s="5"/>
      <c r="W711" s="5"/>
      <c r="X711" s="5"/>
      <c r="Y711" s="5"/>
      <c r="Z711" s="5"/>
    </row>
    <row r="712">
      <c r="A712" s="5"/>
      <c r="B712" s="17"/>
      <c r="C712" s="18"/>
      <c r="D712" s="5"/>
      <c r="E712" s="20"/>
      <c r="F712" s="21"/>
      <c r="G712" s="21"/>
      <c r="H712" s="21"/>
      <c r="I712" s="5"/>
      <c r="J712" s="20"/>
      <c r="K712" s="5"/>
      <c r="L712" s="5"/>
      <c r="M712" s="5"/>
      <c r="N712" s="5"/>
      <c r="O712" s="24"/>
      <c r="P712" s="5"/>
      <c r="Q712" s="5"/>
      <c r="R712" s="5"/>
      <c r="S712" s="5"/>
      <c r="T712" s="5"/>
      <c r="U712" s="5"/>
      <c r="V712" s="5"/>
      <c r="W712" s="5"/>
      <c r="X712" s="5"/>
      <c r="Y712" s="5"/>
      <c r="Z712" s="5"/>
    </row>
    <row r="713">
      <c r="A713" s="5"/>
      <c r="B713" s="17"/>
      <c r="C713" s="18"/>
      <c r="D713" s="5"/>
      <c r="E713" s="20"/>
      <c r="F713" s="21"/>
      <c r="G713" s="21"/>
      <c r="H713" s="21"/>
      <c r="I713" s="5"/>
      <c r="J713" s="20"/>
      <c r="K713" s="5"/>
      <c r="L713" s="5"/>
      <c r="M713" s="5"/>
      <c r="N713" s="5"/>
      <c r="O713" s="24"/>
      <c r="P713" s="5"/>
      <c r="Q713" s="5"/>
      <c r="R713" s="5"/>
      <c r="S713" s="5"/>
      <c r="T713" s="5"/>
      <c r="U713" s="5"/>
      <c r="V713" s="5"/>
      <c r="W713" s="5"/>
      <c r="X713" s="5"/>
      <c r="Y713" s="5"/>
      <c r="Z713" s="5"/>
    </row>
    <row r="714">
      <c r="A714" s="5"/>
      <c r="B714" s="17"/>
      <c r="C714" s="18"/>
      <c r="D714" s="5"/>
      <c r="E714" s="20"/>
      <c r="F714" s="21"/>
      <c r="G714" s="21"/>
      <c r="H714" s="21"/>
      <c r="I714" s="5"/>
      <c r="J714" s="20"/>
      <c r="K714" s="5"/>
      <c r="L714" s="5"/>
      <c r="M714" s="5"/>
      <c r="N714" s="5"/>
      <c r="O714" s="24"/>
      <c r="P714" s="5"/>
      <c r="Q714" s="5"/>
      <c r="R714" s="5"/>
      <c r="S714" s="5"/>
      <c r="T714" s="5"/>
      <c r="U714" s="5"/>
      <c r="V714" s="5"/>
      <c r="W714" s="5"/>
      <c r="X714" s="5"/>
      <c r="Y714" s="5"/>
      <c r="Z714" s="5"/>
    </row>
    <row r="715">
      <c r="A715" s="5"/>
      <c r="B715" s="17"/>
      <c r="C715" s="18"/>
      <c r="D715" s="5"/>
      <c r="E715" s="20"/>
      <c r="F715" s="21"/>
      <c r="G715" s="21"/>
      <c r="H715" s="21"/>
      <c r="I715" s="5"/>
      <c r="J715" s="20"/>
      <c r="K715" s="5"/>
      <c r="L715" s="5"/>
      <c r="M715" s="5"/>
      <c r="N715" s="5"/>
      <c r="O715" s="24"/>
      <c r="P715" s="5"/>
      <c r="Q715" s="5"/>
      <c r="R715" s="5"/>
      <c r="S715" s="5"/>
      <c r="T715" s="5"/>
      <c r="U715" s="5"/>
      <c r="V715" s="5"/>
      <c r="W715" s="5"/>
      <c r="X715" s="5"/>
      <c r="Y715" s="5"/>
      <c r="Z715" s="5"/>
    </row>
    <row r="716">
      <c r="A716" s="5"/>
      <c r="B716" s="17"/>
      <c r="C716" s="18"/>
      <c r="D716" s="5"/>
      <c r="E716" s="20"/>
      <c r="F716" s="21"/>
      <c r="G716" s="21"/>
      <c r="H716" s="21"/>
      <c r="I716" s="5"/>
      <c r="J716" s="20"/>
      <c r="K716" s="5"/>
      <c r="L716" s="5"/>
      <c r="M716" s="5"/>
      <c r="N716" s="5"/>
      <c r="O716" s="24"/>
      <c r="P716" s="5"/>
      <c r="Q716" s="5"/>
      <c r="R716" s="5"/>
      <c r="S716" s="5"/>
      <c r="T716" s="5"/>
      <c r="U716" s="5"/>
      <c r="V716" s="5"/>
      <c r="W716" s="5"/>
      <c r="X716" s="5"/>
      <c r="Y716" s="5"/>
      <c r="Z716" s="5"/>
    </row>
    <row r="717">
      <c r="A717" s="5"/>
      <c r="B717" s="17"/>
      <c r="C717" s="18"/>
      <c r="D717" s="5"/>
      <c r="E717" s="20"/>
      <c r="F717" s="21"/>
      <c r="G717" s="21"/>
      <c r="H717" s="21"/>
      <c r="I717" s="5"/>
      <c r="J717" s="20"/>
      <c r="K717" s="5"/>
      <c r="L717" s="5"/>
      <c r="M717" s="5"/>
      <c r="N717" s="5"/>
      <c r="O717" s="24"/>
      <c r="P717" s="5"/>
      <c r="Q717" s="5"/>
      <c r="R717" s="5"/>
      <c r="S717" s="5"/>
      <c r="T717" s="5"/>
      <c r="U717" s="5"/>
      <c r="V717" s="5"/>
      <c r="W717" s="5"/>
      <c r="X717" s="5"/>
      <c r="Y717" s="5"/>
      <c r="Z717" s="5"/>
    </row>
    <row r="718">
      <c r="A718" s="5"/>
      <c r="B718" s="17"/>
      <c r="C718" s="18"/>
      <c r="D718" s="5"/>
      <c r="E718" s="20"/>
      <c r="F718" s="21"/>
      <c r="G718" s="21"/>
      <c r="H718" s="21"/>
      <c r="I718" s="5"/>
      <c r="J718" s="20"/>
      <c r="K718" s="5"/>
      <c r="L718" s="5"/>
      <c r="M718" s="5"/>
      <c r="N718" s="5"/>
      <c r="O718" s="24"/>
      <c r="P718" s="5"/>
      <c r="Q718" s="5"/>
      <c r="R718" s="5"/>
      <c r="S718" s="5"/>
      <c r="T718" s="5"/>
      <c r="U718" s="5"/>
      <c r="V718" s="5"/>
      <c r="W718" s="5"/>
      <c r="X718" s="5"/>
      <c r="Y718" s="5"/>
      <c r="Z718" s="5"/>
    </row>
    <row r="719">
      <c r="A719" s="5"/>
      <c r="B719" s="17"/>
      <c r="C719" s="18"/>
      <c r="D719" s="5"/>
      <c r="E719" s="20"/>
      <c r="F719" s="21"/>
      <c r="G719" s="21"/>
      <c r="H719" s="21"/>
      <c r="I719" s="5"/>
      <c r="J719" s="20"/>
      <c r="K719" s="5"/>
      <c r="L719" s="5"/>
      <c r="M719" s="5"/>
      <c r="N719" s="5"/>
      <c r="O719" s="24"/>
      <c r="P719" s="5"/>
      <c r="Q719" s="5"/>
      <c r="R719" s="5"/>
      <c r="S719" s="5"/>
      <c r="T719" s="5"/>
      <c r="U719" s="5"/>
      <c r="V719" s="5"/>
      <c r="W719" s="5"/>
      <c r="X719" s="5"/>
      <c r="Y719" s="5"/>
      <c r="Z719" s="5"/>
    </row>
    <row r="720">
      <c r="A720" s="5"/>
      <c r="B720" s="17"/>
      <c r="C720" s="18"/>
      <c r="D720" s="5"/>
      <c r="E720" s="20"/>
      <c r="F720" s="21"/>
      <c r="G720" s="21"/>
      <c r="H720" s="21"/>
      <c r="I720" s="5"/>
      <c r="J720" s="20"/>
      <c r="K720" s="5"/>
      <c r="L720" s="5"/>
      <c r="M720" s="5"/>
      <c r="N720" s="5"/>
      <c r="O720" s="24"/>
      <c r="P720" s="5"/>
      <c r="Q720" s="5"/>
      <c r="R720" s="5"/>
      <c r="S720" s="5"/>
      <c r="T720" s="5"/>
      <c r="U720" s="5"/>
      <c r="V720" s="5"/>
      <c r="W720" s="5"/>
      <c r="X720" s="5"/>
      <c r="Y720" s="5"/>
      <c r="Z720" s="5"/>
    </row>
    <row r="721">
      <c r="A721" s="5"/>
      <c r="B721" s="17"/>
      <c r="C721" s="18"/>
      <c r="D721" s="5"/>
      <c r="E721" s="20"/>
      <c r="F721" s="21"/>
      <c r="G721" s="21"/>
      <c r="H721" s="21"/>
      <c r="I721" s="5"/>
      <c r="J721" s="20"/>
      <c r="K721" s="5"/>
      <c r="L721" s="5"/>
      <c r="M721" s="5"/>
      <c r="N721" s="5"/>
      <c r="O721" s="24"/>
      <c r="P721" s="5"/>
      <c r="Q721" s="5"/>
      <c r="R721" s="5"/>
      <c r="S721" s="5"/>
      <c r="T721" s="5"/>
      <c r="U721" s="5"/>
      <c r="V721" s="5"/>
      <c r="W721" s="5"/>
      <c r="X721" s="5"/>
      <c r="Y721" s="5"/>
      <c r="Z721" s="5"/>
    </row>
    <row r="722">
      <c r="A722" s="5"/>
      <c r="B722" s="17"/>
      <c r="C722" s="18"/>
      <c r="D722" s="5"/>
      <c r="E722" s="20"/>
      <c r="F722" s="21"/>
      <c r="G722" s="21"/>
      <c r="H722" s="21"/>
      <c r="I722" s="5"/>
      <c r="J722" s="20"/>
      <c r="K722" s="5"/>
      <c r="L722" s="5"/>
      <c r="M722" s="5"/>
      <c r="N722" s="5"/>
      <c r="O722" s="24"/>
      <c r="P722" s="5"/>
      <c r="Q722" s="5"/>
      <c r="R722" s="5"/>
      <c r="S722" s="5"/>
      <c r="T722" s="5"/>
      <c r="U722" s="5"/>
      <c r="V722" s="5"/>
      <c r="W722" s="5"/>
      <c r="X722" s="5"/>
      <c r="Y722" s="5"/>
      <c r="Z722" s="5"/>
    </row>
    <row r="723">
      <c r="A723" s="5"/>
      <c r="B723" s="17"/>
      <c r="C723" s="18"/>
      <c r="D723" s="5"/>
      <c r="E723" s="20"/>
      <c r="F723" s="21"/>
      <c r="G723" s="21"/>
      <c r="H723" s="21"/>
      <c r="I723" s="5"/>
      <c r="J723" s="20"/>
      <c r="K723" s="5"/>
      <c r="L723" s="5"/>
      <c r="M723" s="5"/>
      <c r="N723" s="5"/>
      <c r="O723" s="24"/>
      <c r="P723" s="5"/>
      <c r="Q723" s="5"/>
      <c r="R723" s="5"/>
      <c r="S723" s="5"/>
      <c r="T723" s="5"/>
      <c r="U723" s="5"/>
      <c r="V723" s="5"/>
      <c r="W723" s="5"/>
      <c r="X723" s="5"/>
      <c r="Y723" s="5"/>
      <c r="Z723" s="5"/>
    </row>
    <row r="724">
      <c r="A724" s="5"/>
      <c r="B724" s="17"/>
      <c r="C724" s="18"/>
      <c r="D724" s="5"/>
      <c r="E724" s="20"/>
      <c r="F724" s="21"/>
      <c r="G724" s="21"/>
      <c r="H724" s="21"/>
      <c r="I724" s="5"/>
      <c r="J724" s="20"/>
      <c r="K724" s="5"/>
      <c r="L724" s="5"/>
      <c r="M724" s="5"/>
      <c r="N724" s="5"/>
      <c r="O724" s="24"/>
      <c r="P724" s="5"/>
      <c r="Q724" s="5"/>
      <c r="R724" s="5"/>
      <c r="S724" s="5"/>
      <c r="T724" s="5"/>
      <c r="U724" s="5"/>
      <c r="V724" s="5"/>
      <c r="W724" s="5"/>
      <c r="X724" s="5"/>
      <c r="Y724" s="5"/>
      <c r="Z724" s="5"/>
    </row>
    <row r="725">
      <c r="A725" s="5"/>
      <c r="B725" s="17"/>
      <c r="C725" s="18"/>
      <c r="D725" s="5"/>
      <c r="E725" s="20"/>
      <c r="F725" s="21"/>
      <c r="G725" s="21"/>
      <c r="H725" s="21"/>
      <c r="I725" s="5"/>
      <c r="J725" s="20"/>
      <c r="K725" s="5"/>
      <c r="L725" s="5"/>
      <c r="M725" s="5"/>
      <c r="N725" s="5"/>
      <c r="O725" s="24"/>
      <c r="P725" s="5"/>
      <c r="Q725" s="5"/>
      <c r="R725" s="5"/>
      <c r="S725" s="5"/>
      <c r="T725" s="5"/>
      <c r="U725" s="5"/>
      <c r="V725" s="5"/>
      <c r="W725" s="5"/>
      <c r="X725" s="5"/>
      <c r="Y725" s="5"/>
      <c r="Z725" s="5"/>
    </row>
    <row r="726">
      <c r="A726" s="5"/>
      <c r="B726" s="17"/>
      <c r="C726" s="18"/>
      <c r="D726" s="5"/>
      <c r="E726" s="20"/>
      <c r="F726" s="21"/>
      <c r="G726" s="21"/>
      <c r="H726" s="21"/>
      <c r="I726" s="5"/>
      <c r="J726" s="20"/>
      <c r="K726" s="5"/>
      <c r="L726" s="5"/>
      <c r="M726" s="5"/>
      <c r="N726" s="5"/>
      <c r="O726" s="24"/>
      <c r="P726" s="5"/>
      <c r="Q726" s="5"/>
      <c r="R726" s="5"/>
      <c r="S726" s="5"/>
      <c r="T726" s="5"/>
      <c r="U726" s="5"/>
      <c r="V726" s="5"/>
      <c r="W726" s="5"/>
      <c r="X726" s="5"/>
      <c r="Y726" s="5"/>
      <c r="Z726" s="5"/>
    </row>
    <row r="727">
      <c r="A727" s="5"/>
      <c r="B727" s="17"/>
      <c r="C727" s="18"/>
      <c r="D727" s="5"/>
      <c r="E727" s="20"/>
      <c r="F727" s="21"/>
      <c r="G727" s="21"/>
      <c r="H727" s="21"/>
      <c r="I727" s="5"/>
      <c r="J727" s="20"/>
      <c r="K727" s="5"/>
      <c r="L727" s="5"/>
      <c r="M727" s="5"/>
      <c r="N727" s="5"/>
      <c r="O727" s="24"/>
      <c r="P727" s="5"/>
      <c r="Q727" s="5"/>
      <c r="R727" s="5"/>
      <c r="S727" s="5"/>
      <c r="T727" s="5"/>
      <c r="U727" s="5"/>
      <c r="V727" s="5"/>
      <c r="W727" s="5"/>
      <c r="X727" s="5"/>
      <c r="Y727" s="5"/>
      <c r="Z727" s="5"/>
    </row>
    <row r="728">
      <c r="A728" s="5"/>
      <c r="B728" s="17"/>
      <c r="C728" s="18"/>
      <c r="D728" s="5"/>
      <c r="E728" s="20"/>
      <c r="F728" s="21"/>
      <c r="G728" s="21"/>
      <c r="H728" s="21"/>
      <c r="I728" s="5"/>
      <c r="J728" s="20"/>
      <c r="K728" s="5"/>
      <c r="L728" s="5"/>
      <c r="M728" s="5"/>
      <c r="N728" s="5"/>
      <c r="O728" s="24"/>
      <c r="P728" s="5"/>
      <c r="Q728" s="5"/>
      <c r="R728" s="5"/>
      <c r="S728" s="5"/>
      <c r="T728" s="5"/>
      <c r="U728" s="5"/>
      <c r="V728" s="5"/>
      <c r="W728" s="5"/>
      <c r="X728" s="5"/>
      <c r="Y728" s="5"/>
      <c r="Z728" s="5"/>
    </row>
    <row r="729">
      <c r="A729" s="5"/>
      <c r="B729" s="17"/>
      <c r="C729" s="18"/>
      <c r="D729" s="5"/>
      <c r="E729" s="20"/>
      <c r="F729" s="21"/>
      <c r="G729" s="21"/>
      <c r="H729" s="21"/>
      <c r="I729" s="5"/>
      <c r="J729" s="20"/>
      <c r="K729" s="5"/>
      <c r="L729" s="5"/>
      <c r="M729" s="5"/>
      <c r="N729" s="5"/>
      <c r="O729" s="24"/>
      <c r="P729" s="5"/>
      <c r="Q729" s="5"/>
      <c r="R729" s="5"/>
      <c r="S729" s="5"/>
      <c r="T729" s="5"/>
      <c r="U729" s="5"/>
      <c r="V729" s="5"/>
      <c r="W729" s="5"/>
      <c r="X729" s="5"/>
      <c r="Y729" s="5"/>
      <c r="Z729" s="5"/>
    </row>
    <row r="730">
      <c r="A730" s="5"/>
      <c r="B730" s="17"/>
      <c r="C730" s="18"/>
      <c r="D730" s="5"/>
      <c r="E730" s="20"/>
      <c r="F730" s="21"/>
      <c r="G730" s="21"/>
      <c r="H730" s="21"/>
      <c r="I730" s="5"/>
      <c r="J730" s="20"/>
      <c r="K730" s="5"/>
      <c r="L730" s="5"/>
      <c r="M730" s="5"/>
      <c r="N730" s="5"/>
      <c r="O730" s="24"/>
      <c r="P730" s="5"/>
      <c r="Q730" s="5"/>
      <c r="R730" s="5"/>
      <c r="S730" s="5"/>
      <c r="T730" s="5"/>
      <c r="U730" s="5"/>
      <c r="V730" s="5"/>
      <c r="W730" s="5"/>
      <c r="X730" s="5"/>
      <c r="Y730" s="5"/>
      <c r="Z730" s="5"/>
    </row>
    <row r="731">
      <c r="A731" s="5"/>
      <c r="B731" s="17"/>
      <c r="C731" s="18"/>
      <c r="D731" s="5"/>
      <c r="E731" s="20"/>
      <c r="F731" s="21"/>
      <c r="G731" s="21"/>
      <c r="H731" s="21"/>
      <c r="I731" s="5"/>
      <c r="J731" s="20"/>
      <c r="K731" s="5"/>
      <c r="L731" s="5"/>
      <c r="M731" s="5"/>
      <c r="N731" s="5"/>
      <c r="O731" s="24"/>
      <c r="P731" s="5"/>
      <c r="Q731" s="5"/>
      <c r="R731" s="5"/>
      <c r="S731" s="5"/>
      <c r="T731" s="5"/>
      <c r="U731" s="5"/>
      <c r="V731" s="5"/>
      <c r="W731" s="5"/>
      <c r="X731" s="5"/>
      <c r="Y731" s="5"/>
      <c r="Z731" s="5"/>
    </row>
    <row r="732">
      <c r="A732" s="5"/>
      <c r="B732" s="17"/>
      <c r="C732" s="18"/>
      <c r="D732" s="5"/>
      <c r="E732" s="20"/>
      <c r="F732" s="21"/>
      <c r="G732" s="21"/>
      <c r="H732" s="21"/>
      <c r="I732" s="5"/>
      <c r="J732" s="20"/>
      <c r="K732" s="5"/>
      <c r="L732" s="5"/>
      <c r="M732" s="5"/>
      <c r="N732" s="5"/>
      <c r="O732" s="24"/>
      <c r="P732" s="5"/>
      <c r="Q732" s="5"/>
      <c r="R732" s="5"/>
      <c r="S732" s="5"/>
      <c r="T732" s="5"/>
      <c r="U732" s="5"/>
      <c r="V732" s="5"/>
      <c r="W732" s="5"/>
      <c r="X732" s="5"/>
      <c r="Y732" s="5"/>
      <c r="Z732" s="5"/>
    </row>
    <row r="733">
      <c r="A733" s="5"/>
      <c r="B733" s="17"/>
      <c r="C733" s="18"/>
      <c r="D733" s="5"/>
      <c r="E733" s="20"/>
      <c r="F733" s="21"/>
      <c r="G733" s="21"/>
      <c r="H733" s="21"/>
      <c r="I733" s="5"/>
      <c r="J733" s="20"/>
      <c r="K733" s="5"/>
      <c r="L733" s="5"/>
      <c r="M733" s="5"/>
      <c r="N733" s="5"/>
      <c r="O733" s="24"/>
      <c r="P733" s="5"/>
      <c r="Q733" s="5"/>
      <c r="R733" s="5"/>
      <c r="S733" s="5"/>
      <c r="T733" s="5"/>
      <c r="U733" s="5"/>
      <c r="V733" s="5"/>
      <c r="W733" s="5"/>
      <c r="X733" s="5"/>
      <c r="Y733" s="5"/>
      <c r="Z733" s="5"/>
    </row>
    <row r="734">
      <c r="A734" s="5"/>
      <c r="B734" s="17"/>
      <c r="C734" s="18"/>
      <c r="D734" s="5"/>
      <c r="E734" s="20"/>
      <c r="F734" s="21"/>
      <c r="G734" s="21"/>
      <c r="H734" s="21"/>
      <c r="I734" s="5"/>
      <c r="J734" s="20"/>
      <c r="K734" s="5"/>
      <c r="L734" s="5"/>
      <c r="M734" s="5"/>
      <c r="N734" s="5"/>
      <c r="O734" s="24"/>
      <c r="P734" s="5"/>
      <c r="Q734" s="5"/>
      <c r="R734" s="5"/>
      <c r="S734" s="5"/>
      <c r="T734" s="5"/>
      <c r="U734" s="5"/>
      <c r="V734" s="5"/>
      <c r="W734" s="5"/>
      <c r="X734" s="5"/>
      <c r="Y734" s="5"/>
      <c r="Z734" s="5"/>
    </row>
    <row r="735">
      <c r="A735" s="5"/>
      <c r="B735" s="17"/>
      <c r="C735" s="18"/>
      <c r="D735" s="5"/>
      <c r="E735" s="20"/>
      <c r="F735" s="21"/>
      <c r="G735" s="21"/>
      <c r="H735" s="21"/>
      <c r="I735" s="5"/>
      <c r="J735" s="20"/>
      <c r="K735" s="5"/>
      <c r="L735" s="5"/>
      <c r="M735" s="5"/>
      <c r="N735" s="5"/>
      <c r="O735" s="24"/>
      <c r="P735" s="5"/>
      <c r="Q735" s="5"/>
      <c r="R735" s="5"/>
      <c r="S735" s="5"/>
      <c r="T735" s="5"/>
      <c r="U735" s="5"/>
      <c r="V735" s="5"/>
      <c r="W735" s="5"/>
      <c r="X735" s="5"/>
      <c r="Y735" s="5"/>
      <c r="Z735" s="5"/>
    </row>
    <row r="736">
      <c r="A736" s="5"/>
      <c r="B736" s="17"/>
      <c r="C736" s="18"/>
      <c r="D736" s="5"/>
      <c r="E736" s="20"/>
      <c r="F736" s="21"/>
      <c r="G736" s="21"/>
      <c r="H736" s="21"/>
      <c r="I736" s="5"/>
      <c r="J736" s="20"/>
      <c r="K736" s="5"/>
      <c r="L736" s="5"/>
      <c r="M736" s="5"/>
      <c r="N736" s="5"/>
      <c r="O736" s="24"/>
      <c r="P736" s="5"/>
      <c r="Q736" s="5"/>
      <c r="R736" s="5"/>
      <c r="S736" s="5"/>
      <c r="T736" s="5"/>
      <c r="U736" s="5"/>
      <c r="V736" s="5"/>
      <c r="W736" s="5"/>
      <c r="X736" s="5"/>
      <c r="Y736" s="5"/>
      <c r="Z736" s="5"/>
    </row>
    <row r="737">
      <c r="A737" s="5"/>
      <c r="B737" s="17"/>
      <c r="C737" s="18"/>
      <c r="D737" s="5"/>
      <c r="E737" s="20"/>
      <c r="F737" s="21"/>
      <c r="G737" s="21"/>
      <c r="H737" s="21"/>
      <c r="I737" s="5"/>
      <c r="J737" s="20"/>
      <c r="K737" s="5"/>
      <c r="L737" s="5"/>
      <c r="M737" s="5"/>
      <c r="N737" s="5"/>
      <c r="O737" s="24"/>
      <c r="P737" s="5"/>
      <c r="Q737" s="5"/>
      <c r="R737" s="5"/>
      <c r="S737" s="5"/>
      <c r="T737" s="5"/>
      <c r="U737" s="5"/>
      <c r="V737" s="5"/>
      <c r="W737" s="5"/>
      <c r="X737" s="5"/>
      <c r="Y737" s="5"/>
      <c r="Z737" s="5"/>
    </row>
    <row r="738">
      <c r="A738" s="5"/>
      <c r="B738" s="17"/>
      <c r="C738" s="18"/>
      <c r="D738" s="5"/>
      <c r="E738" s="20"/>
      <c r="F738" s="21"/>
      <c r="G738" s="21"/>
      <c r="H738" s="21"/>
      <c r="I738" s="5"/>
      <c r="J738" s="20"/>
      <c r="K738" s="5"/>
      <c r="L738" s="5"/>
      <c r="M738" s="5"/>
      <c r="N738" s="5"/>
      <c r="O738" s="24"/>
      <c r="P738" s="5"/>
      <c r="Q738" s="5"/>
      <c r="R738" s="5"/>
      <c r="S738" s="5"/>
      <c r="T738" s="5"/>
      <c r="U738" s="5"/>
      <c r="V738" s="5"/>
      <c r="W738" s="5"/>
      <c r="X738" s="5"/>
      <c r="Y738" s="5"/>
      <c r="Z738" s="5"/>
    </row>
    <row r="739">
      <c r="A739" s="5"/>
      <c r="B739" s="17"/>
      <c r="C739" s="18"/>
      <c r="D739" s="5"/>
      <c r="E739" s="20"/>
      <c r="F739" s="21"/>
      <c r="G739" s="21"/>
      <c r="H739" s="21"/>
      <c r="I739" s="5"/>
      <c r="J739" s="20"/>
      <c r="K739" s="5"/>
      <c r="L739" s="5"/>
      <c r="M739" s="5"/>
      <c r="N739" s="5"/>
      <c r="O739" s="24"/>
      <c r="P739" s="5"/>
      <c r="Q739" s="5"/>
      <c r="R739" s="5"/>
      <c r="S739" s="5"/>
      <c r="T739" s="5"/>
      <c r="U739" s="5"/>
      <c r="V739" s="5"/>
      <c r="W739" s="5"/>
      <c r="X739" s="5"/>
      <c r="Y739" s="5"/>
      <c r="Z739" s="5"/>
    </row>
    <row r="740">
      <c r="A740" s="5"/>
      <c r="B740" s="17"/>
      <c r="C740" s="18"/>
      <c r="D740" s="5"/>
      <c r="E740" s="20"/>
      <c r="F740" s="21"/>
      <c r="G740" s="21"/>
      <c r="H740" s="21"/>
      <c r="I740" s="5"/>
      <c r="J740" s="20"/>
      <c r="K740" s="5"/>
      <c r="L740" s="5"/>
      <c r="M740" s="5"/>
      <c r="N740" s="5"/>
      <c r="O740" s="24"/>
      <c r="P740" s="5"/>
      <c r="Q740" s="5"/>
      <c r="R740" s="5"/>
      <c r="S740" s="5"/>
      <c r="T740" s="5"/>
      <c r="U740" s="5"/>
      <c r="V740" s="5"/>
      <c r="W740" s="5"/>
      <c r="X740" s="5"/>
      <c r="Y740" s="5"/>
      <c r="Z740" s="5"/>
    </row>
    <row r="741">
      <c r="A741" s="5"/>
      <c r="B741" s="17"/>
      <c r="C741" s="18"/>
      <c r="D741" s="5"/>
      <c r="E741" s="20"/>
      <c r="F741" s="21"/>
      <c r="G741" s="21"/>
      <c r="H741" s="21"/>
      <c r="I741" s="5"/>
      <c r="J741" s="20"/>
      <c r="K741" s="5"/>
      <c r="L741" s="5"/>
      <c r="M741" s="5"/>
      <c r="N741" s="5"/>
      <c r="O741" s="24"/>
      <c r="P741" s="5"/>
      <c r="Q741" s="5"/>
      <c r="R741" s="5"/>
      <c r="S741" s="5"/>
      <c r="T741" s="5"/>
      <c r="U741" s="5"/>
      <c r="V741" s="5"/>
      <c r="W741" s="5"/>
      <c r="X741" s="5"/>
      <c r="Y741" s="5"/>
      <c r="Z741" s="5"/>
    </row>
    <row r="742">
      <c r="A742" s="5"/>
      <c r="B742" s="17"/>
      <c r="C742" s="18"/>
      <c r="D742" s="5"/>
      <c r="E742" s="20"/>
      <c r="F742" s="21"/>
      <c r="G742" s="21"/>
      <c r="H742" s="21"/>
      <c r="I742" s="5"/>
      <c r="J742" s="20"/>
      <c r="K742" s="5"/>
      <c r="L742" s="5"/>
      <c r="M742" s="5"/>
      <c r="N742" s="5"/>
      <c r="O742" s="24"/>
      <c r="P742" s="5"/>
      <c r="Q742" s="5"/>
      <c r="R742" s="5"/>
      <c r="S742" s="5"/>
      <c r="T742" s="5"/>
      <c r="U742" s="5"/>
      <c r="V742" s="5"/>
      <c r="W742" s="5"/>
      <c r="X742" s="5"/>
      <c r="Y742" s="5"/>
      <c r="Z742" s="5"/>
    </row>
    <row r="743">
      <c r="A743" s="5"/>
      <c r="B743" s="17"/>
      <c r="C743" s="18"/>
      <c r="D743" s="5"/>
      <c r="E743" s="20"/>
      <c r="F743" s="21"/>
      <c r="G743" s="21"/>
      <c r="H743" s="21"/>
      <c r="I743" s="5"/>
      <c r="J743" s="20"/>
      <c r="K743" s="5"/>
      <c r="L743" s="5"/>
      <c r="M743" s="5"/>
      <c r="N743" s="5"/>
      <c r="O743" s="24"/>
      <c r="P743" s="5"/>
      <c r="Q743" s="5"/>
      <c r="R743" s="5"/>
      <c r="S743" s="5"/>
      <c r="T743" s="5"/>
      <c r="U743" s="5"/>
      <c r="V743" s="5"/>
      <c r="W743" s="5"/>
      <c r="X743" s="5"/>
      <c r="Y743" s="5"/>
      <c r="Z743" s="5"/>
    </row>
    <row r="744">
      <c r="A744" s="5"/>
      <c r="B744" s="17"/>
      <c r="C744" s="18"/>
      <c r="D744" s="5"/>
      <c r="E744" s="20"/>
      <c r="F744" s="21"/>
      <c r="G744" s="21"/>
      <c r="H744" s="21"/>
      <c r="I744" s="5"/>
      <c r="J744" s="20"/>
      <c r="K744" s="5"/>
      <c r="L744" s="5"/>
      <c r="M744" s="5"/>
      <c r="N744" s="5"/>
      <c r="O744" s="24"/>
      <c r="P744" s="5"/>
      <c r="Q744" s="5"/>
      <c r="R744" s="5"/>
      <c r="S744" s="5"/>
      <c r="T744" s="5"/>
      <c r="U744" s="5"/>
      <c r="V744" s="5"/>
      <c r="W744" s="5"/>
      <c r="X744" s="5"/>
      <c r="Y744" s="5"/>
      <c r="Z744" s="5"/>
    </row>
    <row r="745">
      <c r="A745" s="5"/>
      <c r="B745" s="17"/>
      <c r="C745" s="18"/>
      <c r="D745" s="5"/>
      <c r="E745" s="20"/>
      <c r="F745" s="21"/>
      <c r="G745" s="21"/>
      <c r="H745" s="21"/>
      <c r="I745" s="5"/>
      <c r="J745" s="20"/>
      <c r="K745" s="5"/>
      <c r="L745" s="5"/>
      <c r="M745" s="5"/>
      <c r="N745" s="5"/>
      <c r="O745" s="24"/>
      <c r="P745" s="5"/>
      <c r="Q745" s="5"/>
      <c r="R745" s="5"/>
      <c r="S745" s="5"/>
      <c r="T745" s="5"/>
      <c r="U745" s="5"/>
      <c r="V745" s="5"/>
      <c r="W745" s="5"/>
      <c r="X745" s="5"/>
      <c r="Y745" s="5"/>
      <c r="Z745" s="5"/>
    </row>
    <row r="746">
      <c r="A746" s="5"/>
      <c r="B746" s="17"/>
      <c r="C746" s="18"/>
      <c r="D746" s="5"/>
      <c r="E746" s="20"/>
      <c r="F746" s="21"/>
      <c r="G746" s="21"/>
      <c r="H746" s="21"/>
      <c r="I746" s="5"/>
      <c r="J746" s="20"/>
      <c r="K746" s="5"/>
      <c r="L746" s="5"/>
      <c r="M746" s="5"/>
      <c r="N746" s="5"/>
      <c r="O746" s="24"/>
      <c r="P746" s="5"/>
      <c r="Q746" s="5"/>
      <c r="R746" s="5"/>
      <c r="S746" s="5"/>
      <c r="T746" s="5"/>
      <c r="U746" s="5"/>
      <c r="V746" s="5"/>
      <c r="W746" s="5"/>
      <c r="X746" s="5"/>
      <c r="Y746" s="5"/>
      <c r="Z746" s="5"/>
    </row>
    <row r="747">
      <c r="A747" s="5"/>
      <c r="B747" s="17"/>
      <c r="C747" s="18"/>
      <c r="D747" s="5"/>
      <c r="E747" s="20"/>
      <c r="F747" s="21"/>
      <c r="G747" s="21"/>
      <c r="H747" s="21"/>
      <c r="I747" s="5"/>
      <c r="J747" s="20"/>
      <c r="K747" s="5"/>
      <c r="L747" s="5"/>
      <c r="M747" s="5"/>
      <c r="N747" s="5"/>
      <c r="O747" s="24"/>
      <c r="P747" s="5"/>
      <c r="Q747" s="5"/>
      <c r="R747" s="5"/>
      <c r="S747" s="5"/>
      <c r="T747" s="5"/>
      <c r="U747" s="5"/>
      <c r="V747" s="5"/>
      <c r="W747" s="5"/>
      <c r="X747" s="5"/>
      <c r="Y747" s="5"/>
      <c r="Z747" s="5"/>
    </row>
    <row r="748">
      <c r="A748" s="5"/>
      <c r="B748" s="17"/>
      <c r="C748" s="18"/>
      <c r="D748" s="5"/>
      <c r="E748" s="20"/>
      <c r="F748" s="21"/>
      <c r="G748" s="21"/>
      <c r="H748" s="21"/>
      <c r="I748" s="5"/>
      <c r="J748" s="20"/>
      <c r="K748" s="5"/>
      <c r="L748" s="5"/>
      <c r="M748" s="5"/>
      <c r="N748" s="5"/>
      <c r="O748" s="24"/>
      <c r="P748" s="5"/>
      <c r="Q748" s="5"/>
      <c r="R748" s="5"/>
      <c r="S748" s="5"/>
      <c r="T748" s="5"/>
      <c r="U748" s="5"/>
      <c r="V748" s="5"/>
      <c r="W748" s="5"/>
      <c r="X748" s="5"/>
      <c r="Y748" s="5"/>
      <c r="Z748" s="5"/>
    </row>
    <row r="749">
      <c r="A749" s="5"/>
      <c r="B749" s="17"/>
      <c r="C749" s="18"/>
      <c r="D749" s="5"/>
      <c r="E749" s="20"/>
      <c r="F749" s="21"/>
      <c r="G749" s="21"/>
      <c r="H749" s="21"/>
      <c r="I749" s="5"/>
      <c r="J749" s="20"/>
      <c r="K749" s="5"/>
      <c r="L749" s="5"/>
      <c r="M749" s="5"/>
      <c r="N749" s="5"/>
      <c r="O749" s="24"/>
      <c r="P749" s="5"/>
      <c r="Q749" s="5"/>
      <c r="R749" s="5"/>
      <c r="S749" s="5"/>
      <c r="T749" s="5"/>
      <c r="U749" s="5"/>
      <c r="V749" s="5"/>
      <c r="W749" s="5"/>
      <c r="X749" s="5"/>
      <c r="Y749" s="5"/>
      <c r="Z749" s="5"/>
    </row>
    <row r="750">
      <c r="A750" s="5"/>
      <c r="B750" s="17"/>
      <c r="C750" s="18"/>
      <c r="D750" s="5"/>
      <c r="E750" s="20"/>
      <c r="F750" s="21"/>
      <c r="G750" s="21"/>
      <c r="H750" s="21"/>
      <c r="I750" s="5"/>
      <c r="J750" s="20"/>
      <c r="K750" s="5"/>
      <c r="L750" s="5"/>
      <c r="M750" s="5"/>
      <c r="N750" s="5"/>
      <c r="O750" s="24"/>
      <c r="P750" s="5"/>
      <c r="Q750" s="5"/>
      <c r="R750" s="5"/>
      <c r="S750" s="5"/>
      <c r="T750" s="5"/>
      <c r="U750" s="5"/>
      <c r="V750" s="5"/>
      <c r="W750" s="5"/>
      <c r="X750" s="5"/>
      <c r="Y750" s="5"/>
      <c r="Z750" s="5"/>
    </row>
    <row r="751">
      <c r="A751" s="5"/>
      <c r="B751" s="17"/>
      <c r="C751" s="18"/>
      <c r="D751" s="5"/>
      <c r="E751" s="20"/>
      <c r="F751" s="21"/>
      <c r="G751" s="21"/>
      <c r="H751" s="21"/>
      <c r="I751" s="5"/>
      <c r="J751" s="20"/>
      <c r="K751" s="5"/>
      <c r="L751" s="5"/>
      <c r="M751" s="5"/>
      <c r="N751" s="5"/>
      <c r="O751" s="24"/>
      <c r="P751" s="5"/>
      <c r="Q751" s="5"/>
      <c r="R751" s="5"/>
      <c r="S751" s="5"/>
      <c r="T751" s="5"/>
      <c r="U751" s="5"/>
      <c r="V751" s="5"/>
      <c r="W751" s="5"/>
      <c r="X751" s="5"/>
      <c r="Y751" s="5"/>
      <c r="Z751" s="5"/>
    </row>
    <row r="752">
      <c r="A752" s="5"/>
      <c r="B752" s="17"/>
      <c r="C752" s="18"/>
      <c r="D752" s="5"/>
      <c r="E752" s="20"/>
      <c r="F752" s="21"/>
      <c r="G752" s="21"/>
      <c r="H752" s="21"/>
      <c r="I752" s="5"/>
      <c r="J752" s="20"/>
      <c r="K752" s="5"/>
      <c r="L752" s="5"/>
      <c r="M752" s="5"/>
      <c r="N752" s="5"/>
      <c r="O752" s="24"/>
      <c r="P752" s="5"/>
      <c r="Q752" s="5"/>
      <c r="R752" s="5"/>
      <c r="S752" s="5"/>
      <c r="T752" s="5"/>
      <c r="U752" s="5"/>
      <c r="V752" s="5"/>
      <c r="W752" s="5"/>
      <c r="X752" s="5"/>
      <c r="Y752" s="5"/>
      <c r="Z752" s="5"/>
    </row>
    <row r="753">
      <c r="A753" s="5"/>
      <c r="B753" s="17"/>
      <c r="C753" s="18"/>
      <c r="D753" s="5"/>
      <c r="E753" s="20"/>
      <c r="F753" s="21"/>
      <c r="G753" s="21"/>
      <c r="H753" s="21"/>
      <c r="I753" s="5"/>
      <c r="J753" s="20"/>
      <c r="K753" s="5"/>
      <c r="L753" s="5"/>
      <c r="M753" s="5"/>
      <c r="N753" s="5"/>
      <c r="O753" s="24"/>
      <c r="P753" s="5"/>
      <c r="Q753" s="5"/>
      <c r="R753" s="5"/>
      <c r="S753" s="5"/>
      <c r="T753" s="5"/>
      <c r="U753" s="5"/>
      <c r="V753" s="5"/>
      <c r="W753" s="5"/>
      <c r="X753" s="5"/>
      <c r="Y753" s="5"/>
      <c r="Z753" s="5"/>
    </row>
    <row r="754">
      <c r="A754" s="5"/>
      <c r="B754" s="17"/>
      <c r="C754" s="18"/>
      <c r="D754" s="5"/>
      <c r="E754" s="20"/>
      <c r="F754" s="21"/>
      <c r="G754" s="21"/>
      <c r="H754" s="21"/>
      <c r="I754" s="5"/>
      <c r="J754" s="20"/>
      <c r="K754" s="5"/>
      <c r="L754" s="5"/>
      <c r="M754" s="5"/>
      <c r="N754" s="5"/>
      <c r="O754" s="24"/>
      <c r="P754" s="5"/>
      <c r="Q754" s="5"/>
      <c r="R754" s="5"/>
      <c r="S754" s="5"/>
      <c r="T754" s="5"/>
      <c r="U754" s="5"/>
      <c r="V754" s="5"/>
      <c r="W754" s="5"/>
      <c r="X754" s="5"/>
      <c r="Y754" s="5"/>
      <c r="Z754" s="5"/>
    </row>
    <row r="755">
      <c r="A755" s="5"/>
      <c r="B755" s="17"/>
      <c r="C755" s="18"/>
      <c r="D755" s="5"/>
      <c r="E755" s="20"/>
      <c r="F755" s="21"/>
      <c r="G755" s="21"/>
      <c r="H755" s="21"/>
      <c r="I755" s="5"/>
      <c r="J755" s="20"/>
      <c r="K755" s="5"/>
      <c r="L755" s="5"/>
      <c r="M755" s="5"/>
      <c r="N755" s="5"/>
      <c r="O755" s="24"/>
      <c r="P755" s="5"/>
      <c r="Q755" s="5"/>
      <c r="R755" s="5"/>
      <c r="S755" s="5"/>
      <c r="T755" s="5"/>
      <c r="U755" s="5"/>
      <c r="V755" s="5"/>
      <c r="W755" s="5"/>
      <c r="X755" s="5"/>
      <c r="Y755" s="5"/>
      <c r="Z755" s="5"/>
    </row>
    <row r="756">
      <c r="A756" s="5"/>
      <c r="B756" s="17"/>
      <c r="C756" s="18"/>
      <c r="D756" s="5"/>
      <c r="E756" s="20"/>
      <c r="F756" s="21"/>
      <c r="G756" s="21"/>
      <c r="H756" s="21"/>
      <c r="I756" s="5"/>
      <c r="J756" s="20"/>
      <c r="K756" s="5"/>
      <c r="L756" s="5"/>
      <c r="M756" s="5"/>
      <c r="N756" s="5"/>
      <c r="O756" s="24"/>
      <c r="P756" s="5"/>
      <c r="Q756" s="5"/>
      <c r="R756" s="5"/>
      <c r="S756" s="5"/>
      <c r="T756" s="5"/>
      <c r="U756" s="5"/>
      <c r="V756" s="5"/>
      <c r="W756" s="5"/>
      <c r="X756" s="5"/>
      <c r="Y756" s="5"/>
      <c r="Z756" s="5"/>
    </row>
    <row r="757">
      <c r="A757" s="5"/>
      <c r="B757" s="17"/>
      <c r="C757" s="18"/>
      <c r="D757" s="5"/>
      <c r="E757" s="20"/>
      <c r="F757" s="21"/>
      <c r="G757" s="21"/>
      <c r="H757" s="21"/>
      <c r="I757" s="5"/>
      <c r="J757" s="20"/>
      <c r="K757" s="5"/>
      <c r="L757" s="5"/>
      <c r="M757" s="5"/>
      <c r="N757" s="5"/>
      <c r="O757" s="24"/>
      <c r="P757" s="5"/>
      <c r="Q757" s="5"/>
      <c r="R757" s="5"/>
      <c r="S757" s="5"/>
      <c r="T757" s="5"/>
      <c r="U757" s="5"/>
      <c r="V757" s="5"/>
      <c r="W757" s="5"/>
      <c r="X757" s="5"/>
      <c r="Y757" s="5"/>
      <c r="Z757" s="5"/>
    </row>
    <row r="758">
      <c r="A758" s="5"/>
      <c r="B758" s="17"/>
      <c r="C758" s="18"/>
      <c r="D758" s="5"/>
      <c r="E758" s="20"/>
      <c r="F758" s="21"/>
      <c r="G758" s="21"/>
      <c r="H758" s="21"/>
      <c r="I758" s="5"/>
      <c r="J758" s="20"/>
      <c r="K758" s="5"/>
      <c r="L758" s="5"/>
      <c r="M758" s="5"/>
      <c r="N758" s="5"/>
      <c r="O758" s="24"/>
      <c r="P758" s="5"/>
      <c r="Q758" s="5"/>
      <c r="R758" s="5"/>
      <c r="S758" s="5"/>
      <c r="T758" s="5"/>
      <c r="U758" s="5"/>
      <c r="V758" s="5"/>
      <c r="W758" s="5"/>
      <c r="X758" s="5"/>
      <c r="Y758" s="5"/>
      <c r="Z758" s="5"/>
    </row>
    <row r="759">
      <c r="A759" s="5"/>
      <c r="B759" s="17"/>
      <c r="C759" s="18"/>
      <c r="D759" s="5"/>
      <c r="E759" s="20"/>
      <c r="F759" s="21"/>
      <c r="G759" s="21"/>
      <c r="H759" s="21"/>
      <c r="I759" s="5"/>
      <c r="J759" s="20"/>
      <c r="K759" s="5"/>
      <c r="L759" s="5"/>
      <c r="M759" s="5"/>
      <c r="N759" s="5"/>
      <c r="O759" s="24"/>
      <c r="P759" s="5"/>
      <c r="Q759" s="5"/>
      <c r="R759" s="5"/>
      <c r="S759" s="5"/>
      <c r="T759" s="5"/>
      <c r="U759" s="5"/>
      <c r="V759" s="5"/>
      <c r="W759" s="5"/>
      <c r="X759" s="5"/>
      <c r="Y759" s="5"/>
      <c r="Z759" s="5"/>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2:B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2" t="s">
        <v>1</v>
      </c>
      <c r="R1" s="32" t="s">
        <v>17</v>
      </c>
      <c r="S1" s="32" t="s">
        <v>18</v>
      </c>
      <c r="T1" s="32"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3" t="s">
        <v>65</v>
      </c>
      <c r="BP1" s="3" t="s">
        <v>66</v>
      </c>
    </row>
    <row r="2">
      <c r="A2" s="3" t="s">
        <v>68</v>
      </c>
      <c r="B2" s="3" t="s">
        <v>69</v>
      </c>
      <c r="C2" s="3" t="s">
        <v>70</v>
      </c>
      <c r="I2" s="3">
        <v>15.0</v>
      </c>
      <c r="J2" s="3" t="s">
        <v>71</v>
      </c>
      <c r="K2" s="3" t="s">
        <v>72</v>
      </c>
      <c r="L2" s="3" t="s">
        <v>73</v>
      </c>
      <c r="M2" s="3" t="s">
        <v>74</v>
      </c>
      <c r="P2" s="3" t="s">
        <v>75</v>
      </c>
      <c r="Q2" s="32" t="s">
        <v>68</v>
      </c>
      <c r="R2" s="32" t="s">
        <v>76</v>
      </c>
      <c r="S2" s="32"/>
      <c r="T2" s="32"/>
      <c r="X2" s="3" t="s">
        <v>77</v>
      </c>
      <c r="Y2" s="3" t="s">
        <v>78</v>
      </c>
      <c r="Z2" s="3" t="s">
        <v>79</v>
      </c>
      <c r="AA2" s="3" t="s">
        <v>80</v>
      </c>
      <c r="AB2" s="3" t="s">
        <v>81</v>
      </c>
      <c r="AC2" s="3" t="s">
        <v>82</v>
      </c>
      <c r="AE2" s="3" t="s">
        <v>83</v>
      </c>
      <c r="AF2" s="3" t="s">
        <v>84</v>
      </c>
      <c r="AG2" s="3" t="s">
        <v>84</v>
      </c>
      <c r="AH2" s="3" t="s">
        <v>2525</v>
      </c>
      <c r="AI2" s="3" t="s">
        <v>2525</v>
      </c>
      <c r="AJ2" s="3" t="s">
        <v>85</v>
      </c>
      <c r="AK2" s="3" t="s">
        <v>2525</v>
      </c>
      <c r="AL2" s="3" t="s">
        <v>2525</v>
      </c>
      <c r="AM2" s="3" t="s">
        <v>2525</v>
      </c>
      <c r="AN2" s="3" t="s">
        <v>84</v>
      </c>
      <c r="AO2" s="3" t="s">
        <v>2525</v>
      </c>
      <c r="AP2" s="3" t="s">
        <v>2525</v>
      </c>
      <c r="AR2" s="3" t="s">
        <v>2525</v>
      </c>
      <c r="AS2" s="3" t="s">
        <v>2525</v>
      </c>
      <c r="AT2" s="3" t="s">
        <v>2525</v>
      </c>
      <c r="AU2" s="3" t="s">
        <v>2525</v>
      </c>
      <c r="AV2" s="3" t="s">
        <v>2525</v>
      </c>
      <c r="AW2" s="3" t="s">
        <v>2525</v>
      </c>
      <c r="AX2" s="3" t="s">
        <v>2525</v>
      </c>
      <c r="AY2" s="3" t="s">
        <v>2525</v>
      </c>
      <c r="AZ2" s="3" t="s">
        <v>2525</v>
      </c>
      <c r="BA2" s="3" t="s">
        <v>84</v>
      </c>
      <c r="BB2" s="3" t="s">
        <v>2525</v>
      </c>
      <c r="BC2" s="3" t="s">
        <v>2525</v>
      </c>
      <c r="BD2" s="3" t="s">
        <v>84</v>
      </c>
      <c r="BE2" s="3" t="s">
        <v>2525</v>
      </c>
      <c r="BF2" s="3" t="s">
        <v>2525</v>
      </c>
      <c r="BG2" s="3" t="s">
        <v>2525</v>
      </c>
      <c r="BH2" s="3" t="s">
        <v>2525</v>
      </c>
      <c r="BI2" s="3" t="s">
        <v>2525</v>
      </c>
      <c r="BJ2" s="3" t="s">
        <v>84</v>
      </c>
      <c r="BK2" s="3" t="s">
        <v>86</v>
      </c>
      <c r="BL2" s="3" t="s">
        <v>86</v>
      </c>
      <c r="BN2" s="3" t="s">
        <v>87</v>
      </c>
      <c r="BO2" s="3" t="s">
        <v>88</v>
      </c>
    </row>
    <row r="3">
      <c r="A3" s="3" t="s">
        <v>90</v>
      </c>
      <c r="B3" s="3" t="s">
        <v>91</v>
      </c>
      <c r="C3" s="3" t="s">
        <v>92</v>
      </c>
      <c r="D3" s="3" t="s">
        <v>93</v>
      </c>
      <c r="I3" s="3">
        <v>16.0</v>
      </c>
      <c r="J3" s="3" t="s">
        <v>94</v>
      </c>
      <c r="K3" s="3" t="s">
        <v>72</v>
      </c>
      <c r="L3" s="3" t="s">
        <v>2525</v>
      </c>
      <c r="M3" s="3" t="s">
        <v>95</v>
      </c>
      <c r="N3" s="3">
        <v>13.505747126436782</v>
      </c>
      <c r="P3" s="3" t="s">
        <v>75</v>
      </c>
      <c r="Q3" s="32" t="s">
        <v>90</v>
      </c>
      <c r="R3" s="32" t="s">
        <v>96</v>
      </c>
      <c r="S3" s="32"/>
      <c r="T3" s="32"/>
      <c r="X3" s="3" t="s">
        <v>77</v>
      </c>
      <c r="Y3" s="3" t="s">
        <v>78</v>
      </c>
      <c r="Z3" s="3" t="s">
        <v>97</v>
      </c>
      <c r="AA3" s="3" t="s">
        <v>98</v>
      </c>
      <c r="AB3" s="3" t="s">
        <v>99</v>
      </c>
      <c r="AC3" s="3" t="s">
        <v>100</v>
      </c>
      <c r="AE3" s="3" t="s">
        <v>83</v>
      </c>
      <c r="AF3" s="3" t="s">
        <v>2525</v>
      </c>
      <c r="AG3" s="3" t="s">
        <v>2525</v>
      </c>
      <c r="AH3" s="3" t="s">
        <v>85</v>
      </c>
      <c r="AI3" s="3" t="s">
        <v>2525</v>
      </c>
      <c r="AJ3" s="3" t="s">
        <v>2525</v>
      </c>
      <c r="AK3" s="3" t="s">
        <v>2525</v>
      </c>
      <c r="AL3" s="3" t="s">
        <v>2525</v>
      </c>
      <c r="AM3" s="3" t="s">
        <v>2525</v>
      </c>
      <c r="AN3" s="3" t="s">
        <v>2525</v>
      </c>
      <c r="AO3" s="3" t="s">
        <v>2525</v>
      </c>
      <c r="AP3" s="3" t="s">
        <v>2525</v>
      </c>
      <c r="AR3" s="3" t="s">
        <v>84</v>
      </c>
      <c r="AS3" s="3" t="s">
        <v>2525</v>
      </c>
      <c r="AT3" s="3" t="s">
        <v>2525</v>
      </c>
      <c r="AU3" s="3" t="s">
        <v>2525</v>
      </c>
      <c r="AV3" s="3" t="s">
        <v>2525</v>
      </c>
      <c r="AW3" s="3" t="s">
        <v>2525</v>
      </c>
      <c r="AX3" s="3" t="s">
        <v>2525</v>
      </c>
      <c r="AY3" s="3" t="s">
        <v>2525</v>
      </c>
      <c r="AZ3" s="3" t="s">
        <v>2525</v>
      </c>
      <c r="BA3" s="3" t="s">
        <v>2525</v>
      </c>
      <c r="BB3" s="3" t="s">
        <v>2525</v>
      </c>
      <c r="BC3" s="3" t="s">
        <v>2525</v>
      </c>
      <c r="BD3" s="3" t="s">
        <v>2525</v>
      </c>
      <c r="BE3" s="3" t="s">
        <v>2525</v>
      </c>
      <c r="BF3" s="3" t="s">
        <v>84</v>
      </c>
      <c r="BG3" s="3" t="s">
        <v>2525</v>
      </c>
      <c r="BH3" s="3" t="s">
        <v>2525</v>
      </c>
      <c r="BI3" s="3" t="s">
        <v>2525</v>
      </c>
      <c r="BJ3" s="3" t="s">
        <v>2525</v>
      </c>
      <c r="BK3" s="3" t="s">
        <v>86</v>
      </c>
      <c r="BL3" s="3" t="s">
        <v>2525</v>
      </c>
      <c r="BN3" s="3" t="s">
        <v>101</v>
      </c>
      <c r="BO3" s="3" t="s">
        <v>102</v>
      </c>
    </row>
    <row r="4">
      <c r="A4" s="3" t="s">
        <v>104</v>
      </c>
      <c r="B4" s="3" t="s">
        <v>105</v>
      </c>
      <c r="C4" s="3" t="s">
        <v>70</v>
      </c>
      <c r="D4" s="3" t="s">
        <v>106</v>
      </c>
      <c r="E4" s="3" t="s">
        <v>107</v>
      </c>
      <c r="I4" s="3">
        <v>10.0</v>
      </c>
      <c r="J4" s="3" t="s">
        <v>71</v>
      </c>
      <c r="K4" s="3" t="s">
        <v>72</v>
      </c>
      <c r="L4" s="3" t="s">
        <v>108</v>
      </c>
      <c r="M4" s="3" t="s">
        <v>109</v>
      </c>
      <c r="N4" s="3">
        <v>-19.7098976109215</v>
      </c>
      <c r="P4" s="3" t="s">
        <v>110</v>
      </c>
      <c r="Q4" s="32" t="s">
        <v>104</v>
      </c>
      <c r="R4" s="32" t="s">
        <v>111</v>
      </c>
      <c r="S4" s="32"/>
      <c r="T4" s="32"/>
      <c r="W4" s="3" t="s">
        <v>112</v>
      </c>
      <c r="X4" s="3" t="s">
        <v>77</v>
      </c>
      <c r="Y4" s="3" t="s">
        <v>78</v>
      </c>
      <c r="Z4" s="3" t="s">
        <v>113</v>
      </c>
      <c r="AA4" s="3" t="s">
        <v>114</v>
      </c>
      <c r="AB4" s="3" t="s">
        <v>115</v>
      </c>
      <c r="AC4" s="3" t="s">
        <v>116</v>
      </c>
      <c r="AE4" s="3" t="s">
        <v>83</v>
      </c>
      <c r="AF4" s="3" t="s">
        <v>2525</v>
      </c>
      <c r="AG4" s="3" t="s">
        <v>2525</v>
      </c>
      <c r="AH4" s="3" t="s">
        <v>84</v>
      </c>
      <c r="AI4" s="3" t="s">
        <v>84</v>
      </c>
      <c r="AJ4" s="3" t="s">
        <v>84</v>
      </c>
      <c r="AK4" s="3" t="s">
        <v>2525</v>
      </c>
      <c r="AL4" s="3" t="s">
        <v>2525</v>
      </c>
      <c r="AM4" s="3" t="s">
        <v>2525</v>
      </c>
      <c r="AN4" s="3" t="s">
        <v>2525</v>
      </c>
      <c r="AO4" s="3" t="s">
        <v>2525</v>
      </c>
      <c r="AP4" s="3" t="s">
        <v>2525</v>
      </c>
      <c r="AR4" s="3" t="s">
        <v>2525</v>
      </c>
      <c r="AS4" s="3" t="s">
        <v>2525</v>
      </c>
      <c r="AT4" s="3" t="s">
        <v>2525</v>
      </c>
      <c r="AU4" s="3" t="s">
        <v>2525</v>
      </c>
      <c r="AV4" s="3" t="s">
        <v>2525</v>
      </c>
      <c r="AW4" s="3" t="s">
        <v>2525</v>
      </c>
      <c r="AX4" s="3" t="s">
        <v>2525</v>
      </c>
      <c r="AY4" s="3" t="s">
        <v>2525</v>
      </c>
      <c r="AZ4" s="3" t="s">
        <v>2525</v>
      </c>
      <c r="BA4" s="3" t="s">
        <v>2525</v>
      </c>
      <c r="BB4" s="3" t="s">
        <v>2525</v>
      </c>
      <c r="BC4" s="3" t="s">
        <v>2525</v>
      </c>
      <c r="BD4" s="3" t="s">
        <v>2525</v>
      </c>
      <c r="BE4" s="3" t="s">
        <v>84</v>
      </c>
      <c r="BF4" s="3" t="s">
        <v>84</v>
      </c>
      <c r="BG4" s="3" t="s">
        <v>2525</v>
      </c>
      <c r="BH4" s="3" t="s">
        <v>2525</v>
      </c>
      <c r="BI4" s="3" t="s">
        <v>2525</v>
      </c>
      <c r="BJ4" s="3" t="s">
        <v>2525</v>
      </c>
      <c r="BK4" s="3" t="s">
        <v>86</v>
      </c>
      <c r="BL4" s="3" t="s">
        <v>86</v>
      </c>
      <c r="BN4" s="3" t="s">
        <v>117</v>
      </c>
      <c r="BO4" s="3" t="s">
        <v>118</v>
      </c>
    </row>
    <row r="5">
      <c r="A5" s="3" t="s">
        <v>120</v>
      </c>
      <c r="B5" s="3" t="s">
        <v>121</v>
      </c>
      <c r="C5" s="3" t="s">
        <v>92</v>
      </c>
      <c r="D5" s="3" t="s">
        <v>122</v>
      </c>
      <c r="I5" s="3">
        <v>36.0</v>
      </c>
      <c r="J5" s="3" t="s">
        <v>123</v>
      </c>
      <c r="K5" s="3" t="s">
        <v>72</v>
      </c>
      <c r="L5" s="3" t="s">
        <v>2525</v>
      </c>
      <c r="M5" s="3" t="s">
        <v>95</v>
      </c>
      <c r="N5" s="3">
        <v>-25.106382978723403</v>
      </c>
      <c r="P5" s="3" t="s">
        <v>75</v>
      </c>
      <c r="Q5" s="32" t="s">
        <v>120</v>
      </c>
      <c r="R5" s="32" t="s">
        <v>124</v>
      </c>
      <c r="S5" s="32"/>
      <c r="T5" s="32"/>
      <c r="X5" s="3" t="s">
        <v>77</v>
      </c>
      <c r="Y5" s="3" t="s">
        <v>78</v>
      </c>
      <c r="Z5" s="3" t="s">
        <v>97</v>
      </c>
      <c r="AA5" s="3" t="s">
        <v>125</v>
      </c>
      <c r="AB5" s="3" t="s">
        <v>126</v>
      </c>
      <c r="AC5" s="3" t="s">
        <v>127</v>
      </c>
      <c r="AD5" s="3" t="s">
        <v>128</v>
      </c>
      <c r="AE5" s="3" t="s">
        <v>83</v>
      </c>
      <c r="AF5" s="3" t="s">
        <v>2525</v>
      </c>
      <c r="AG5" s="3" t="s">
        <v>2525</v>
      </c>
      <c r="AH5" s="3" t="s">
        <v>2525</v>
      </c>
      <c r="AI5" s="3" t="s">
        <v>2525</v>
      </c>
      <c r="AJ5" s="3" t="s">
        <v>2525</v>
      </c>
      <c r="AK5" s="3" t="s">
        <v>2525</v>
      </c>
      <c r="AL5" s="3" t="s">
        <v>2525</v>
      </c>
      <c r="AM5" s="3" t="s">
        <v>2525</v>
      </c>
      <c r="AN5" s="3" t="s">
        <v>2525</v>
      </c>
      <c r="AO5" s="3" t="s">
        <v>2525</v>
      </c>
      <c r="AP5" s="3" t="s">
        <v>2525</v>
      </c>
      <c r="AR5" s="3" t="s">
        <v>129</v>
      </c>
      <c r="AS5" s="3" t="s">
        <v>2525</v>
      </c>
      <c r="AT5" s="3" t="s">
        <v>2525</v>
      </c>
      <c r="AU5" s="3" t="s">
        <v>2525</v>
      </c>
      <c r="AV5" s="3" t="s">
        <v>2525</v>
      </c>
      <c r="AW5" s="3" t="s">
        <v>2525</v>
      </c>
      <c r="AX5" s="3" t="s">
        <v>2525</v>
      </c>
      <c r="AY5" s="3" t="s">
        <v>2525</v>
      </c>
      <c r="AZ5" s="3" t="s">
        <v>2525</v>
      </c>
      <c r="BA5" s="3" t="s">
        <v>2525</v>
      </c>
      <c r="BB5" s="3" t="s">
        <v>2525</v>
      </c>
      <c r="BC5" s="3" t="s">
        <v>2525</v>
      </c>
      <c r="BD5" s="3" t="s">
        <v>2525</v>
      </c>
      <c r="BE5" s="3" t="s">
        <v>2525</v>
      </c>
      <c r="BF5" s="3" t="s">
        <v>84</v>
      </c>
      <c r="BG5" s="3" t="s">
        <v>2525</v>
      </c>
      <c r="BH5" s="3" t="s">
        <v>2525</v>
      </c>
      <c r="BI5" s="3" t="s">
        <v>2525</v>
      </c>
      <c r="BJ5" s="3" t="s">
        <v>2525</v>
      </c>
      <c r="BL5" s="3" t="s">
        <v>2525</v>
      </c>
      <c r="BN5" s="3" t="s">
        <v>130</v>
      </c>
      <c r="BO5" s="3" t="s">
        <v>131</v>
      </c>
    </row>
    <row r="6">
      <c r="A6" s="3" t="s">
        <v>133</v>
      </c>
      <c r="B6" s="3" t="s">
        <v>134</v>
      </c>
      <c r="C6" s="3" t="s">
        <v>92</v>
      </c>
      <c r="I6" s="3">
        <v>35.0</v>
      </c>
      <c r="J6" s="3" t="s">
        <v>135</v>
      </c>
      <c r="K6" s="3" t="s">
        <v>72</v>
      </c>
      <c r="L6" s="3" t="s">
        <v>73</v>
      </c>
      <c r="M6" s="3" t="s">
        <v>74</v>
      </c>
      <c r="P6" s="3" t="s">
        <v>136</v>
      </c>
      <c r="Q6" s="32" t="s">
        <v>133</v>
      </c>
      <c r="R6" s="32" t="s">
        <v>137</v>
      </c>
      <c r="S6" s="32"/>
      <c r="T6" s="32"/>
      <c r="X6" s="3" t="s">
        <v>77</v>
      </c>
      <c r="Y6" s="3" t="s">
        <v>138</v>
      </c>
      <c r="Z6" s="3" t="s">
        <v>139</v>
      </c>
      <c r="AA6" s="3" t="s">
        <v>140</v>
      </c>
      <c r="AB6" s="3" t="s">
        <v>141</v>
      </c>
      <c r="AC6" s="3" t="s">
        <v>142</v>
      </c>
      <c r="AE6" s="3" t="s">
        <v>83</v>
      </c>
      <c r="AF6" s="3" t="s">
        <v>84</v>
      </c>
      <c r="AG6" s="3" t="s">
        <v>2525</v>
      </c>
      <c r="AH6" s="3" t="s">
        <v>2525</v>
      </c>
      <c r="AI6" s="3" t="s">
        <v>2525</v>
      </c>
      <c r="AJ6" s="3" t="s">
        <v>2525</v>
      </c>
      <c r="AK6" s="3" t="s">
        <v>84</v>
      </c>
      <c r="AL6" s="3" t="s">
        <v>2525</v>
      </c>
      <c r="AM6" s="3" t="s">
        <v>84</v>
      </c>
      <c r="AN6" s="3" t="s">
        <v>84</v>
      </c>
      <c r="AO6" s="3" t="s">
        <v>2525</v>
      </c>
      <c r="AP6" s="3" t="s">
        <v>2525</v>
      </c>
      <c r="AR6" s="3" t="s">
        <v>2525</v>
      </c>
      <c r="AS6" s="3" t="s">
        <v>84</v>
      </c>
      <c r="AT6" s="3" t="s">
        <v>2525</v>
      </c>
      <c r="AU6" s="3" t="s">
        <v>2525</v>
      </c>
      <c r="AV6" s="3" t="s">
        <v>2525</v>
      </c>
      <c r="AW6" s="3" t="s">
        <v>2525</v>
      </c>
      <c r="AX6" s="3" t="s">
        <v>2525</v>
      </c>
      <c r="AY6" s="3" t="s">
        <v>2525</v>
      </c>
      <c r="AZ6" s="3" t="s">
        <v>2525</v>
      </c>
      <c r="BA6" s="3" t="s">
        <v>84</v>
      </c>
      <c r="BB6" s="3" t="s">
        <v>2525</v>
      </c>
      <c r="BC6" s="3" t="s">
        <v>2525</v>
      </c>
      <c r="BD6" s="3" t="s">
        <v>2525</v>
      </c>
      <c r="BE6" s="3" t="s">
        <v>2525</v>
      </c>
      <c r="BF6" s="3" t="s">
        <v>2525</v>
      </c>
      <c r="BG6" s="3" t="s">
        <v>2525</v>
      </c>
      <c r="BH6" s="3" t="s">
        <v>2525</v>
      </c>
      <c r="BI6" s="3" t="s">
        <v>2525</v>
      </c>
      <c r="BJ6" s="3" t="s">
        <v>2525</v>
      </c>
      <c r="BK6" s="3" t="s">
        <v>86</v>
      </c>
      <c r="BL6" s="3" t="s">
        <v>2525</v>
      </c>
      <c r="BN6" s="3" t="s">
        <v>143</v>
      </c>
      <c r="BO6" s="3" t="s">
        <v>137</v>
      </c>
      <c r="BP6" s="3" t="s">
        <v>144</v>
      </c>
    </row>
    <row r="7">
      <c r="A7" s="3" t="s">
        <v>146</v>
      </c>
      <c r="B7" s="3" t="s">
        <v>147</v>
      </c>
      <c r="C7" s="3" t="s">
        <v>70</v>
      </c>
      <c r="I7" s="3">
        <v>15.0</v>
      </c>
      <c r="J7" s="3" t="s">
        <v>148</v>
      </c>
      <c r="K7" s="3" t="s">
        <v>72</v>
      </c>
      <c r="L7" s="3" t="s">
        <v>73</v>
      </c>
      <c r="M7" s="3" t="s">
        <v>74</v>
      </c>
      <c r="P7" s="3" t="s">
        <v>149</v>
      </c>
      <c r="Q7" s="32" t="s">
        <v>146</v>
      </c>
      <c r="R7" s="32" t="s">
        <v>137</v>
      </c>
      <c r="S7" s="32"/>
      <c r="T7" s="32"/>
      <c r="X7" s="3" t="s">
        <v>77</v>
      </c>
      <c r="Y7" s="3" t="s">
        <v>138</v>
      </c>
      <c r="Z7" s="3" t="s">
        <v>150</v>
      </c>
      <c r="AA7" s="3" t="s">
        <v>151</v>
      </c>
      <c r="AB7" s="3" t="s">
        <v>152</v>
      </c>
      <c r="AC7" s="3" t="s">
        <v>153</v>
      </c>
      <c r="AE7" s="3" t="s">
        <v>83</v>
      </c>
      <c r="AF7" s="3" t="s">
        <v>85</v>
      </c>
      <c r="AG7" s="3" t="s">
        <v>85</v>
      </c>
      <c r="AH7" s="3" t="s">
        <v>2525</v>
      </c>
      <c r="AI7" s="3" t="s">
        <v>2525</v>
      </c>
      <c r="AJ7" s="3" t="s">
        <v>2525</v>
      </c>
      <c r="AK7" s="3" t="s">
        <v>85</v>
      </c>
      <c r="AL7" s="3" t="s">
        <v>2525</v>
      </c>
      <c r="AM7" s="3" t="s">
        <v>84</v>
      </c>
      <c r="AN7" s="3" t="s">
        <v>85</v>
      </c>
      <c r="AO7" s="3" t="s">
        <v>2525</v>
      </c>
      <c r="AP7" s="3" t="s">
        <v>2525</v>
      </c>
      <c r="AR7" s="3" t="s">
        <v>2525</v>
      </c>
      <c r="AS7" s="3" t="s">
        <v>84</v>
      </c>
      <c r="AT7" s="3" t="s">
        <v>2525</v>
      </c>
      <c r="AU7" s="3" t="s">
        <v>85</v>
      </c>
      <c r="AV7" s="3" t="s">
        <v>2525</v>
      </c>
      <c r="AW7" s="3" t="s">
        <v>2525</v>
      </c>
      <c r="AX7" s="3" t="s">
        <v>2525</v>
      </c>
      <c r="AY7" s="3" t="s">
        <v>2525</v>
      </c>
      <c r="AZ7" s="3" t="s">
        <v>2525</v>
      </c>
      <c r="BA7" s="3" t="s">
        <v>85</v>
      </c>
      <c r="BB7" s="3" t="s">
        <v>2525</v>
      </c>
      <c r="BC7" s="3" t="s">
        <v>2525</v>
      </c>
      <c r="BD7" s="3" t="s">
        <v>2525</v>
      </c>
      <c r="BE7" s="3" t="s">
        <v>2525</v>
      </c>
      <c r="BF7" s="3" t="s">
        <v>2525</v>
      </c>
      <c r="BG7" s="3" t="s">
        <v>2525</v>
      </c>
      <c r="BH7" s="3" t="s">
        <v>2525</v>
      </c>
      <c r="BI7" s="3" t="s">
        <v>2525</v>
      </c>
      <c r="BJ7" s="3" t="s">
        <v>2525</v>
      </c>
      <c r="BK7" s="3" t="s">
        <v>86</v>
      </c>
      <c r="BL7" s="3" t="s">
        <v>86</v>
      </c>
      <c r="BN7" s="3" t="s">
        <v>137</v>
      </c>
      <c r="BO7" s="3" t="s">
        <v>154</v>
      </c>
    </row>
    <row r="8">
      <c r="A8" s="3" t="s">
        <v>156</v>
      </c>
      <c r="B8" s="3" t="s">
        <v>157</v>
      </c>
      <c r="C8" s="3" t="s">
        <v>92</v>
      </c>
      <c r="D8" s="3" t="s">
        <v>158</v>
      </c>
      <c r="I8" s="3">
        <v>15.0</v>
      </c>
      <c r="J8" s="3" t="s">
        <v>159</v>
      </c>
      <c r="K8" s="3" t="s">
        <v>72</v>
      </c>
      <c r="L8" s="3" t="s">
        <v>2525</v>
      </c>
      <c r="M8" s="3" t="s">
        <v>160</v>
      </c>
      <c r="N8" s="3">
        <v>44.55169455169455</v>
      </c>
      <c r="P8" s="3" t="s">
        <v>161</v>
      </c>
      <c r="Q8" s="32" t="s">
        <v>156</v>
      </c>
      <c r="R8" s="32" t="s">
        <v>162</v>
      </c>
      <c r="S8" s="32"/>
      <c r="T8" s="32"/>
      <c r="X8" s="3" t="s">
        <v>77</v>
      </c>
      <c r="Y8" s="3" t="s">
        <v>78</v>
      </c>
      <c r="Z8" s="3" t="s">
        <v>163</v>
      </c>
      <c r="AA8" s="3" t="s">
        <v>164</v>
      </c>
      <c r="AB8" s="3" t="s">
        <v>165</v>
      </c>
      <c r="AC8" s="3" t="s">
        <v>166</v>
      </c>
      <c r="AE8" s="3" t="s">
        <v>83</v>
      </c>
      <c r="AF8" s="3" t="s">
        <v>2525</v>
      </c>
      <c r="AG8" s="3" t="s">
        <v>2525</v>
      </c>
      <c r="AH8" s="3" t="s">
        <v>2525</v>
      </c>
      <c r="AI8" s="3" t="s">
        <v>2525</v>
      </c>
      <c r="AJ8" s="3" t="s">
        <v>2525</v>
      </c>
      <c r="AK8" s="3" t="s">
        <v>2525</v>
      </c>
      <c r="AL8" s="3" t="s">
        <v>2525</v>
      </c>
      <c r="AM8" s="3" t="s">
        <v>2525</v>
      </c>
      <c r="AN8" s="3" t="s">
        <v>2525</v>
      </c>
      <c r="AO8" s="3" t="s">
        <v>2525</v>
      </c>
      <c r="AP8" s="3" t="s">
        <v>2525</v>
      </c>
      <c r="AR8" s="3" t="s">
        <v>2525</v>
      </c>
      <c r="AS8" s="3" t="s">
        <v>2525</v>
      </c>
      <c r="AT8" s="3" t="s">
        <v>2525</v>
      </c>
      <c r="AU8" s="3" t="s">
        <v>2525</v>
      </c>
      <c r="AV8" s="3" t="s">
        <v>84</v>
      </c>
      <c r="AW8" s="3" t="s">
        <v>2525</v>
      </c>
      <c r="AX8" s="3" t="s">
        <v>2525</v>
      </c>
      <c r="AY8" s="3" t="s">
        <v>2525</v>
      </c>
      <c r="AZ8" s="3" t="s">
        <v>2525</v>
      </c>
      <c r="BA8" s="3" t="s">
        <v>2525</v>
      </c>
      <c r="BB8" s="3" t="s">
        <v>84</v>
      </c>
      <c r="BC8" s="3" t="s">
        <v>2525</v>
      </c>
      <c r="BD8" s="3" t="s">
        <v>2525</v>
      </c>
      <c r="BE8" s="3" t="s">
        <v>2525</v>
      </c>
      <c r="BF8" s="3" t="s">
        <v>2525</v>
      </c>
      <c r="BG8" s="3" t="s">
        <v>2525</v>
      </c>
      <c r="BH8" s="3" t="s">
        <v>2525</v>
      </c>
      <c r="BI8" s="3" t="s">
        <v>2525</v>
      </c>
      <c r="BJ8" s="3" t="s">
        <v>2525</v>
      </c>
      <c r="BK8" s="3" t="s">
        <v>86</v>
      </c>
      <c r="BL8" s="3" t="s">
        <v>2525</v>
      </c>
      <c r="BM8" s="3" t="s">
        <v>86</v>
      </c>
      <c r="BN8" s="3" t="s">
        <v>162</v>
      </c>
      <c r="BO8" s="3" t="s">
        <v>162</v>
      </c>
      <c r="BP8" s="3" t="s">
        <v>162</v>
      </c>
    </row>
    <row r="9">
      <c r="A9" s="3" t="s">
        <v>168</v>
      </c>
      <c r="B9" s="3" t="s">
        <v>169</v>
      </c>
      <c r="C9" s="3" t="s">
        <v>92</v>
      </c>
      <c r="D9" s="3" t="s">
        <v>170</v>
      </c>
      <c r="I9" s="3">
        <v>29.0</v>
      </c>
      <c r="J9" s="3" t="s">
        <v>171</v>
      </c>
      <c r="K9" s="3" t="s">
        <v>72</v>
      </c>
      <c r="L9" s="3" t="s">
        <v>2525</v>
      </c>
      <c r="M9" s="3" t="s">
        <v>172</v>
      </c>
      <c r="N9" s="3">
        <v>-31.818181818181817</v>
      </c>
      <c r="P9" s="3" t="s">
        <v>149</v>
      </c>
      <c r="Q9" s="32" t="s">
        <v>168</v>
      </c>
      <c r="R9" s="32" t="s">
        <v>137</v>
      </c>
      <c r="S9" s="32"/>
      <c r="T9" s="32"/>
      <c r="Y9" s="3" t="s">
        <v>78</v>
      </c>
      <c r="Z9" s="3" t="s">
        <v>173</v>
      </c>
      <c r="AA9" s="3" t="s">
        <v>174</v>
      </c>
      <c r="AB9" s="3" t="s">
        <v>175</v>
      </c>
      <c r="AC9" s="3" t="s">
        <v>176</v>
      </c>
      <c r="AE9" s="3" t="s">
        <v>83</v>
      </c>
      <c r="AF9" s="3" t="s">
        <v>2525</v>
      </c>
      <c r="AG9" s="3" t="s">
        <v>2525</v>
      </c>
      <c r="AH9" s="3" t="s">
        <v>85</v>
      </c>
      <c r="AI9" s="3" t="s">
        <v>2525</v>
      </c>
      <c r="AJ9" s="3" t="s">
        <v>2525</v>
      </c>
      <c r="AK9" s="3" t="s">
        <v>2525</v>
      </c>
      <c r="AL9" s="3" t="s">
        <v>2525</v>
      </c>
      <c r="AM9" s="3" t="s">
        <v>2525</v>
      </c>
      <c r="AN9" s="3" t="s">
        <v>2525</v>
      </c>
      <c r="AO9" s="3" t="s">
        <v>2525</v>
      </c>
      <c r="AP9" s="3" t="s">
        <v>2525</v>
      </c>
      <c r="AR9" s="3" t="s">
        <v>84</v>
      </c>
      <c r="AS9" s="3" t="s">
        <v>2525</v>
      </c>
      <c r="AT9" s="3" t="s">
        <v>2525</v>
      </c>
      <c r="AU9" s="3" t="s">
        <v>2525</v>
      </c>
      <c r="AV9" s="3" t="s">
        <v>2525</v>
      </c>
      <c r="AW9" s="3" t="s">
        <v>2525</v>
      </c>
      <c r="AX9" s="3" t="s">
        <v>2525</v>
      </c>
      <c r="AY9" s="3" t="s">
        <v>2525</v>
      </c>
      <c r="AZ9" s="3" t="s">
        <v>2525</v>
      </c>
      <c r="BA9" s="3" t="s">
        <v>2525</v>
      </c>
      <c r="BB9" s="3" t="s">
        <v>2525</v>
      </c>
      <c r="BC9" s="3" t="s">
        <v>2525</v>
      </c>
      <c r="BD9" s="3" t="s">
        <v>2525</v>
      </c>
      <c r="BE9" s="3" t="s">
        <v>2525</v>
      </c>
      <c r="BF9" s="3" t="s">
        <v>2525</v>
      </c>
      <c r="BG9" s="3" t="s">
        <v>2525</v>
      </c>
      <c r="BH9" s="3" t="s">
        <v>2525</v>
      </c>
      <c r="BI9" s="3" t="s">
        <v>2525</v>
      </c>
      <c r="BJ9" s="3" t="s">
        <v>2525</v>
      </c>
      <c r="BL9" s="3" t="s">
        <v>2525</v>
      </c>
      <c r="BN9" s="3" t="s">
        <v>137</v>
      </c>
      <c r="BO9" s="3" t="s">
        <v>137</v>
      </c>
    </row>
    <row r="10">
      <c r="A10" s="3" t="s">
        <v>178</v>
      </c>
      <c r="B10" s="3" t="s">
        <v>179</v>
      </c>
      <c r="C10" s="3" t="s">
        <v>70</v>
      </c>
      <c r="D10" s="3" t="s">
        <v>180</v>
      </c>
      <c r="I10" s="3">
        <v>15.0</v>
      </c>
      <c r="J10" s="3" t="s">
        <v>71</v>
      </c>
      <c r="K10" s="3" t="s">
        <v>72</v>
      </c>
      <c r="L10" s="3" t="s">
        <v>73</v>
      </c>
      <c r="M10" s="3" t="s">
        <v>74</v>
      </c>
      <c r="P10" s="3" t="s">
        <v>149</v>
      </c>
      <c r="Q10" s="32" t="s">
        <v>178</v>
      </c>
      <c r="R10" s="32" t="s">
        <v>137</v>
      </c>
      <c r="S10" s="32"/>
      <c r="T10" s="32"/>
      <c r="X10" s="3" t="s">
        <v>77</v>
      </c>
      <c r="Y10" s="3" t="s">
        <v>138</v>
      </c>
      <c r="Z10" s="3" t="s">
        <v>181</v>
      </c>
      <c r="AA10" s="3" t="s">
        <v>182</v>
      </c>
      <c r="AB10" s="3" t="s">
        <v>183</v>
      </c>
      <c r="AC10" s="3" t="s">
        <v>184</v>
      </c>
      <c r="AE10" s="3" t="s">
        <v>83</v>
      </c>
      <c r="AF10" s="3" t="s">
        <v>85</v>
      </c>
      <c r="AG10" s="3" t="s">
        <v>85</v>
      </c>
      <c r="AH10" s="3" t="s">
        <v>2525</v>
      </c>
      <c r="AI10" s="3" t="s">
        <v>2525</v>
      </c>
      <c r="AJ10" s="3" t="s">
        <v>2525</v>
      </c>
      <c r="AK10" s="3" t="s">
        <v>85</v>
      </c>
      <c r="AL10" s="3" t="s">
        <v>2525</v>
      </c>
      <c r="AM10" s="3" t="s">
        <v>2525</v>
      </c>
      <c r="AN10" s="3" t="s">
        <v>85</v>
      </c>
      <c r="AO10" s="3" t="s">
        <v>2525</v>
      </c>
      <c r="AP10" s="3" t="s">
        <v>2525</v>
      </c>
      <c r="AR10" s="3" t="s">
        <v>2525</v>
      </c>
      <c r="AS10" s="3" t="s">
        <v>2525</v>
      </c>
      <c r="AT10" s="3" t="s">
        <v>2525</v>
      </c>
      <c r="AU10" s="3" t="s">
        <v>2525</v>
      </c>
      <c r="AV10" s="3" t="s">
        <v>2525</v>
      </c>
      <c r="AW10" s="3" t="s">
        <v>2525</v>
      </c>
      <c r="AX10" s="3" t="s">
        <v>2525</v>
      </c>
      <c r="AY10" s="3" t="s">
        <v>2525</v>
      </c>
      <c r="AZ10" s="3" t="s">
        <v>2525</v>
      </c>
      <c r="BA10" s="3" t="s">
        <v>85</v>
      </c>
      <c r="BB10" s="3" t="s">
        <v>2525</v>
      </c>
      <c r="BC10" s="3" t="s">
        <v>2525</v>
      </c>
      <c r="BD10" s="3" t="s">
        <v>2525</v>
      </c>
      <c r="BE10" s="3" t="s">
        <v>2525</v>
      </c>
      <c r="BF10" s="3" t="s">
        <v>2525</v>
      </c>
      <c r="BG10" s="3" t="s">
        <v>2525</v>
      </c>
      <c r="BH10" s="3" t="s">
        <v>2525</v>
      </c>
      <c r="BI10" s="3" t="s">
        <v>2525</v>
      </c>
      <c r="BJ10" s="3" t="s">
        <v>2525</v>
      </c>
      <c r="BK10" s="3" t="s">
        <v>86</v>
      </c>
      <c r="BL10" s="3" t="s">
        <v>86</v>
      </c>
      <c r="BN10" s="3" t="s">
        <v>185</v>
      </c>
      <c r="BO10" s="3" t="s">
        <v>185</v>
      </c>
    </row>
    <row r="11">
      <c r="A11" s="3" t="s">
        <v>187</v>
      </c>
      <c r="B11" s="3" t="s">
        <v>188</v>
      </c>
      <c r="C11" s="3" t="s">
        <v>92</v>
      </c>
      <c r="D11" s="3" t="s">
        <v>189</v>
      </c>
      <c r="I11" s="3">
        <v>30.0</v>
      </c>
      <c r="J11" s="3" t="s">
        <v>190</v>
      </c>
      <c r="K11" s="3" t="s">
        <v>72</v>
      </c>
      <c r="L11" s="3" t="s">
        <v>73</v>
      </c>
      <c r="M11" s="3" t="s">
        <v>191</v>
      </c>
      <c r="N11" s="3">
        <v>-2.278481012658228</v>
      </c>
      <c r="P11" s="3" t="s">
        <v>75</v>
      </c>
      <c r="Q11" s="32" t="s">
        <v>187</v>
      </c>
      <c r="R11" s="32" t="s">
        <v>192</v>
      </c>
      <c r="S11" s="32"/>
      <c r="T11" s="32"/>
      <c r="W11" s="3" t="s">
        <v>193</v>
      </c>
      <c r="X11" s="3" t="s">
        <v>77</v>
      </c>
      <c r="Y11" s="3" t="s">
        <v>78</v>
      </c>
      <c r="Z11" s="3" t="s">
        <v>194</v>
      </c>
      <c r="AA11" s="3" t="s">
        <v>195</v>
      </c>
      <c r="AB11" s="3" t="s">
        <v>196</v>
      </c>
      <c r="AC11" s="3" t="s">
        <v>197</v>
      </c>
      <c r="AE11" s="3" t="s">
        <v>83</v>
      </c>
      <c r="AF11" s="3" t="s">
        <v>84</v>
      </c>
      <c r="AG11" s="3" t="s">
        <v>84</v>
      </c>
      <c r="AH11" s="3" t="s">
        <v>2525</v>
      </c>
      <c r="AI11" s="3" t="s">
        <v>2525</v>
      </c>
      <c r="AJ11" s="3" t="s">
        <v>2525</v>
      </c>
      <c r="AK11" s="3" t="s">
        <v>2525</v>
      </c>
      <c r="AL11" s="3" t="s">
        <v>2525</v>
      </c>
      <c r="AM11" s="3" t="s">
        <v>2525</v>
      </c>
      <c r="AN11" s="3" t="s">
        <v>85</v>
      </c>
      <c r="AO11" s="3" t="s">
        <v>2525</v>
      </c>
      <c r="AP11" s="3" t="s">
        <v>85</v>
      </c>
      <c r="AR11" s="3" t="s">
        <v>2525</v>
      </c>
      <c r="AS11" s="3" t="s">
        <v>2525</v>
      </c>
      <c r="AT11" s="3" t="s">
        <v>2525</v>
      </c>
      <c r="AU11" s="3" t="s">
        <v>2525</v>
      </c>
      <c r="AV11" s="3" t="s">
        <v>2525</v>
      </c>
      <c r="AW11" s="3" t="s">
        <v>2525</v>
      </c>
      <c r="AX11" s="3" t="s">
        <v>2525</v>
      </c>
      <c r="AY11" s="3" t="s">
        <v>84</v>
      </c>
      <c r="AZ11" s="3" t="s">
        <v>2525</v>
      </c>
      <c r="BA11" s="3" t="s">
        <v>85</v>
      </c>
      <c r="BB11" s="3" t="s">
        <v>2525</v>
      </c>
      <c r="BC11" s="3" t="s">
        <v>2525</v>
      </c>
      <c r="BD11" s="3" t="s">
        <v>84</v>
      </c>
      <c r="BE11" s="3" t="s">
        <v>2525</v>
      </c>
      <c r="BF11" s="3" t="s">
        <v>2525</v>
      </c>
      <c r="BG11" s="3" t="s">
        <v>2525</v>
      </c>
      <c r="BH11" s="3" t="s">
        <v>2525</v>
      </c>
      <c r="BI11" s="3" t="s">
        <v>2525</v>
      </c>
      <c r="BJ11" s="3" t="s">
        <v>2525</v>
      </c>
      <c r="BL11" s="3" t="s">
        <v>2525</v>
      </c>
      <c r="BN11" s="3" t="s">
        <v>198</v>
      </c>
      <c r="BO11" s="3" t="s">
        <v>199</v>
      </c>
    </row>
    <row r="12">
      <c r="A12" s="3" t="s">
        <v>201</v>
      </c>
      <c r="B12" s="3" t="s">
        <v>202</v>
      </c>
      <c r="C12" s="3" t="s">
        <v>92</v>
      </c>
      <c r="D12" s="3" t="s">
        <v>203</v>
      </c>
      <c r="I12" s="3">
        <v>25.0</v>
      </c>
      <c r="J12" s="3" t="s">
        <v>71</v>
      </c>
      <c r="K12" s="3" t="s">
        <v>72</v>
      </c>
      <c r="L12" s="3" t="s">
        <v>73</v>
      </c>
      <c r="M12" s="3" t="s">
        <v>74</v>
      </c>
      <c r="N12" s="3">
        <v>-11.38211382113821</v>
      </c>
      <c r="P12" s="3" t="s">
        <v>136</v>
      </c>
      <c r="Q12" s="32" t="s">
        <v>201</v>
      </c>
      <c r="R12" s="32" t="s">
        <v>204</v>
      </c>
      <c r="S12" s="32"/>
      <c r="T12" s="32"/>
      <c r="W12" s="3" t="s">
        <v>205</v>
      </c>
      <c r="X12" s="3" t="s">
        <v>77</v>
      </c>
      <c r="Y12" s="3" t="s">
        <v>138</v>
      </c>
      <c r="Z12" s="3" t="s">
        <v>201</v>
      </c>
      <c r="AA12" s="3" t="s">
        <v>206</v>
      </c>
      <c r="AB12" s="3" t="s">
        <v>207</v>
      </c>
      <c r="AC12" s="3" t="s">
        <v>208</v>
      </c>
      <c r="AE12" s="3" t="s">
        <v>83</v>
      </c>
      <c r="AF12" s="3" t="s">
        <v>84</v>
      </c>
      <c r="AG12" s="3" t="s">
        <v>85</v>
      </c>
      <c r="AH12" s="3" t="s">
        <v>2525</v>
      </c>
      <c r="AI12" s="3" t="s">
        <v>2525</v>
      </c>
      <c r="AJ12" s="3" t="s">
        <v>84</v>
      </c>
      <c r="AK12" s="3" t="s">
        <v>84</v>
      </c>
      <c r="AL12" s="3" t="s">
        <v>2525</v>
      </c>
      <c r="AM12" s="3" t="s">
        <v>84</v>
      </c>
      <c r="AN12" s="3" t="s">
        <v>84</v>
      </c>
      <c r="AO12" s="3" t="s">
        <v>2525</v>
      </c>
      <c r="AP12" s="3" t="s">
        <v>85</v>
      </c>
      <c r="AR12" s="3" t="s">
        <v>2525</v>
      </c>
      <c r="AS12" s="3" t="s">
        <v>85</v>
      </c>
      <c r="AT12" s="3" t="s">
        <v>2525</v>
      </c>
      <c r="AU12" s="3" t="s">
        <v>85</v>
      </c>
      <c r="AV12" s="3" t="s">
        <v>2525</v>
      </c>
      <c r="AW12" s="3" t="s">
        <v>2525</v>
      </c>
      <c r="AX12" s="3" t="s">
        <v>2525</v>
      </c>
      <c r="AY12" s="3" t="s">
        <v>2525</v>
      </c>
      <c r="AZ12" s="3" t="s">
        <v>85</v>
      </c>
      <c r="BA12" s="3" t="s">
        <v>84</v>
      </c>
      <c r="BB12" s="3" t="s">
        <v>2525</v>
      </c>
      <c r="BC12" s="3" t="s">
        <v>2525</v>
      </c>
      <c r="BD12" s="3" t="s">
        <v>85</v>
      </c>
      <c r="BE12" s="3" t="s">
        <v>2525</v>
      </c>
      <c r="BF12" s="3" t="s">
        <v>2525</v>
      </c>
      <c r="BG12" s="3" t="s">
        <v>2525</v>
      </c>
      <c r="BH12" s="3" t="s">
        <v>2525</v>
      </c>
      <c r="BI12" s="3" t="s">
        <v>84</v>
      </c>
      <c r="BJ12" s="3" t="s">
        <v>2525</v>
      </c>
      <c r="BL12" s="3" t="s">
        <v>2525</v>
      </c>
      <c r="BN12" s="3" t="s">
        <v>209</v>
      </c>
      <c r="BO12" s="3" t="s">
        <v>210</v>
      </c>
    </row>
    <row r="13">
      <c r="A13" s="3" t="s">
        <v>212</v>
      </c>
      <c r="B13" s="3" t="s">
        <v>213</v>
      </c>
      <c r="C13" s="3" t="s">
        <v>70</v>
      </c>
      <c r="D13" s="3" t="s">
        <v>214</v>
      </c>
      <c r="E13" s="3" t="s">
        <v>215</v>
      </c>
      <c r="I13" s="3">
        <v>22.0</v>
      </c>
      <c r="J13" s="3" t="s">
        <v>71</v>
      </c>
      <c r="K13" s="3" t="s">
        <v>72</v>
      </c>
      <c r="L13" s="3" t="s">
        <v>73</v>
      </c>
      <c r="M13" s="3" t="s">
        <v>74</v>
      </c>
      <c r="P13" s="3" t="s">
        <v>149</v>
      </c>
      <c r="Q13" s="32" t="s">
        <v>212</v>
      </c>
      <c r="R13" s="32" t="s">
        <v>216</v>
      </c>
      <c r="S13" s="32"/>
      <c r="T13" s="32"/>
      <c r="X13" s="3" t="s">
        <v>77</v>
      </c>
      <c r="Y13" s="3" t="s">
        <v>78</v>
      </c>
      <c r="AA13" s="3" t="s">
        <v>217</v>
      </c>
      <c r="AB13" s="3" t="s">
        <v>218</v>
      </c>
      <c r="AC13" s="3" t="s">
        <v>219</v>
      </c>
      <c r="AE13" s="3" t="s">
        <v>83</v>
      </c>
      <c r="AF13" s="3" t="s">
        <v>85</v>
      </c>
      <c r="AG13" s="3" t="s">
        <v>2525</v>
      </c>
      <c r="AH13" s="3" t="s">
        <v>2525</v>
      </c>
      <c r="AI13" s="3" t="s">
        <v>2525</v>
      </c>
      <c r="AJ13" s="3" t="s">
        <v>2525</v>
      </c>
      <c r="AK13" s="3" t="s">
        <v>85</v>
      </c>
      <c r="AL13" s="3" t="s">
        <v>2525</v>
      </c>
      <c r="AM13" s="3" t="s">
        <v>2525</v>
      </c>
      <c r="AN13" s="3" t="s">
        <v>84</v>
      </c>
      <c r="AO13" s="3" t="s">
        <v>2525</v>
      </c>
      <c r="AP13" s="3" t="s">
        <v>2525</v>
      </c>
      <c r="AR13" s="3" t="s">
        <v>2525</v>
      </c>
      <c r="AS13" s="3" t="s">
        <v>2525</v>
      </c>
      <c r="AT13" s="3" t="s">
        <v>2525</v>
      </c>
      <c r="AU13" s="3" t="s">
        <v>2525</v>
      </c>
      <c r="AV13" s="3" t="s">
        <v>2525</v>
      </c>
      <c r="AW13" s="3" t="s">
        <v>2525</v>
      </c>
      <c r="AX13" s="3" t="s">
        <v>2525</v>
      </c>
      <c r="AY13" s="3" t="s">
        <v>2525</v>
      </c>
      <c r="AZ13" s="3" t="s">
        <v>2525</v>
      </c>
      <c r="BA13" s="3" t="s">
        <v>84</v>
      </c>
      <c r="BB13" s="3" t="s">
        <v>2525</v>
      </c>
      <c r="BC13" s="3" t="s">
        <v>2525</v>
      </c>
      <c r="BD13" s="3" t="s">
        <v>85</v>
      </c>
      <c r="BE13" s="3" t="s">
        <v>2525</v>
      </c>
      <c r="BF13" s="3" t="s">
        <v>2525</v>
      </c>
      <c r="BG13" s="3" t="s">
        <v>2525</v>
      </c>
      <c r="BH13" s="3" t="s">
        <v>2525</v>
      </c>
      <c r="BI13" s="3" t="s">
        <v>2525</v>
      </c>
      <c r="BJ13" s="3" t="s">
        <v>84</v>
      </c>
      <c r="BK13" s="3" t="s">
        <v>86</v>
      </c>
      <c r="BL13" s="3" t="s">
        <v>86</v>
      </c>
      <c r="BM13" s="3" t="s">
        <v>86</v>
      </c>
      <c r="BN13" s="3" t="s">
        <v>87</v>
      </c>
      <c r="BO13" s="3" t="s">
        <v>88</v>
      </c>
      <c r="BP13" s="3" t="s">
        <v>220</v>
      </c>
    </row>
    <row r="14">
      <c r="A14" s="3" t="s">
        <v>222</v>
      </c>
      <c r="B14" s="3" t="s">
        <v>223</v>
      </c>
      <c r="C14" s="3" t="s">
        <v>70</v>
      </c>
      <c r="I14" s="3">
        <v>15.0</v>
      </c>
      <c r="J14" s="3" t="s">
        <v>224</v>
      </c>
      <c r="K14" s="3" t="s">
        <v>72</v>
      </c>
      <c r="L14" s="3" t="s">
        <v>73</v>
      </c>
      <c r="M14" s="3" t="s">
        <v>74</v>
      </c>
      <c r="P14" s="3" t="s">
        <v>75</v>
      </c>
      <c r="Q14" s="32" t="s">
        <v>222</v>
      </c>
      <c r="R14" s="32" t="s">
        <v>137</v>
      </c>
      <c r="S14" s="32"/>
      <c r="T14" s="32"/>
      <c r="X14" s="3" t="s">
        <v>77</v>
      </c>
      <c r="Y14" s="3" t="s">
        <v>138</v>
      </c>
      <c r="Z14" s="3" t="s">
        <v>225</v>
      </c>
      <c r="AA14" s="3" t="s">
        <v>226</v>
      </c>
      <c r="AB14" s="3" t="s">
        <v>227</v>
      </c>
      <c r="AC14" s="3" t="s">
        <v>228</v>
      </c>
      <c r="AE14" s="3" t="s">
        <v>83</v>
      </c>
      <c r="AF14" s="3" t="s">
        <v>84</v>
      </c>
      <c r="AG14" s="3" t="s">
        <v>84</v>
      </c>
      <c r="AH14" s="3" t="s">
        <v>2525</v>
      </c>
      <c r="AI14" s="3" t="s">
        <v>2525</v>
      </c>
      <c r="AJ14" s="3" t="s">
        <v>84</v>
      </c>
      <c r="AK14" s="3" t="s">
        <v>2525</v>
      </c>
      <c r="AL14" s="3" t="s">
        <v>2525</v>
      </c>
      <c r="AM14" s="3" t="s">
        <v>84</v>
      </c>
      <c r="AN14" s="3" t="s">
        <v>2525</v>
      </c>
      <c r="AO14" s="3" t="s">
        <v>2525</v>
      </c>
      <c r="AP14" s="3" t="s">
        <v>2525</v>
      </c>
      <c r="AR14" s="3" t="s">
        <v>2525</v>
      </c>
      <c r="AS14" s="3" t="s">
        <v>2525</v>
      </c>
      <c r="AT14" s="3" t="s">
        <v>2525</v>
      </c>
      <c r="AU14" s="3" t="s">
        <v>2525</v>
      </c>
      <c r="AV14" s="3" t="s">
        <v>2525</v>
      </c>
      <c r="AW14" s="3" t="s">
        <v>2525</v>
      </c>
      <c r="AX14" s="3" t="s">
        <v>2525</v>
      </c>
      <c r="AY14" s="3" t="s">
        <v>2525</v>
      </c>
      <c r="AZ14" s="3" t="s">
        <v>84</v>
      </c>
      <c r="BA14" s="3" t="s">
        <v>85</v>
      </c>
      <c r="BB14" s="3" t="s">
        <v>2525</v>
      </c>
      <c r="BC14" s="3" t="s">
        <v>2525</v>
      </c>
      <c r="BD14" s="3" t="s">
        <v>84</v>
      </c>
      <c r="BE14" s="3" t="s">
        <v>2525</v>
      </c>
      <c r="BF14" s="3" t="s">
        <v>2525</v>
      </c>
      <c r="BG14" s="3" t="s">
        <v>2525</v>
      </c>
      <c r="BH14" s="3" t="s">
        <v>2525</v>
      </c>
      <c r="BI14" s="3" t="s">
        <v>2525</v>
      </c>
      <c r="BJ14" s="3" t="s">
        <v>2525</v>
      </c>
      <c r="BK14" s="3" t="s">
        <v>86</v>
      </c>
      <c r="BL14" s="3" t="s">
        <v>86</v>
      </c>
      <c r="BN14" s="3" t="s">
        <v>229</v>
      </c>
      <c r="BO14" s="3" t="s">
        <v>230</v>
      </c>
    </row>
    <row r="15">
      <c r="A15" s="3" t="s">
        <v>232</v>
      </c>
      <c r="B15" s="3" t="s">
        <v>233</v>
      </c>
      <c r="C15" s="3" t="s">
        <v>92</v>
      </c>
      <c r="D15" s="3" t="s">
        <v>234</v>
      </c>
      <c r="I15" s="3">
        <v>40.0</v>
      </c>
      <c r="J15" s="3" t="s">
        <v>171</v>
      </c>
      <c r="K15" s="3" t="s">
        <v>72</v>
      </c>
      <c r="L15" s="3" t="s">
        <v>2525</v>
      </c>
      <c r="M15" s="3" t="s">
        <v>235</v>
      </c>
      <c r="N15" s="3">
        <v>-22.969187675070028</v>
      </c>
      <c r="P15" s="3" t="s">
        <v>75</v>
      </c>
      <c r="Q15" s="32" t="s">
        <v>232</v>
      </c>
      <c r="R15" s="32" t="s">
        <v>236</v>
      </c>
      <c r="S15" s="32"/>
      <c r="T15" s="32"/>
      <c r="X15" s="3" t="s">
        <v>77</v>
      </c>
      <c r="Y15" s="3" t="s">
        <v>78</v>
      </c>
      <c r="Z15" s="3" t="s">
        <v>237</v>
      </c>
      <c r="AA15" s="3" t="s">
        <v>238</v>
      </c>
      <c r="AB15" s="3" t="s">
        <v>239</v>
      </c>
      <c r="AC15" s="3" t="s">
        <v>240</v>
      </c>
      <c r="AE15" s="3" t="s">
        <v>83</v>
      </c>
      <c r="AF15" s="3" t="s">
        <v>2525</v>
      </c>
      <c r="AG15" s="3" t="s">
        <v>2525</v>
      </c>
      <c r="AH15" s="3" t="s">
        <v>2525</v>
      </c>
      <c r="AI15" s="3" t="s">
        <v>85</v>
      </c>
      <c r="AJ15" s="3" t="s">
        <v>85</v>
      </c>
      <c r="AK15" s="3" t="s">
        <v>2525</v>
      </c>
      <c r="AL15" s="3" t="s">
        <v>2525</v>
      </c>
      <c r="AM15" s="3" t="s">
        <v>2525</v>
      </c>
      <c r="AN15" s="3" t="s">
        <v>2525</v>
      </c>
      <c r="AO15" s="3" t="s">
        <v>2525</v>
      </c>
      <c r="AP15" s="3" t="s">
        <v>2525</v>
      </c>
      <c r="AR15" s="3" t="s">
        <v>84</v>
      </c>
      <c r="AS15" s="3" t="s">
        <v>2525</v>
      </c>
      <c r="AT15" s="3" t="s">
        <v>2525</v>
      </c>
      <c r="AU15" s="3" t="s">
        <v>2525</v>
      </c>
      <c r="AV15" s="3" t="s">
        <v>2525</v>
      </c>
      <c r="AW15" s="3" t="s">
        <v>2525</v>
      </c>
      <c r="AX15" s="3" t="s">
        <v>84</v>
      </c>
      <c r="AY15" s="3" t="s">
        <v>2525</v>
      </c>
      <c r="AZ15" s="3" t="s">
        <v>2525</v>
      </c>
      <c r="BA15" s="3" t="s">
        <v>2525</v>
      </c>
      <c r="BB15" s="3" t="s">
        <v>2525</v>
      </c>
      <c r="BC15" s="3" t="s">
        <v>2525</v>
      </c>
      <c r="BD15" s="3" t="s">
        <v>2525</v>
      </c>
      <c r="BE15" s="3" t="s">
        <v>2525</v>
      </c>
      <c r="BF15" s="3" t="s">
        <v>84</v>
      </c>
      <c r="BG15" s="3" t="s">
        <v>2525</v>
      </c>
      <c r="BH15" s="3" t="s">
        <v>2525</v>
      </c>
      <c r="BI15" s="3" t="s">
        <v>2525</v>
      </c>
      <c r="BJ15" s="3" t="s">
        <v>2525</v>
      </c>
      <c r="BL15" s="3" t="s">
        <v>2525</v>
      </c>
      <c r="BN15" s="3" t="s">
        <v>241</v>
      </c>
      <c r="BO15" s="3" t="s">
        <v>242</v>
      </c>
    </row>
    <row r="16">
      <c r="A16" s="3" t="s">
        <v>244</v>
      </c>
      <c r="B16" s="3" t="s">
        <v>245</v>
      </c>
      <c r="C16" s="3" t="s">
        <v>92</v>
      </c>
      <c r="D16" s="3" t="s">
        <v>246</v>
      </c>
      <c r="E16" s="3" t="s">
        <v>247</v>
      </c>
      <c r="I16" s="3">
        <v>34.0</v>
      </c>
      <c r="J16" s="3" t="s">
        <v>71</v>
      </c>
      <c r="K16" s="3" t="s">
        <v>72</v>
      </c>
      <c r="L16" s="3" t="s">
        <v>73</v>
      </c>
      <c r="M16" s="3" t="s">
        <v>248</v>
      </c>
      <c r="N16" s="3">
        <v>2.564102564102564</v>
      </c>
      <c r="P16" s="3" t="s">
        <v>149</v>
      </c>
      <c r="Q16" s="32" t="s">
        <v>244</v>
      </c>
      <c r="R16" s="32" t="s">
        <v>137</v>
      </c>
      <c r="S16" s="32"/>
      <c r="T16" s="32"/>
      <c r="W16" s="3" t="s">
        <v>205</v>
      </c>
      <c r="X16" s="3" t="s">
        <v>77</v>
      </c>
      <c r="Y16" s="3" t="s">
        <v>78</v>
      </c>
      <c r="Z16" s="3" t="s">
        <v>249</v>
      </c>
      <c r="AA16" s="3" t="s">
        <v>250</v>
      </c>
      <c r="AB16" s="3" t="s">
        <v>251</v>
      </c>
      <c r="AC16" s="3" t="s">
        <v>252</v>
      </c>
      <c r="AE16" s="3" t="s">
        <v>83</v>
      </c>
      <c r="AF16" s="3" t="s">
        <v>2525</v>
      </c>
      <c r="AG16" s="3" t="s">
        <v>2525</v>
      </c>
      <c r="AH16" s="3" t="s">
        <v>2525</v>
      </c>
      <c r="AI16" s="3" t="s">
        <v>2525</v>
      </c>
      <c r="AJ16" s="3" t="s">
        <v>2525</v>
      </c>
      <c r="AK16" s="3" t="s">
        <v>2525</v>
      </c>
      <c r="AL16" s="3" t="s">
        <v>2525</v>
      </c>
      <c r="AM16" s="3" t="s">
        <v>2525</v>
      </c>
      <c r="AN16" s="3" t="s">
        <v>2525</v>
      </c>
      <c r="AO16" s="3" t="s">
        <v>2525</v>
      </c>
      <c r="AP16" s="3" t="s">
        <v>2525</v>
      </c>
      <c r="AR16" s="3" t="s">
        <v>2525</v>
      </c>
      <c r="AS16" s="3" t="s">
        <v>2525</v>
      </c>
      <c r="AT16" s="3" t="s">
        <v>2525</v>
      </c>
      <c r="AU16" s="3" t="s">
        <v>85</v>
      </c>
      <c r="AV16" s="3" t="s">
        <v>2525</v>
      </c>
      <c r="AW16" s="3" t="s">
        <v>85</v>
      </c>
      <c r="AX16" s="3" t="s">
        <v>2525</v>
      </c>
      <c r="AY16" s="3" t="s">
        <v>2525</v>
      </c>
      <c r="AZ16" s="3" t="s">
        <v>2525</v>
      </c>
      <c r="BA16" s="3" t="s">
        <v>85</v>
      </c>
      <c r="BB16" s="3" t="s">
        <v>2525</v>
      </c>
      <c r="BC16" s="3" t="s">
        <v>2525</v>
      </c>
      <c r="BD16" s="3" t="s">
        <v>2525</v>
      </c>
      <c r="BE16" s="3" t="s">
        <v>2525</v>
      </c>
      <c r="BF16" s="3" t="s">
        <v>2525</v>
      </c>
      <c r="BG16" s="3" t="s">
        <v>2525</v>
      </c>
      <c r="BH16" s="3" t="s">
        <v>2525</v>
      </c>
      <c r="BI16" s="3" t="s">
        <v>2525</v>
      </c>
      <c r="BJ16" s="3" t="s">
        <v>2525</v>
      </c>
      <c r="BL16" s="3" t="s">
        <v>2525</v>
      </c>
      <c r="BN16" s="3" t="s">
        <v>253</v>
      </c>
      <c r="BO16" s="3" t="s">
        <v>137</v>
      </c>
      <c r="BP16" s="3" t="s">
        <v>254</v>
      </c>
    </row>
    <row r="17">
      <c r="A17" s="3" t="s">
        <v>256</v>
      </c>
      <c r="B17" s="3" t="s">
        <v>257</v>
      </c>
      <c r="C17" s="3" t="s">
        <v>92</v>
      </c>
      <c r="D17" s="3" t="s">
        <v>258</v>
      </c>
      <c r="I17" s="3">
        <v>26.0</v>
      </c>
      <c r="J17" s="3" t="s">
        <v>71</v>
      </c>
      <c r="K17" s="3" t="s">
        <v>72</v>
      </c>
      <c r="L17" s="3" t="s">
        <v>73</v>
      </c>
      <c r="M17" s="3" t="s">
        <v>259</v>
      </c>
      <c r="N17" s="3">
        <v>-45.529411764705884</v>
      </c>
      <c r="P17" s="3" t="s">
        <v>260</v>
      </c>
      <c r="Q17" s="32" t="s">
        <v>256</v>
      </c>
      <c r="R17" s="32" t="s">
        <v>137</v>
      </c>
      <c r="S17" s="32"/>
      <c r="T17" s="32"/>
      <c r="W17" s="3" t="s">
        <v>261</v>
      </c>
      <c r="Y17" s="3" t="s">
        <v>138</v>
      </c>
      <c r="Z17" s="3" t="s">
        <v>262</v>
      </c>
      <c r="AA17" s="3" t="s">
        <v>263</v>
      </c>
      <c r="AB17" s="3" t="s">
        <v>264</v>
      </c>
      <c r="AC17" s="3" t="s">
        <v>265</v>
      </c>
      <c r="AE17" s="3" t="s">
        <v>83</v>
      </c>
      <c r="AF17" s="3" t="s">
        <v>2525</v>
      </c>
      <c r="AG17" s="3" t="s">
        <v>2525</v>
      </c>
      <c r="AH17" s="3" t="s">
        <v>2525</v>
      </c>
      <c r="AI17" s="3" t="s">
        <v>2525</v>
      </c>
      <c r="AJ17" s="3" t="s">
        <v>2525</v>
      </c>
      <c r="AK17" s="3" t="s">
        <v>2525</v>
      </c>
      <c r="AL17" s="3" t="s">
        <v>2525</v>
      </c>
      <c r="AM17" s="3" t="s">
        <v>2525</v>
      </c>
      <c r="AN17" s="3" t="s">
        <v>2525</v>
      </c>
      <c r="AO17" s="3" t="s">
        <v>2525</v>
      </c>
      <c r="AP17" s="3" t="s">
        <v>2525</v>
      </c>
      <c r="AR17" s="3" t="s">
        <v>2525</v>
      </c>
      <c r="AS17" s="3" t="s">
        <v>85</v>
      </c>
      <c r="AT17" s="3" t="s">
        <v>2525</v>
      </c>
      <c r="AU17" s="3" t="s">
        <v>2525</v>
      </c>
      <c r="AV17" s="3" t="s">
        <v>2525</v>
      </c>
      <c r="AW17" s="3" t="s">
        <v>2525</v>
      </c>
      <c r="AX17" s="3" t="s">
        <v>2525</v>
      </c>
      <c r="AY17" s="3" t="s">
        <v>2525</v>
      </c>
      <c r="AZ17" s="3" t="s">
        <v>84</v>
      </c>
      <c r="BA17" s="3" t="s">
        <v>2525</v>
      </c>
      <c r="BB17" s="3" t="s">
        <v>2525</v>
      </c>
      <c r="BC17" s="3" t="s">
        <v>2525</v>
      </c>
      <c r="BD17" s="3" t="s">
        <v>2525</v>
      </c>
      <c r="BE17" s="3" t="s">
        <v>2525</v>
      </c>
      <c r="BF17" s="3" t="s">
        <v>2525</v>
      </c>
      <c r="BG17" s="3" t="s">
        <v>2525</v>
      </c>
      <c r="BH17" s="3" t="s">
        <v>2525</v>
      </c>
      <c r="BI17" s="3" t="s">
        <v>84</v>
      </c>
      <c r="BJ17" s="3" t="s">
        <v>2525</v>
      </c>
      <c r="BL17" s="3" t="s">
        <v>2525</v>
      </c>
      <c r="BN17" s="3" t="s">
        <v>266</v>
      </c>
      <c r="BO17" s="3" t="s">
        <v>137</v>
      </c>
    </row>
    <row r="18">
      <c r="A18" s="3" t="s">
        <v>268</v>
      </c>
      <c r="B18" s="3" t="s">
        <v>269</v>
      </c>
      <c r="C18" s="3" t="s">
        <v>92</v>
      </c>
      <c r="D18" s="3" t="s">
        <v>270</v>
      </c>
      <c r="E18" s="3" t="s">
        <v>271</v>
      </c>
      <c r="I18" s="3">
        <v>25.0</v>
      </c>
      <c r="J18" s="3" t="s">
        <v>272</v>
      </c>
      <c r="K18" s="3" t="s">
        <v>72</v>
      </c>
      <c r="L18" s="3" t="s">
        <v>73</v>
      </c>
      <c r="M18" s="3" t="s">
        <v>74</v>
      </c>
      <c r="N18" s="3">
        <v>30.756417793454833</v>
      </c>
      <c r="P18" s="3" t="s">
        <v>110</v>
      </c>
      <c r="Q18" s="32" t="s">
        <v>268</v>
      </c>
      <c r="R18" s="32" t="s">
        <v>273</v>
      </c>
      <c r="S18" s="32"/>
      <c r="T18" s="32"/>
      <c r="W18" s="3" t="s">
        <v>274</v>
      </c>
      <c r="X18" s="3" t="s">
        <v>77</v>
      </c>
      <c r="Y18" s="3" t="s">
        <v>138</v>
      </c>
      <c r="Z18" s="3" t="s">
        <v>275</v>
      </c>
      <c r="AA18" s="3" t="s">
        <v>276</v>
      </c>
      <c r="AB18" s="3" t="s">
        <v>277</v>
      </c>
      <c r="AC18" s="3" t="s">
        <v>278</v>
      </c>
      <c r="AE18" s="3" t="s">
        <v>83</v>
      </c>
      <c r="AF18" s="3" t="s">
        <v>85</v>
      </c>
      <c r="AG18" s="3" t="s">
        <v>84</v>
      </c>
      <c r="AH18" s="3" t="s">
        <v>85</v>
      </c>
      <c r="AI18" s="3" t="s">
        <v>84</v>
      </c>
      <c r="AJ18" s="3" t="s">
        <v>2525</v>
      </c>
      <c r="AK18" s="3" t="s">
        <v>85</v>
      </c>
      <c r="AL18" s="3" t="s">
        <v>85</v>
      </c>
      <c r="AM18" s="3" t="s">
        <v>84</v>
      </c>
      <c r="AN18" s="3" t="s">
        <v>84</v>
      </c>
      <c r="AO18" s="3" t="s">
        <v>2525</v>
      </c>
      <c r="AP18" s="3" t="s">
        <v>2525</v>
      </c>
      <c r="AR18" s="3" t="s">
        <v>2525</v>
      </c>
      <c r="AS18" s="3" t="s">
        <v>84</v>
      </c>
      <c r="AT18" s="3" t="s">
        <v>84</v>
      </c>
      <c r="AU18" s="3" t="s">
        <v>85</v>
      </c>
      <c r="AV18" s="3" t="s">
        <v>2525</v>
      </c>
      <c r="AW18" s="3" t="s">
        <v>2525</v>
      </c>
      <c r="AX18" s="3" t="s">
        <v>85</v>
      </c>
      <c r="AY18" s="3" t="s">
        <v>2525</v>
      </c>
      <c r="AZ18" s="3" t="s">
        <v>2525</v>
      </c>
      <c r="BA18" s="3" t="s">
        <v>84</v>
      </c>
      <c r="BB18" s="3" t="s">
        <v>2525</v>
      </c>
      <c r="BC18" s="3" t="s">
        <v>2525</v>
      </c>
      <c r="BD18" s="3" t="s">
        <v>2525</v>
      </c>
      <c r="BE18" s="3" t="s">
        <v>2525</v>
      </c>
      <c r="BF18" s="3" t="s">
        <v>2525</v>
      </c>
      <c r="BG18" s="3" t="s">
        <v>2525</v>
      </c>
      <c r="BH18" s="3" t="s">
        <v>2525</v>
      </c>
      <c r="BI18" s="3" t="s">
        <v>2525</v>
      </c>
      <c r="BJ18" s="3" t="s">
        <v>2525</v>
      </c>
      <c r="BL18" s="3" t="s">
        <v>2525</v>
      </c>
      <c r="BN18" s="3" t="s">
        <v>279</v>
      </c>
      <c r="BO18" s="3" t="s">
        <v>279</v>
      </c>
      <c r="BP18" s="3" t="s">
        <v>144</v>
      </c>
    </row>
    <row r="19">
      <c r="A19" s="3" t="s">
        <v>281</v>
      </c>
      <c r="B19" s="3" t="s">
        <v>282</v>
      </c>
      <c r="C19" s="3" t="s">
        <v>92</v>
      </c>
      <c r="D19" s="3" t="s">
        <v>283</v>
      </c>
      <c r="E19" s="3" t="s">
        <v>284</v>
      </c>
      <c r="I19" s="3">
        <v>50.0</v>
      </c>
      <c r="J19" s="3" t="s">
        <v>71</v>
      </c>
      <c r="K19" s="3" t="s">
        <v>72</v>
      </c>
      <c r="L19" s="3" t="s">
        <v>2525</v>
      </c>
      <c r="M19" s="3" t="s">
        <v>285</v>
      </c>
      <c r="N19" s="3">
        <v>-21.09375</v>
      </c>
      <c r="P19" s="3" t="s">
        <v>149</v>
      </c>
      <c r="Q19" s="32" t="s">
        <v>281</v>
      </c>
      <c r="R19" s="32" t="s">
        <v>286</v>
      </c>
      <c r="S19" s="32"/>
      <c r="T19" s="32"/>
      <c r="W19" s="3" t="s">
        <v>287</v>
      </c>
      <c r="X19" s="3" t="s">
        <v>77</v>
      </c>
      <c r="Y19" s="3" t="s">
        <v>78</v>
      </c>
      <c r="Z19" s="3" t="s">
        <v>288</v>
      </c>
      <c r="AA19" s="3" t="s">
        <v>289</v>
      </c>
      <c r="AB19" s="3" t="s">
        <v>290</v>
      </c>
      <c r="AC19" s="3" t="s">
        <v>291</v>
      </c>
      <c r="AE19" s="3" t="s">
        <v>83</v>
      </c>
      <c r="AF19" s="3" t="s">
        <v>2525</v>
      </c>
      <c r="AG19" s="3" t="s">
        <v>2525</v>
      </c>
      <c r="AH19" s="3" t="s">
        <v>2525</v>
      </c>
      <c r="AI19" s="3" t="s">
        <v>2525</v>
      </c>
      <c r="AJ19" s="3" t="s">
        <v>2525</v>
      </c>
      <c r="AK19" s="3" t="s">
        <v>2525</v>
      </c>
      <c r="AL19" s="3" t="s">
        <v>2525</v>
      </c>
      <c r="AM19" s="3" t="s">
        <v>2525</v>
      </c>
      <c r="AN19" s="3" t="s">
        <v>2525</v>
      </c>
      <c r="AO19" s="3" t="s">
        <v>2525</v>
      </c>
      <c r="AP19" s="3" t="s">
        <v>129</v>
      </c>
      <c r="AR19" s="3" t="s">
        <v>2525</v>
      </c>
      <c r="AS19" s="3" t="s">
        <v>2525</v>
      </c>
      <c r="AT19" s="3" t="s">
        <v>2525</v>
      </c>
      <c r="AU19" s="3" t="s">
        <v>2525</v>
      </c>
      <c r="AV19" s="3" t="s">
        <v>2525</v>
      </c>
      <c r="AW19" s="3" t="s">
        <v>2525</v>
      </c>
      <c r="AX19" s="3" t="s">
        <v>2525</v>
      </c>
      <c r="AY19" s="3" t="s">
        <v>2525</v>
      </c>
      <c r="AZ19" s="3" t="s">
        <v>2525</v>
      </c>
      <c r="BA19" s="3" t="s">
        <v>84</v>
      </c>
      <c r="BB19" s="3" t="s">
        <v>2525</v>
      </c>
      <c r="BC19" s="3" t="s">
        <v>2525</v>
      </c>
      <c r="BD19" s="3" t="s">
        <v>2525</v>
      </c>
      <c r="BE19" s="3" t="s">
        <v>2525</v>
      </c>
      <c r="BF19" s="3" t="s">
        <v>2525</v>
      </c>
      <c r="BG19" s="3" t="s">
        <v>2525</v>
      </c>
      <c r="BH19" s="3" t="s">
        <v>2525</v>
      </c>
      <c r="BI19" s="3" t="s">
        <v>2525</v>
      </c>
      <c r="BJ19" s="3" t="s">
        <v>129</v>
      </c>
      <c r="BL19" s="3" t="s">
        <v>2525</v>
      </c>
      <c r="BN19" s="3" t="s">
        <v>286</v>
      </c>
      <c r="BO19" s="3" t="s">
        <v>286</v>
      </c>
      <c r="BP19" s="3" t="s">
        <v>292</v>
      </c>
    </row>
    <row r="20">
      <c r="A20" s="3" t="s">
        <v>294</v>
      </c>
      <c r="B20" s="3" t="s">
        <v>295</v>
      </c>
      <c r="C20" s="3" t="s">
        <v>70</v>
      </c>
      <c r="E20" s="3" t="s">
        <v>271</v>
      </c>
      <c r="I20" s="3">
        <v>15.0</v>
      </c>
      <c r="J20" s="3" t="s">
        <v>224</v>
      </c>
      <c r="K20" s="3" t="s">
        <v>72</v>
      </c>
      <c r="L20" s="3" t="s">
        <v>73</v>
      </c>
      <c r="M20" s="3" t="s">
        <v>74</v>
      </c>
      <c r="P20" s="3" t="s">
        <v>75</v>
      </c>
      <c r="Q20" s="32" t="s">
        <v>294</v>
      </c>
      <c r="R20" s="32" t="s">
        <v>137</v>
      </c>
      <c r="S20" s="32"/>
      <c r="T20" s="32"/>
      <c r="X20" s="3" t="s">
        <v>77</v>
      </c>
      <c r="Y20" s="3" t="s">
        <v>138</v>
      </c>
      <c r="Z20" s="3" t="s">
        <v>296</v>
      </c>
      <c r="AA20" s="3" t="s">
        <v>297</v>
      </c>
      <c r="AB20" s="3" t="s">
        <v>298</v>
      </c>
      <c r="AC20" s="3" t="s">
        <v>299</v>
      </c>
      <c r="AE20" s="3" t="s">
        <v>83</v>
      </c>
      <c r="AF20" s="3" t="s">
        <v>84</v>
      </c>
      <c r="AG20" s="3" t="s">
        <v>84</v>
      </c>
      <c r="AH20" s="3" t="s">
        <v>2525</v>
      </c>
      <c r="AI20" s="3" t="s">
        <v>2525</v>
      </c>
      <c r="AJ20" s="3" t="s">
        <v>84</v>
      </c>
      <c r="AK20" s="3" t="s">
        <v>2525</v>
      </c>
      <c r="AL20" s="3" t="s">
        <v>2525</v>
      </c>
      <c r="AM20" s="3" t="s">
        <v>84</v>
      </c>
      <c r="AN20" s="3" t="s">
        <v>2525</v>
      </c>
      <c r="AO20" s="3" t="s">
        <v>2525</v>
      </c>
      <c r="AP20" s="3" t="s">
        <v>2525</v>
      </c>
      <c r="AR20" s="3" t="s">
        <v>2525</v>
      </c>
      <c r="AS20" s="3" t="s">
        <v>2525</v>
      </c>
      <c r="AT20" s="3" t="s">
        <v>2525</v>
      </c>
      <c r="AU20" s="3" t="s">
        <v>2525</v>
      </c>
      <c r="AV20" s="3" t="s">
        <v>2525</v>
      </c>
      <c r="AW20" s="3" t="s">
        <v>2525</v>
      </c>
      <c r="AX20" s="3" t="s">
        <v>2525</v>
      </c>
      <c r="AY20" s="3" t="s">
        <v>2525</v>
      </c>
      <c r="AZ20" s="3" t="s">
        <v>84</v>
      </c>
      <c r="BA20" s="3" t="s">
        <v>85</v>
      </c>
      <c r="BB20" s="3" t="s">
        <v>2525</v>
      </c>
      <c r="BC20" s="3" t="s">
        <v>2525</v>
      </c>
      <c r="BD20" s="3" t="s">
        <v>84</v>
      </c>
      <c r="BE20" s="3" t="s">
        <v>2525</v>
      </c>
      <c r="BF20" s="3" t="s">
        <v>2525</v>
      </c>
      <c r="BG20" s="3" t="s">
        <v>2525</v>
      </c>
      <c r="BH20" s="3" t="s">
        <v>2525</v>
      </c>
      <c r="BI20" s="3" t="s">
        <v>2525</v>
      </c>
      <c r="BJ20" s="3" t="s">
        <v>2525</v>
      </c>
      <c r="BK20" s="3" t="s">
        <v>86</v>
      </c>
      <c r="BL20" s="3" t="s">
        <v>86</v>
      </c>
      <c r="BN20" s="3" t="s">
        <v>229</v>
      </c>
      <c r="BO20" s="3" t="s">
        <v>230</v>
      </c>
    </row>
    <row r="21">
      <c r="A21" s="3" t="s">
        <v>301</v>
      </c>
      <c r="B21" s="3" t="s">
        <v>302</v>
      </c>
      <c r="C21" s="3" t="s">
        <v>92</v>
      </c>
      <c r="D21" s="3" t="s">
        <v>303</v>
      </c>
      <c r="I21" s="3">
        <v>31.0</v>
      </c>
      <c r="J21" s="3" t="s">
        <v>304</v>
      </c>
      <c r="K21" s="3" t="s">
        <v>72</v>
      </c>
      <c r="L21" s="3" t="s">
        <v>73</v>
      </c>
      <c r="M21" s="3" t="s">
        <v>74</v>
      </c>
      <c r="N21" s="3">
        <v>0.2066115702479339</v>
      </c>
      <c r="P21" s="3" t="s">
        <v>75</v>
      </c>
      <c r="Q21" s="32" t="s">
        <v>301</v>
      </c>
      <c r="R21" s="32" t="s">
        <v>305</v>
      </c>
      <c r="S21" s="32"/>
      <c r="T21" s="32"/>
      <c r="X21" s="3" t="s">
        <v>77</v>
      </c>
      <c r="Y21" s="3" t="s">
        <v>78</v>
      </c>
      <c r="Z21" s="3" t="s">
        <v>306</v>
      </c>
      <c r="AA21" s="3" t="s">
        <v>307</v>
      </c>
      <c r="AB21" s="3" t="s">
        <v>308</v>
      </c>
      <c r="AC21" s="3" t="s">
        <v>309</v>
      </c>
      <c r="AE21" s="3" t="s">
        <v>83</v>
      </c>
      <c r="AF21" s="3" t="s">
        <v>2525</v>
      </c>
      <c r="AG21" s="3" t="s">
        <v>2525</v>
      </c>
      <c r="AH21" s="3" t="s">
        <v>2525</v>
      </c>
      <c r="AI21" s="3" t="s">
        <v>2525</v>
      </c>
      <c r="AJ21" s="3" t="s">
        <v>2525</v>
      </c>
      <c r="AK21" s="3" t="s">
        <v>2525</v>
      </c>
      <c r="AL21" s="3" t="s">
        <v>2525</v>
      </c>
      <c r="AM21" s="3" t="s">
        <v>2525</v>
      </c>
      <c r="AN21" s="3" t="s">
        <v>2525</v>
      </c>
      <c r="AO21" s="3" t="s">
        <v>2525</v>
      </c>
      <c r="AP21" s="3" t="s">
        <v>2525</v>
      </c>
      <c r="AR21" s="3" t="s">
        <v>2525</v>
      </c>
      <c r="AS21" s="3" t="s">
        <v>2525</v>
      </c>
      <c r="AT21" s="3" t="s">
        <v>2525</v>
      </c>
      <c r="AU21" s="3" t="s">
        <v>2525</v>
      </c>
      <c r="AV21" s="3" t="s">
        <v>2525</v>
      </c>
      <c r="AW21" s="3" t="s">
        <v>2525</v>
      </c>
      <c r="AX21" s="3" t="s">
        <v>2525</v>
      </c>
      <c r="AY21" s="3" t="s">
        <v>2525</v>
      </c>
      <c r="AZ21" s="3" t="s">
        <v>2525</v>
      </c>
      <c r="BA21" s="3" t="s">
        <v>2525</v>
      </c>
      <c r="BB21" s="3" t="s">
        <v>2525</v>
      </c>
      <c r="BC21" s="3" t="s">
        <v>2525</v>
      </c>
      <c r="BD21" s="3" t="s">
        <v>85</v>
      </c>
      <c r="BE21" s="3" t="s">
        <v>2525</v>
      </c>
      <c r="BF21" s="3" t="s">
        <v>2525</v>
      </c>
      <c r="BG21" s="3" t="s">
        <v>2525</v>
      </c>
      <c r="BH21" s="3" t="s">
        <v>2525</v>
      </c>
      <c r="BI21" s="3" t="s">
        <v>2525</v>
      </c>
      <c r="BJ21" s="3" t="s">
        <v>2525</v>
      </c>
      <c r="BK21" s="3" t="s">
        <v>86</v>
      </c>
      <c r="BL21" s="3" t="s">
        <v>2525</v>
      </c>
      <c r="BM21" s="3" t="s">
        <v>86</v>
      </c>
      <c r="BN21" s="3" t="s">
        <v>310</v>
      </c>
      <c r="BO21" s="3" t="s">
        <v>311</v>
      </c>
      <c r="BP21" s="3" t="s">
        <v>144</v>
      </c>
    </row>
    <row r="22">
      <c r="A22" s="3" t="s">
        <v>313</v>
      </c>
      <c r="B22" s="3" t="s">
        <v>314</v>
      </c>
      <c r="C22" s="3" t="s">
        <v>70</v>
      </c>
      <c r="D22" s="3" t="s">
        <v>315</v>
      </c>
      <c r="I22" s="3">
        <v>15.0</v>
      </c>
      <c r="J22" s="3" t="s">
        <v>71</v>
      </c>
      <c r="K22" s="3" t="s">
        <v>72</v>
      </c>
      <c r="L22" s="3" t="s">
        <v>73</v>
      </c>
      <c r="M22" s="3" t="s">
        <v>74</v>
      </c>
      <c r="P22" s="3" t="s">
        <v>75</v>
      </c>
      <c r="Q22" s="32" t="s">
        <v>313</v>
      </c>
      <c r="R22" s="32" t="s">
        <v>137</v>
      </c>
      <c r="S22" s="32"/>
      <c r="T22" s="32"/>
      <c r="W22" s="3" t="s">
        <v>316</v>
      </c>
      <c r="X22" s="3" t="s">
        <v>77</v>
      </c>
      <c r="Y22" s="3" t="s">
        <v>78</v>
      </c>
      <c r="Z22" s="3" t="s">
        <v>317</v>
      </c>
      <c r="AA22" s="3" t="s">
        <v>318</v>
      </c>
      <c r="AB22" s="3" t="s">
        <v>319</v>
      </c>
      <c r="AC22" s="3" t="s">
        <v>320</v>
      </c>
      <c r="AE22" s="3" t="s">
        <v>83</v>
      </c>
      <c r="AF22" s="3" t="s">
        <v>85</v>
      </c>
      <c r="AG22" s="3" t="s">
        <v>85</v>
      </c>
      <c r="AH22" s="3" t="s">
        <v>2525</v>
      </c>
      <c r="AI22" s="3" t="s">
        <v>2525</v>
      </c>
      <c r="AJ22" s="3" t="s">
        <v>2525</v>
      </c>
      <c r="AK22" s="3" t="s">
        <v>2525</v>
      </c>
      <c r="AL22" s="3" t="s">
        <v>2525</v>
      </c>
      <c r="AM22" s="3" t="s">
        <v>84</v>
      </c>
      <c r="AN22" s="3" t="s">
        <v>2525</v>
      </c>
      <c r="AO22" s="3" t="s">
        <v>2525</v>
      </c>
      <c r="AP22" s="3" t="s">
        <v>2525</v>
      </c>
      <c r="AR22" s="3" t="s">
        <v>2525</v>
      </c>
      <c r="AS22" s="3" t="s">
        <v>2525</v>
      </c>
      <c r="AT22" s="3" t="s">
        <v>2525</v>
      </c>
      <c r="AU22" s="3" t="s">
        <v>2525</v>
      </c>
      <c r="AV22" s="3" t="s">
        <v>2525</v>
      </c>
      <c r="AW22" s="3" t="s">
        <v>2525</v>
      </c>
      <c r="AX22" s="3" t="s">
        <v>2525</v>
      </c>
      <c r="AY22" s="3" t="s">
        <v>2525</v>
      </c>
      <c r="AZ22" s="3" t="s">
        <v>2525</v>
      </c>
      <c r="BA22" s="3" t="s">
        <v>2525</v>
      </c>
      <c r="BB22" s="3" t="s">
        <v>2525</v>
      </c>
      <c r="BC22" s="3" t="s">
        <v>2525</v>
      </c>
      <c r="BD22" s="3" t="s">
        <v>84</v>
      </c>
      <c r="BE22" s="3" t="s">
        <v>2525</v>
      </c>
      <c r="BF22" s="3" t="s">
        <v>2525</v>
      </c>
      <c r="BG22" s="3" t="s">
        <v>2525</v>
      </c>
      <c r="BH22" s="3" t="s">
        <v>2525</v>
      </c>
      <c r="BI22" s="3" t="s">
        <v>2525</v>
      </c>
      <c r="BJ22" s="3" t="s">
        <v>2525</v>
      </c>
      <c r="BK22" s="3" t="s">
        <v>86</v>
      </c>
      <c r="BL22" s="3" t="s">
        <v>86</v>
      </c>
      <c r="BM22" s="3" t="s">
        <v>86</v>
      </c>
      <c r="BN22" s="3" t="s">
        <v>321</v>
      </c>
      <c r="BO22" s="3" t="s">
        <v>322</v>
      </c>
      <c r="BP22" s="3" t="s">
        <v>323</v>
      </c>
    </row>
    <row r="23">
      <c r="A23" s="3" t="s">
        <v>325</v>
      </c>
      <c r="B23" s="3" t="s">
        <v>326</v>
      </c>
      <c r="C23" s="3" t="s">
        <v>70</v>
      </c>
      <c r="D23" s="3" t="s">
        <v>246</v>
      </c>
      <c r="I23" s="3">
        <v>20.0</v>
      </c>
      <c r="J23" s="3" t="s">
        <v>71</v>
      </c>
      <c r="K23" s="3" t="s">
        <v>72</v>
      </c>
      <c r="L23" s="3" t="s">
        <v>73</v>
      </c>
      <c r="M23" s="3" t="s">
        <v>191</v>
      </c>
      <c r="N23" s="3">
        <v>2.564102564102564</v>
      </c>
      <c r="P23" s="3" t="s">
        <v>75</v>
      </c>
      <c r="Q23" s="32" t="s">
        <v>325</v>
      </c>
      <c r="R23" s="32" t="s">
        <v>327</v>
      </c>
      <c r="S23" s="32"/>
      <c r="T23" s="32"/>
      <c r="W23" s="3" t="s">
        <v>205</v>
      </c>
      <c r="X23" s="3" t="s">
        <v>77</v>
      </c>
      <c r="Y23" s="3" t="s">
        <v>78</v>
      </c>
      <c r="Z23" s="3" t="s">
        <v>194</v>
      </c>
      <c r="AA23" s="3" t="s">
        <v>328</v>
      </c>
      <c r="AB23" s="3" t="s">
        <v>329</v>
      </c>
      <c r="AC23" s="3" t="s">
        <v>330</v>
      </c>
      <c r="AE23" s="3" t="s">
        <v>83</v>
      </c>
      <c r="AF23" s="3" t="s">
        <v>84</v>
      </c>
      <c r="AG23" s="3" t="s">
        <v>84</v>
      </c>
      <c r="AH23" s="3" t="s">
        <v>2525</v>
      </c>
      <c r="AI23" s="3" t="s">
        <v>2525</v>
      </c>
      <c r="AJ23" s="3" t="s">
        <v>2525</v>
      </c>
      <c r="AK23" s="3" t="s">
        <v>2525</v>
      </c>
      <c r="AL23" s="3" t="s">
        <v>2525</v>
      </c>
      <c r="AM23" s="3" t="s">
        <v>2525</v>
      </c>
      <c r="AN23" s="3" t="s">
        <v>2525</v>
      </c>
      <c r="AO23" s="3" t="s">
        <v>85</v>
      </c>
      <c r="AP23" s="3" t="s">
        <v>2525</v>
      </c>
      <c r="AR23" s="3" t="s">
        <v>85</v>
      </c>
      <c r="AS23" s="3" t="s">
        <v>85</v>
      </c>
      <c r="AT23" s="3" t="s">
        <v>85</v>
      </c>
      <c r="AU23" s="3" t="s">
        <v>85</v>
      </c>
      <c r="AV23" s="3" t="s">
        <v>85</v>
      </c>
      <c r="AW23" s="3" t="s">
        <v>2525</v>
      </c>
      <c r="AX23" s="3" t="s">
        <v>2525</v>
      </c>
      <c r="AY23" s="3" t="s">
        <v>84</v>
      </c>
      <c r="AZ23" s="3" t="s">
        <v>2525</v>
      </c>
      <c r="BA23" s="3" t="s">
        <v>85</v>
      </c>
      <c r="BB23" s="3" t="s">
        <v>2525</v>
      </c>
      <c r="BC23" s="3" t="s">
        <v>2525</v>
      </c>
      <c r="BD23" s="3" t="s">
        <v>84</v>
      </c>
      <c r="BE23" s="3" t="s">
        <v>2525</v>
      </c>
      <c r="BF23" s="3" t="s">
        <v>2525</v>
      </c>
      <c r="BG23" s="3" t="s">
        <v>2525</v>
      </c>
      <c r="BH23" s="3" t="s">
        <v>2525</v>
      </c>
      <c r="BI23" s="3" t="s">
        <v>2525</v>
      </c>
      <c r="BJ23" s="3" t="s">
        <v>2525</v>
      </c>
      <c r="BK23" s="3" t="s">
        <v>86</v>
      </c>
      <c r="BL23" s="3" t="s">
        <v>86</v>
      </c>
      <c r="BN23" s="3" t="s">
        <v>331</v>
      </c>
      <c r="BO23" s="3" t="s">
        <v>332</v>
      </c>
    </row>
    <row r="24">
      <c r="A24" s="3" t="s">
        <v>334</v>
      </c>
      <c r="B24" s="3" t="s">
        <v>335</v>
      </c>
      <c r="C24" s="3" t="s">
        <v>70</v>
      </c>
      <c r="D24" s="3" t="s">
        <v>122</v>
      </c>
      <c r="I24" s="3">
        <v>15.0</v>
      </c>
      <c r="J24" s="3" t="s">
        <v>336</v>
      </c>
      <c r="K24" s="3" t="s">
        <v>72</v>
      </c>
      <c r="L24" s="3" t="s">
        <v>73</v>
      </c>
      <c r="M24" s="3" t="s">
        <v>74</v>
      </c>
      <c r="N24" s="3">
        <v>-25.106382978723403</v>
      </c>
      <c r="P24" s="3" t="s">
        <v>75</v>
      </c>
      <c r="Q24" s="32" t="s">
        <v>334</v>
      </c>
      <c r="R24" s="32" t="s">
        <v>137</v>
      </c>
      <c r="S24" s="32"/>
      <c r="T24" s="32"/>
      <c r="X24" s="3" t="s">
        <v>77</v>
      </c>
      <c r="Y24" s="3" t="s">
        <v>138</v>
      </c>
      <c r="Z24" s="3" t="s">
        <v>337</v>
      </c>
      <c r="AA24" s="3" t="s">
        <v>338</v>
      </c>
      <c r="AB24" s="3" t="s">
        <v>339</v>
      </c>
      <c r="AC24" s="3" t="s">
        <v>340</v>
      </c>
      <c r="AE24" s="3" t="s">
        <v>83</v>
      </c>
      <c r="AF24" s="3" t="s">
        <v>84</v>
      </c>
      <c r="AG24" s="3" t="s">
        <v>84</v>
      </c>
      <c r="AH24" s="3" t="s">
        <v>2525</v>
      </c>
      <c r="AI24" s="3" t="s">
        <v>2525</v>
      </c>
      <c r="AJ24" s="3" t="s">
        <v>84</v>
      </c>
      <c r="AK24" s="3" t="s">
        <v>2525</v>
      </c>
      <c r="AL24" s="3" t="s">
        <v>2525</v>
      </c>
      <c r="AM24" s="3" t="s">
        <v>84</v>
      </c>
      <c r="AN24" s="3" t="s">
        <v>2525</v>
      </c>
      <c r="AO24" s="3" t="s">
        <v>2525</v>
      </c>
      <c r="AP24" s="3" t="s">
        <v>2525</v>
      </c>
      <c r="AR24" s="3" t="s">
        <v>2525</v>
      </c>
      <c r="AS24" s="3" t="s">
        <v>2525</v>
      </c>
      <c r="AT24" s="3" t="s">
        <v>2525</v>
      </c>
      <c r="AU24" s="3" t="s">
        <v>2525</v>
      </c>
      <c r="AV24" s="3" t="s">
        <v>2525</v>
      </c>
      <c r="AW24" s="3" t="s">
        <v>2525</v>
      </c>
      <c r="AX24" s="3" t="s">
        <v>2525</v>
      </c>
      <c r="AY24" s="3" t="s">
        <v>2525</v>
      </c>
      <c r="AZ24" s="3" t="s">
        <v>84</v>
      </c>
      <c r="BA24" s="3" t="s">
        <v>85</v>
      </c>
      <c r="BB24" s="3" t="s">
        <v>2525</v>
      </c>
      <c r="BC24" s="3" t="s">
        <v>2525</v>
      </c>
      <c r="BD24" s="3" t="s">
        <v>84</v>
      </c>
      <c r="BE24" s="3" t="s">
        <v>2525</v>
      </c>
      <c r="BF24" s="3" t="s">
        <v>2525</v>
      </c>
      <c r="BG24" s="3" t="s">
        <v>2525</v>
      </c>
      <c r="BH24" s="3" t="s">
        <v>2525</v>
      </c>
      <c r="BI24" s="3" t="s">
        <v>2525</v>
      </c>
      <c r="BJ24" s="3" t="s">
        <v>2525</v>
      </c>
      <c r="BK24" s="3" t="s">
        <v>86</v>
      </c>
      <c r="BL24" s="3" t="s">
        <v>86</v>
      </c>
      <c r="BN24" s="3" t="s">
        <v>229</v>
      </c>
      <c r="BO24" s="3" t="s">
        <v>230</v>
      </c>
    </row>
    <row r="25">
      <c r="A25" s="3" t="s">
        <v>342</v>
      </c>
      <c r="B25" s="3" t="s">
        <v>343</v>
      </c>
      <c r="C25" s="3" t="s">
        <v>92</v>
      </c>
      <c r="D25" s="3" t="s">
        <v>344</v>
      </c>
      <c r="I25" s="3">
        <v>22.0</v>
      </c>
      <c r="J25" s="3" t="s">
        <v>171</v>
      </c>
      <c r="K25" s="3" t="s">
        <v>72</v>
      </c>
      <c r="L25" s="3" t="s">
        <v>2525</v>
      </c>
      <c r="M25" s="3" t="s">
        <v>235</v>
      </c>
      <c r="N25" s="3">
        <v>-7.894736842105263</v>
      </c>
      <c r="P25" s="3" t="s">
        <v>75</v>
      </c>
      <c r="Q25" s="32" t="s">
        <v>342</v>
      </c>
      <c r="R25" s="32" t="s">
        <v>345</v>
      </c>
      <c r="S25" s="32"/>
      <c r="T25" s="32"/>
      <c r="X25" s="3" t="s">
        <v>77</v>
      </c>
      <c r="Y25" s="3" t="s">
        <v>78</v>
      </c>
      <c r="Z25" s="3" t="s">
        <v>346</v>
      </c>
      <c r="AA25" s="3" t="s">
        <v>347</v>
      </c>
      <c r="AB25" s="3" t="s">
        <v>348</v>
      </c>
      <c r="AC25" s="3" t="s">
        <v>349</v>
      </c>
      <c r="AD25" s="3" t="s">
        <v>350</v>
      </c>
      <c r="AE25" s="3" t="s">
        <v>83</v>
      </c>
      <c r="AF25" s="3" t="s">
        <v>2525</v>
      </c>
      <c r="AG25" s="3" t="s">
        <v>2525</v>
      </c>
      <c r="AH25" s="3" t="s">
        <v>2525</v>
      </c>
      <c r="AI25" s="3" t="s">
        <v>2525</v>
      </c>
      <c r="AJ25" s="3" t="s">
        <v>2525</v>
      </c>
      <c r="AK25" s="3" t="s">
        <v>2525</v>
      </c>
      <c r="AL25" s="3" t="s">
        <v>2525</v>
      </c>
      <c r="AM25" s="3" t="s">
        <v>2525</v>
      </c>
      <c r="AN25" s="3" t="s">
        <v>2525</v>
      </c>
      <c r="AO25" s="3" t="s">
        <v>2525</v>
      </c>
      <c r="AP25" s="3" t="s">
        <v>2525</v>
      </c>
      <c r="AR25" s="3" t="s">
        <v>129</v>
      </c>
      <c r="AS25" s="3" t="s">
        <v>2525</v>
      </c>
      <c r="AT25" s="3" t="s">
        <v>2525</v>
      </c>
      <c r="AU25" s="3" t="s">
        <v>2525</v>
      </c>
      <c r="AV25" s="3" t="s">
        <v>2525</v>
      </c>
      <c r="AW25" s="3" t="s">
        <v>2525</v>
      </c>
      <c r="AX25" s="3" t="s">
        <v>84</v>
      </c>
      <c r="AY25" s="3" t="s">
        <v>2525</v>
      </c>
      <c r="AZ25" s="3" t="s">
        <v>2525</v>
      </c>
      <c r="BA25" s="3" t="s">
        <v>2525</v>
      </c>
      <c r="BB25" s="3" t="s">
        <v>2525</v>
      </c>
      <c r="BC25" s="3" t="s">
        <v>2525</v>
      </c>
      <c r="BD25" s="3" t="s">
        <v>2525</v>
      </c>
      <c r="BE25" s="3" t="s">
        <v>2525</v>
      </c>
      <c r="BF25" s="3" t="s">
        <v>84</v>
      </c>
      <c r="BG25" s="3" t="s">
        <v>2525</v>
      </c>
      <c r="BH25" s="3" t="s">
        <v>2525</v>
      </c>
      <c r="BI25" s="3" t="s">
        <v>2525</v>
      </c>
      <c r="BJ25" s="3" t="s">
        <v>2525</v>
      </c>
      <c r="BL25" s="3" t="s">
        <v>2525</v>
      </c>
      <c r="BN25" s="3" t="s">
        <v>351</v>
      </c>
      <c r="BO25" s="3" t="s">
        <v>352</v>
      </c>
    </row>
    <row r="26">
      <c r="A26" s="3" t="s">
        <v>354</v>
      </c>
      <c r="B26" s="3" t="s">
        <v>355</v>
      </c>
      <c r="C26" s="3" t="s">
        <v>70</v>
      </c>
      <c r="D26" s="3" t="s">
        <v>158</v>
      </c>
      <c r="I26" s="3">
        <v>15.0</v>
      </c>
      <c r="J26" s="3" t="s">
        <v>336</v>
      </c>
      <c r="K26" s="3" t="s">
        <v>72</v>
      </c>
      <c r="L26" s="3" t="s">
        <v>73</v>
      </c>
      <c r="M26" s="3" t="s">
        <v>74</v>
      </c>
      <c r="N26" s="3">
        <v>44.55169455169455</v>
      </c>
      <c r="P26" s="3" t="s">
        <v>75</v>
      </c>
      <c r="Q26" s="32" t="s">
        <v>354</v>
      </c>
      <c r="R26" s="32" t="s">
        <v>137</v>
      </c>
      <c r="S26" s="32"/>
      <c r="T26" s="32"/>
      <c r="X26" s="3" t="s">
        <v>77</v>
      </c>
      <c r="Y26" s="3" t="s">
        <v>138</v>
      </c>
      <c r="Z26" s="3" t="s">
        <v>356</v>
      </c>
      <c r="AA26" s="3" t="s">
        <v>357</v>
      </c>
      <c r="AB26" s="3" t="s">
        <v>358</v>
      </c>
      <c r="AC26" s="3" t="s">
        <v>359</v>
      </c>
      <c r="AE26" s="3" t="s">
        <v>83</v>
      </c>
      <c r="AF26" s="3" t="s">
        <v>84</v>
      </c>
      <c r="AG26" s="3" t="s">
        <v>84</v>
      </c>
      <c r="AH26" s="3" t="s">
        <v>2525</v>
      </c>
      <c r="AI26" s="3" t="s">
        <v>2525</v>
      </c>
      <c r="AJ26" s="3" t="s">
        <v>84</v>
      </c>
      <c r="AK26" s="3" t="s">
        <v>2525</v>
      </c>
      <c r="AL26" s="3" t="s">
        <v>2525</v>
      </c>
      <c r="AM26" s="3" t="s">
        <v>84</v>
      </c>
      <c r="AN26" s="3" t="s">
        <v>2525</v>
      </c>
      <c r="AO26" s="3" t="s">
        <v>2525</v>
      </c>
      <c r="AP26" s="3" t="s">
        <v>2525</v>
      </c>
      <c r="AR26" s="3" t="s">
        <v>2525</v>
      </c>
      <c r="AS26" s="3" t="s">
        <v>2525</v>
      </c>
      <c r="AT26" s="3" t="s">
        <v>2525</v>
      </c>
      <c r="AU26" s="3" t="s">
        <v>2525</v>
      </c>
      <c r="AV26" s="3" t="s">
        <v>2525</v>
      </c>
      <c r="AW26" s="3" t="s">
        <v>2525</v>
      </c>
      <c r="AX26" s="3" t="s">
        <v>2525</v>
      </c>
      <c r="AY26" s="3" t="s">
        <v>2525</v>
      </c>
      <c r="AZ26" s="3" t="s">
        <v>84</v>
      </c>
      <c r="BA26" s="3" t="s">
        <v>85</v>
      </c>
      <c r="BB26" s="3" t="s">
        <v>2525</v>
      </c>
      <c r="BC26" s="3" t="s">
        <v>2525</v>
      </c>
      <c r="BD26" s="3" t="s">
        <v>84</v>
      </c>
      <c r="BE26" s="3" t="s">
        <v>2525</v>
      </c>
      <c r="BF26" s="3" t="s">
        <v>2525</v>
      </c>
      <c r="BG26" s="3" t="s">
        <v>2525</v>
      </c>
      <c r="BH26" s="3" t="s">
        <v>2525</v>
      </c>
      <c r="BI26" s="3" t="s">
        <v>2525</v>
      </c>
      <c r="BJ26" s="3" t="s">
        <v>2525</v>
      </c>
      <c r="BK26" s="3" t="s">
        <v>86</v>
      </c>
      <c r="BL26" s="3" t="s">
        <v>86</v>
      </c>
      <c r="BN26" s="3" t="s">
        <v>360</v>
      </c>
      <c r="BO26" s="3" t="s">
        <v>230</v>
      </c>
      <c r="BP26" s="3" t="s">
        <v>162</v>
      </c>
    </row>
    <row r="27">
      <c r="A27" s="3" t="s">
        <v>362</v>
      </c>
      <c r="B27" s="3" t="s">
        <v>363</v>
      </c>
      <c r="C27" s="3" t="s">
        <v>92</v>
      </c>
      <c r="D27" s="3" t="s">
        <v>364</v>
      </c>
      <c r="E27" s="3" t="s">
        <v>107</v>
      </c>
      <c r="I27" s="3">
        <v>15.0</v>
      </c>
      <c r="J27" s="3" t="s">
        <v>71</v>
      </c>
      <c r="K27" s="3" t="s">
        <v>72</v>
      </c>
      <c r="L27" s="3" t="s">
        <v>73</v>
      </c>
      <c r="M27" s="3" t="s">
        <v>365</v>
      </c>
      <c r="P27" s="3" t="s">
        <v>110</v>
      </c>
      <c r="Q27" s="32" t="s">
        <v>362</v>
      </c>
      <c r="R27" s="32" t="s">
        <v>366</v>
      </c>
      <c r="S27" s="32"/>
      <c r="T27" s="32"/>
      <c r="X27" s="3" t="s">
        <v>77</v>
      </c>
      <c r="Y27" s="3" t="s">
        <v>78</v>
      </c>
      <c r="Z27" s="3" t="s">
        <v>113</v>
      </c>
      <c r="AA27" s="3" t="s">
        <v>367</v>
      </c>
      <c r="AB27" s="3" t="s">
        <v>368</v>
      </c>
      <c r="AC27" s="3" t="s">
        <v>369</v>
      </c>
      <c r="AE27" s="3" t="s">
        <v>83</v>
      </c>
      <c r="AF27" s="3" t="s">
        <v>2525</v>
      </c>
      <c r="AG27" s="3" t="s">
        <v>2525</v>
      </c>
      <c r="AH27" s="3" t="s">
        <v>2525</v>
      </c>
      <c r="AI27" s="3" t="s">
        <v>2525</v>
      </c>
      <c r="AJ27" s="3" t="s">
        <v>2525</v>
      </c>
      <c r="AK27" s="3" t="s">
        <v>2525</v>
      </c>
      <c r="AL27" s="3" t="s">
        <v>2525</v>
      </c>
      <c r="AM27" s="3" t="s">
        <v>2525</v>
      </c>
      <c r="AN27" s="3" t="s">
        <v>2525</v>
      </c>
      <c r="AO27" s="3" t="s">
        <v>2525</v>
      </c>
      <c r="AP27" s="3" t="s">
        <v>2525</v>
      </c>
      <c r="AR27" s="3" t="s">
        <v>2525</v>
      </c>
      <c r="AS27" s="3" t="s">
        <v>2525</v>
      </c>
      <c r="AT27" s="3" t="s">
        <v>2525</v>
      </c>
      <c r="AU27" s="3" t="s">
        <v>2525</v>
      </c>
      <c r="AV27" s="3" t="s">
        <v>2525</v>
      </c>
      <c r="AW27" s="3" t="s">
        <v>2525</v>
      </c>
      <c r="AX27" s="3" t="s">
        <v>2525</v>
      </c>
      <c r="AY27" s="3" t="s">
        <v>2525</v>
      </c>
      <c r="AZ27" s="3" t="s">
        <v>2525</v>
      </c>
      <c r="BA27" s="3" t="s">
        <v>2525</v>
      </c>
      <c r="BB27" s="3" t="s">
        <v>2525</v>
      </c>
      <c r="BC27" s="3" t="s">
        <v>2525</v>
      </c>
      <c r="BD27" s="3" t="s">
        <v>84</v>
      </c>
      <c r="BE27" s="3" t="s">
        <v>85</v>
      </c>
      <c r="BF27" s="3" t="s">
        <v>2525</v>
      </c>
      <c r="BG27" s="3" t="s">
        <v>2525</v>
      </c>
      <c r="BH27" s="3" t="s">
        <v>2525</v>
      </c>
      <c r="BI27" s="3" t="s">
        <v>2525</v>
      </c>
      <c r="BJ27" s="3" t="s">
        <v>2525</v>
      </c>
      <c r="BK27" s="3" t="s">
        <v>86</v>
      </c>
      <c r="BL27" s="3" t="s">
        <v>2525</v>
      </c>
      <c r="BN27" s="3" t="s">
        <v>370</v>
      </c>
      <c r="BO27" s="3" t="s">
        <v>371</v>
      </c>
    </row>
    <row r="28">
      <c r="A28" s="3" t="s">
        <v>373</v>
      </c>
      <c r="B28" s="3" t="s">
        <v>374</v>
      </c>
      <c r="C28" s="3" t="s">
        <v>92</v>
      </c>
      <c r="D28" s="3" t="s">
        <v>375</v>
      </c>
      <c r="I28" s="3">
        <v>50.0</v>
      </c>
      <c r="J28" s="3" t="s">
        <v>71</v>
      </c>
      <c r="K28" s="3" t="s">
        <v>72</v>
      </c>
      <c r="L28" s="3" t="s">
        <v>73</v>
      </c>
      <c r="M28" s="3" t="s">
        <v>248</v>
      </c>
      <c r="N28" s="3">
        <v>-37.5</v>
      </c>
      <c r="P28" s="3" t="s">
        <v>149</v>
      </c>
      <c r="Q28" s="32" t="s">
        <v>373</v>
      </c>
      <c r="R28" s="32" t="s">
        <v>137</v>
      </c>
      <c r="S28" s="32"/>
      <c r="T28" s="32"/>
      <c r="W28" s="3" t="s">
        <v>205</v>
      </c>
      <c r="X28" s="3" t="s">
        <v>77</v>
      </c>
      <c r="Y28" s="3" t="s">
        <v>78</v>
      </c>
      <c r="Z28" s="3" t="s">
        <v>376</v>
      </c>
      <c r="AA28" s="3" t="s">
        <v>377</v>
      </c>
      <c r="AB28" s="3" t="s">
        <v>378</v>
      </c>
      <c r="AC28" s="3" t="s">
        <v>379</v>
      </c>
      <c r="AE28" s="3" t="s">
        <v>83</v>
      </c>
      <c r="AF28" s="3" t="s">
        <v>2525</v>
      </c>
      <c r="AG28" s="3" t="s">
        <v>2525</v>
      </c>
      <c r="AH28" s="3" t="s">
        <v>2525</v>
      </c>
      <c r="AI28" s="3" t="s">
        <v>2525</v>
      </c>
      <c r="AJ28" s="3" t="s">
        <v>2525</v>
      </c>
      <c r="AK28" s="3" t="s">
        <v>2525</v>
      </c>
      <c r="AL28" s="3" t="s">
        <v>2525</v>
      </c>
      <c r="AM28" s="3" t="s">
        <v>2525</v>
      </c>
      <c r="AN28" s="3" t="s">
        <v>2525</v>
      </c>
      <c r="AO28" s="3" t="s">
        <v>2525</v>
      </c>
      <c r="AP28" s="3" t="s">
        <v>2525</v>
      </c>
      <c r="AR28" s="3" t="s">
        <v>2525</v>
      </c>
      <c r="AS28" s="3" t="s">
        <v>2525</v>
      </c>
      <c r="AT28" s="3" t="s">
        <v>2525</v>
      </c>
      <c r="AU28" s="3" t="s">
        <v>2525</v>
      </c>
      <c r="AV28" s="3" t="s">
        <v>2525</v>
      </c>
      <c r="AW28" s="3" t="s">
        <v>2525</v>
      </c>
      <c r="AX28" s="3" t="s">
        <v>2525</v>
      </c>
      <c r="AY28" s="3" t="s">
        <v>2525</v>
      </c>
      <c r="AZ28" s="3" t="s">
        <v>2525</v>
      </c>
      <c r="BA28" s="3" t="s">
        <v>85</v>
      </c>
      <c r="BB28" s="3" t="s">
        <v>2525</v>
      </c>
      <c r="BC28" s="3" t="s">
        <v>2525</v>
      </c>
      <c r="BD28" s="3" t="s">
        <v>2525</v>
      </c>
      <c r="BE28" s="3" t="s">
        <v>2525</v>
      </c>
      <c r="BF28" s="3" t="s">
        <v>2525</v>
      </c>
      <c r="BG28" s="3" t="s">
        <v>2525</v>
      </c>
      <c r="BH28" s="3" t="s">
        <v>2525</v>
      </c>
      <c r="BI28" s="3" t="s">
        <v>2525</v>
      </c>
      <c r="BJ28" s="3" t="s">
        <v>2525</v>
      </c>
      <c r="BK28" s="3" t="s">
        <v>86</v>
      </c>
      <c r="BL28" s="3" t="s">
        <v>2525</v>
      </c>
      <c r="BN28" s="3" t="s">
        <v>137</v>
      </c>
      <c r="BO28" s="3" t="s">
        <v>137</v>
      </c>
    </row>
    <row r="29">
      <c r="A29" s="3" t="s">
        <v>381</v>
      </c>
      <c r="B29" s="3" t="s">
        <v>382</v>
      </c>
      <c r="C29" s="3" t="s">
        <v>92</v>
      </c>
      <c r="D29" s="3" t="s">
        <v>383</v>
      </c>
      <c r="I29" s="3">
        <v>21.0</v>
      </c>
      <c r="J29" s="3" t="s">
        <v>171</v>
      </c>
      <c r="K29" s="3" t="s">
        <v>72</v>
      </c>
      <c r="L29" s="3" t="s">
        <v>2525</v>
      </c>
      <c r="M29" s="3" t="s">
        <v>235</v>
      </c>
      <c r="P29" s="3" t="s">
        <v>75</v>
      </c>
      <c r="Q29" s="32" t="s">
        <v>381</v>
      </c>
      <c r="R29" s="32" t="s">
        <v>345</v>
      </c>
      <c r="S29" s="32"/>
      <c r="T29" s="32"/>
      <c r="Y29" s="3" t="s">
        <v>78</v>
      </c>
      <c r="Z29" s="3" t="s">
        <v>384</v>
      </c>
      <c r="AA29" s="3" t="s">
        <v>385</v>
      </c>
      <c r="AB29" s="3" t="s">
        <v>386</v>
      </c>
      <c r="AC29" s="3" t="s">
        <v>387</v>
      </c>
      <c r="AE29" s="3" t="s">
        <v>83</v>
      </c>
      <c r="AF29" s="3" t="s">
        <v>2525</v>
      </c>
      <c r="AG29" s="3" t="s">
        <v>2525</v>
      </c>
      <c r="AH29" s="3" t="s">
        <v>2525</v>
      </c>
      <c r="AI29" s="3" t="s">
        <v>2525</v>
      </c>
      <c r="AJ29" s="3" t="s">
        <v>2525</v>
      </c>
      <c r="AK29" s="3" t="s">
        <v>2525</v>
      </c>
      <c r="AL29" s="3" t="s">
        <v>2525</v>
      </c>
      <c r="AM29" s="3" t="s">
        <v>2525</v>
      </c>
      <c r="AN29" s="3" t="s">
        <v>2525</v>
      </c>
      <c r="AO29" s="3" t="s">
        <v>2525</v>
      </c>
      <c r="AP29" s="3" t="s">
        <v>2525</v>
      </c>
      <c r="AR29" s="3" t="s">
        <v>84</v>
      </c>
      <c r="AS29" s="3" t="s">
        <v>2525</v>
      </c>
      <c r="AT29" s="3" t="s">
        <v>2525</v>
      </c>
      <c r="AU29" s="3" t="s">
        <v>2525</v>
      </c>
      <c r="AV29" s="3" t="s">
        <v>2525</v>
      </c>
      <c r="AW29" s="3" t="s">
        <v>2525</v>
      </c>
      <c r="AX29" s="3" t="s">
        <v>129</v>
      </c>
      <c r="AY29" s="3" t="s">
        <v>2525</v>
      </c>
      <c r="AZ29" s="3" t="s">
        <v>2525</v>
      </c>
      <c r="BA29" s="3" t="s">
        <v>2525</v>
      </c>
      <c r="BB29" s="3" t="s">
        <v>2525</v>
      </c>
      <c r="BC29" s="3" t="s">
        <v>2525</v>
      </c>
      <c r="BD29" s="3" t="s">
        <v>2525</v>
      </c>
      <c r="BE29" s="3" t="s">
        <v>2525</v>
      </c>
      <c r="BF29" s="3" t="s">
        <v>129</v>
      </c>
      <c r="BG29" s="3" t="s">
        <v>2525</v>
      </c>
      <c r="BH29" s="3" t="s">
        <v>2525</v>
      </c>
      <c r="BI29" s="3" t="s">
        <v>2525</v>
      </c>
      <c r="BJ29" s="3" t="s">
        <v>2525</v>
      </c>
      <c r="BL29" s="3" t="s">
        <v>2525</v>
      </c>
      <c r="BN29" s="3" t="s">
        <v>351</v>
      </c>
      <c r="BO29" s="3" t="s">
        <v>388</v>
      </c>
    </row>
    <row r="30">
      <c r="A30" s="3" t="s">
        <v>390</v>
      </c>
      <c r="B30" s="3" t="s">
        <v>391</v>
      </c>
      <c r="C30" s="3" t="s">
        <v>70</v>
      </c>
      <c r="D30" s="3" t="s">
        <v>392</v>
      </c>
      <c r="I30" s="3">
        <v>15.0</v>
      </c>
      <c r="J30" s="3" t="s">
        <v>71</v>
      </c>
      <c r="K30" s="3" t="s">
        <v>72</v>
      </c>
      <c r="L30" s="3" t="s">
        <v>73</v>
      </c>
      <c r="M30" s="3" t="s">
        <v>191</v>
      </c>
      <c r="N30" s="3">
        <v>-5.9459459459459465</v>
      </c>
      <c r="P30" s="3" t="s">
        <v>75</v>
      </c>
      <c r="Q30" s="32" t="s">
        <v>390</v>
      </c>
      <c r="R30" s="32" t="s">
        <v>393</v>
      </c>
      <c r="S30" s="32"/>
      <c r="T30" s="32"/>
      <c r="X30" s="3" t="s">
        <v>77</v>
      </c>
      <c r="Y30" s="3" t="s">
        <v>78</v>
      </c>
      <c r="Z30" s="3" t="s">
        <v>394</v>
      </c>
      <c r="AA30" s="3" t="s">
        <v>395</v>
      </c>
      <c r="AB30" s="3" t="s">
        <v>396</v>
      </c>
      <c r="AC30" s="3" t="s">
        <v>397</v>
      </c>
      <c r="AE30" s="3" t="s">
        <v>83</v>
      </c>
      <c r="AF30" s="3" t="s">
        <v>85</v>
      </c>
      <c r="AG30" s="3" t="s">
        <v>85</v>
      </c>
      <c r="AH30" s="3" t="s">
        <v>2525</v>
      </c>
      <c r="AI30" s="3" t="s">
        <v>2525</v>
      </c>
      <c r="AJ30" s="3" t="s">
        <v>2525</v>
      </c>
      <c r="AK30" s="3" t="s">
        <v>2525</v>
      </c>
      <c r="AL30" s="3" t="s">
        <v>2525</v>
      </c>
      <c r="AM30" s="3" t="s">
        <v>2525</v>
      </c>
      <c r="AN30" s="3" t="s">
        <v>2525</v>
      </c>
      <c r="AO30" s="3" t="s">
        <v>85</v>
      </c>
      <c r="AP30" s="3" t="s">
        <v>2525</v>
      </c>
      <c r="AR30" s="3" t="s">
        <v>85</v>
      </c>
      <c r="AS30" s="3" t="s">
        <v>85</v>
      </c>
      <c r="AT30" s="3" t="s">
        <v>85</v>
      </c>
      <c r="AU30" s="3" t="s">
        <v>85</v>
      </c>
      <c r="AV30" s="3" t="s">
        <v>85</v>
      </c>
      <c r="AW30" s="3" t="s">
        <v>85</v>
      </c>
      <c r="AX30" s="3" t="s">
        <v>2525</v>
      </c>
      <c r="AY30" s="3" t="s">
        <v>84</v>
      </c>
      <c r="AZ30" s="3" t="s">
        <v>2525</v>
      </c>
      <c r="BA30" s="3" t="s">
        <v>2525</v>
      </c>
      <c r="BB30" s="3" t="s">
        <v>2525</v>
      </c>
      <c r="BC30" s="3" t="s">
        <v>2525</v>
      </c>
      <c r="BD30" s="3" t="s">
        <v>84</v>
      </c>
      <c r="BE30" s="3" t="s">
        <v>2525</v>
      </c>
      <c r="BF30" s="3" t="s">
        <v>2525</v>
      </c>
      <c r="BG30" s="3" t="s">
        <v>2525</v>
      </c>
      <c r="BH30" s="3" t="s">
        <v>2525</v>
      </c>
      <c r="BI30" s="3" t="s">
        <v>2525</v>
      </c>
      <c r="BJ30" s="3" t="s">
        <v>2525</v>
      </c>
      <c r="BK30" s="3" t="s">
        <v>86</v>
      </c>
      <c r="BL30" s="3" t="s">
        <v>86</v>
      </c>
      <c r="BN30" s="3" t="s">
        <v>398</v>
      </c>
      <c r="BO30" s="3" t="s">
        <v>399</v>
      </c>
    </row>
    <row r="31">
      <c r="A31" s="3" t="s">
        <v>401</v>
      </c>
      <c r="B31" s="3" t="s">
        <v>402</v>
      </c>
      <c r="C31" s="3" t="s">
        <v>92</v>
      </c>
      <c r="D31" s="3" t="s">
        <v>403</v>
      </c>
      <c r="I31" s="3">
        <v>35.0</v>
      </c>
      <c r="J31" s="3" t="s">
        <v>171</v>
      </c>
      <c r="K31" s="3" t="s">
        <v>72</v>
      </c>
      <c r="L31" s="3" t="s">
        <v>73</v>
      </c>
      <c r="M31" s="3" t="s">
        <v>404</v>
      </c>
      <c r="N31" s="3">
        <v>-4.926908500270709</v>
      </c>
      <c r="P31" s="3" t="s">
        <v>136</v>
      </c>
      <c r="Q31" s="32" t="s">
        <v>401</v>
      </c>
      <c r="R31" s="32" t="s">
        <v>137</v>
      </c>
      <c r="S31" s="32"/>
      <c r="T31" s="32"/>
      <c r="X31" s="3" t="s">
        <v>77</v>
      </c>
      <c r="Y31" s="3" t="s">
        <v>78</v>
      </c>
      <c r="Z31" s="3" t="s">
        <v>405</v>
      </c>
      <c r="AA31" s="3" t="s">
        <v>406</v>
      </c>
      <c r="AB31" s="3" t="s">
        <v>407</v>
      </c>
      <c r="AC31" s="3" t="s">
        <v>408</v>
      </c>
      <c r="AD31" s="3" t="s">
        <v>409</v>
      </c>
      <c r="AE31" s="3" t="s">
        <v>83</v>
      </c>
      <c r="AF31" s="3" t="s">
        <v>129</v>
      </c>
      <c r="AG31" s="3" t="s">
        <v>84</v>
      </c>
      <c r="AH31" s="3" t="s">
        <v>2525</v>
      </c>
      <c r="AI31" s="3" t="s">
        <v>2525</v>
      </c>
      <c r="AJ31" s="3" t="s">
        <v>85</v>
      </c>
      <c r="AK31" s="3" t="s">
        <v>2525</v>
      </c>
      <c r="AL31" s="3" t="s">
        <v>2525</v>
      </c>
      <c r="AM31" s="3" t="s">
        <v>2525</v>
      </c>
      <c r="AN31" s="3" t="s">
        <v>2525</v>
      </c>
      <c r="AO31" s="3" t="s">
        <v>2525</v>
      </c>
      <c r="AP31" s="3" t="s">
        <v>2525</v>
      </c>
      <c r="AR31" s="3" t="s">
        <v>2525</v>
      </c>
      <c r="AS31" s="3" t="s">
        <v>85</v>
      </c>
      <c r="AT31" s="3" t="s">
        <v>2525</v>
      </c>
      <c r="AU31" s="3" t="s">
        <v>2525</v>
      </c>
      <c r="AV31" s="3" t="s">
        <v>2525</v>
      </c>
      <c r="AW31" s="3" t="s">
        <v>2525</v>
      </c>
      <c r="AX31" s="3" t="s">
        <v>2525</v>
      </c>
      <c r="AY31" s="3" t="s">
        <v>2525</v>
      </c>
      <c r="AZ31" s="3" t="s">
        <v>2525</v>
      </c>
      <c r="BA31" s="3" t="s">
        <v>85</v>
      </c>
      <c r="BB31" s="3" t="s">
        <v>2525</v>
      </c>
      <c r="BC31" s="3" t="s">
        <v>2525</v>
      </c>
      <c r="BD31" s="3" t="s">
        <v>85</v>
      </c>
      <c r="BE31" s="3" t="s">
        <v>2525</v>
      </c>
      <c r="BF31" s="3" t="s">
        <v>2525</v>
      </c>
      <c r="BG31" s="3" t="s">
        <v>2525</v>
      </c>
      <c r="BH31" s="3" t="s">
        <v>2525</v>
      </c>
      <c r="BI31" s="3" t="s">
        <v>84</v>
      </c>
      <c r="BJ31" s="3" t="s">
        <v>2525</v>
      </c>
      <c r="BK31" s="3" t="s">
        <v>86</v>
      </c>
      <c r="BL31" s="3" t="s">
        <v>2525</v>
      </c>
      <c r="BN31" s="3" t="s">
        <v>137</v>
      </c>
      <c r="BO31" s="3" t="s">
        <v>137</v>
      </c>
    </row>
    <row r="32">
      <c r="A32" s="3" t="s">
        <v>411</v>
      </c>
      <c r="B32" s="3" t="s">
        <v>412</v>
      </c>
      <c r="C32" s="3" t="s">
        <v>92</v>
      </c>
      <c r="D32" s="3" t="s">
        <v>413</v>
      </c>
      <c r="I32" s="3">
        <v>16.0</v>
      </c>
      <c r="J32" s="3" t="s">
        <v>171</v>
      </c>
      <c r="K32" s="3" t="s">
        <v>72</v>
      </c>
      <c r="L32" s="3" t="s">
        <v>2525</v>
      </c>
      <c r="M32" s="3" t="s">
        <v>172</v>
      </c>
      <c r="N32" s="3">
        <v>-25.783132530120483</v>
      </c>
      <c r="P32" s="3" t="s">
        <v>110</v>
      </c>
      <c r="Q32" s="32" t="s">
        <v>411</v>
      </c>
      <c r="R32" s="32" t="s">
        <v>414</v>
      </c>
      <c r="S32" s="32"/>
      <c r="T32" s="32"/>
      <c r="X32" s="3" t="s">
        <v>77</v>
      </c>
      <c r="Y32" s="3" t="s">
        <v>78</v>
      </c>
      <c r="Z32" s="3" t="s">
        <v>415</v>
      </c>
      <c r="AA32" s="3" t="s">
        <v>416</v>
      </c>
      <c r="AB32" s="3" t="s">
        <v>417</v>
      </c>
      <c r="AC32" s="3" t="s">
        <v>418</v>
      </c>
      <c r="AD32" s="3" t="s">
        <v>419</v>
      </c>
      <c r="AE32" s="3" t="s">
        <v>83</v>
      </c>
      <c r="AF32" s="3" t="s">
        <v>2525</v>
      </c>
      <c r="AG32" s="3" t="s">
        <v>2525</v>
      </c>
      <c r="AH32" s="3" t="s">
        <v>2525</v>
      </c>
      <c r="AI32" s="3" t="s">
        <v>85</v>
      </c>
      <c r="AJ32" s="3" t="s">
        <v>2525</v>
      </c>
      <c r="AK32" s="3" t="s">
        <v>2525</v>
      </c>
      <c r="AL32" s="3" t="s">
        <v>2525</v>
      </c>
      <c r="AM32" s="3" t="s">
        <v>2525</v>
      </c>
      <c r="AN32" s="3" t="s">
        <v>2525</v>
      </c>
      <c r="AO32" s="3" t="s">
        <v>2525</v>
      </c>
      <c r="AP32" s="3" t="s">
        <v>2525</v>
      </c>
      <c r="AR32" s="3" t="s">
        <v>2525</v>
      </c>
      <c r="AS32" s="3" t="s">
        <v>2525</v>
      </c>
      <c r="AT32" s="3" t="s">
        <v>2525</v>
      </c>
      <c r="AU32" s="3" t="s">
        <v>2525</v>
      </c>
      <c r="AV32" s="3" t="s">
        <v>2525</v>
      </c>
      <c r="AW32" s="3" t="s">
        <v>2525</v>
      </c>
      <c r="AX32" s="3" t="s">
        <v>2525</v>
      </c>
      <c r="AY32" s="3" t="s">
        <v>2525</v>
      </c>
      <c r="AZ32" s="3" t="s">
        <v>2525</v>
      </c>
      <c r="BA32" s="3" t="s">
        <v>2525</v>
      </c>
      <c r="BB32" s="3" t="s">
        <v>2525</v>
      </c>
      <c r="BC32" s="3" t="s">
        <v>2525</v>
      </c>
      <c r="BD32" s="3" t="s">
        <v>2525</v>
      </c>
      <c r="BE32" s="3" t="s">
        <v>2525</v>
      </c>
      <c r="BF32" s="3" t="s">
        <v>129</v>
      </c>
      <c r="BG32" s="3" t="s">
        <v>2525</v>
      </c>
      <c r="BH32" s="3" t="s">
        <v>2525</v>
      </c>
      <c r="BI32" s="3" t="s">
        <v>2525</v>
      </c>
      <c r="BJ32" s="3" t="s">
        <v>2525</v>
      </c>
      <c r="BL32" s="3" t="s">
        <v>2525</v>
      </c>
      <c r="BN32" s="3" t="s">
        <v>420</v>
      </c>
      <c r="BO32" s="3" t="s">
        <v>421</v>
      </c>
    </row>
    <row r="33">
      <c r="A33" s="3" t="s">
        <v>423</v>
      </c>
      <c r="B33" s="3" t="s">
        <v>424</v>
      </c>
      <c r="C33" s="3" t="s">
        <v>70</v>
      </c>
      <c r="D33" s="3" t="s">
        <v>425</v>
      </c>
      <c r="I33" s="3">
        <v>15.0</v>
      </c>
      <c r="J33" s="3" t="s">
        <v>71</v>
      </c>
      <c r="K33" s="3" t="s">
        <v>72</v>
      </c>
      <c r="L33" s="3" t="s">
        <v>73</v>
      </c>
      <c r="M33" s="3" t="s">
        <v>74</v>
      </c>
      <c r="N33" s="3">
        <v>-9.133489461358314</v>
      </c>
      <c r="P33" s="3" t="s">
        <v>75</v>
      </c>
      <c r="Q33" s="32" t="s">
        <v>423</v>
      </c>
      <c r="R33" s="32" t="s">
        <v>311</v>
      </c>
      <c r="S33" s="32"/>
      <c r="T33" s="32"/>
      <c r="X33" s="3" t="s">
        <v>77</v>
      </c>
      <c r="Y33" s="3" t="s">
        <v>78</v>
      </c>
      <c r="Z33" s="3" t="s">
        <v>405</v>
      </c>
      <c r="AA33" s="3" t="s">
        <v>426</v>
      </c>
      <c r="AB33" s="3" t="s">
        <v>427</v>
      </c>
      <c r="AC33" s="3" t="s">
        <v>428</v>
      </c>
      <c r="AE33" s="3" t="s">
        <v>83</v>
      </c>
      <c r="AF33" s="3" t="s">
        <v>85</v>
      </c>
      <c r="AG33" s="3" t="s">
        <v>85</v>
      </c>
      <c r="AH33" s="3" t="s">
        <v>2525</v>
      </c>
      <c r="AI33" s="3" t="s">
        <v>2525</v>
      </c>
      <c r="AJ33" s="3" t="s">
        <v>2525</v>
      </c>
      <c r="AK33" s="3" t="s">
        <v>85</v>
      </c>
      <c r="AL33" s="3" t="s">
        <v>2525</v>
      </c>
      <c r="AM33" s="3" t="s">
        <v>2525</v>
      </c>
      <c r="AN33" s="3" t="s">
        <v>85</v>
      </c>
      <c r="AO33" s="3" t="s">
        <v>2525</v>
      </c>
      <c r="AP33" s="3" t="s">
        <v>2525</v>
      </c>
      <c r="AR33" s="3" t="s">
        <v>2525</v>
      </c>
      <c r="AS33" s="3" t="s">
        <v>2525</v>
      </c>
      <c r="AT33" s="3" t="s">
        <v>2525</v>
      </c>
      <c r="AU33" s="3" t="s">
        <v>85</v>
      </c>
      <c r="AV33" s="3" t="s">
        <v>2525</v>
      </c>
      <c r="AW33" s="3" t="s">
        <v>2525</v>
      </c>
      <c r="AX33" s="3" t="s">
        <v>2525</v>
      </c>
      <c r="AY33" s="3" t="s">
        <v>2525</v>
      </c>
      <c r="AZ33" s="3" t="s">
        <v>2525</v>
      </c>
      <c r="BA33" s="3" t="s">
        <v>85</v>
      </c>
      <c r="BB33" s="3" t="s">
        <v>2525</v>
      </c>
      <c r="BC33" s="3" t="s">
        <v>2525</v>
      </c>
      <c r="BD33" s="3" t="s">
        <v>2525</v>
      </c>
      <c r="BE33" s="3" t="s">
        <v>2525</v>
      </c>
      <c r="BF33" s="3" t="s">
        <v>2525</v>
      </c>
      <c r="BG33" s="3" t="s">
        <v>2525</v>
      </c>
      <c r="BH33" s="3" t="s">
        <v>2525</v>
      </c>
      <c r="BI33" s="3" t="s">
        <v>2525</v>
      </c>
      <c r="BJ33" s="3" t="s">
        <v>2525</v>
      </c>
      <c r="BK33" s="3" t="s">
        <v>86</v>
      </c>
      <c r="BL33" s="3" t="s">
        <v>86</v>
      </c>
      <c r="BN33" s="3" t="s">
        <v>311</v>
      </c>
      <c r="BO33" s="3" t="s">
        <v>311</v>
      </c>
    </row>
    <row r="34">
      <c r="A34" s="3" t="s">
        <v>430</v>
      </c>
      <c r="B34" s="3" t="s">
        <v>431</v>
      </c>
      <c r="C34" s="3" t="s">
        <v>92</v>
      </c>
      <c r="D34" s="3" t="s">
        <v>432</v>
      </c>
      <c r="I34" s="3">
        <v>35.0</v>
      </c>
      <c r="J34" s="3" t="s">
        <v>123</v>
      </c>
      <c r="K34" s="3" t="s">
        <v>72</v>
      </c>
      <c r="L34" s="3" t="s">
        <v>2525</v>
      </c>
      <c r="M34" s="3" t="s">
        <v>285</v>
      </c>
      <c r="N34" s="3">
        <v>15.249266862170089</v>
      </c>
      <c r="P34" s="3" t="s">
        <v>149</v>
      </c>
      <c r="Q34" s="32" t="s">
        <v>430</v>
      </c>
      <c r="R34" s="32" t="s">
        <v>433</v>
      </c>
      <c r="S34" s="32"/>
      <c r="T34" s="32"/>
      <c r="W34" s="3" t="s">
        <v>287</v>
      </c>
      <c r="X34" s="3" t="s">
        <v>77</v>
      </c>
      <c r="Y34" s="3" t="s">
        <v>78</v>
      </c>
      <c r="Z34" s="3" t="s">
        <v>434</v>
      </c>
      <c r="AA34" s="3" t="s">
        <v>435</v>
      </c>
      <c r="AB34" s="3" t="s">
        <v>436</v>
      </c>
      <c r="AC34" s="3" t="s">
        <v>437</v>
      </c>
      <c r="AE34" s="3" t="s">
        <v>83</v>
      </c>
      <c r="AF34" s="3" t="s">
        <v>84</v>
      </c>
      <c r="AG34" s="3" t="s">
        <v>85</v>
      </c>
      <c r="AH34" s="3" t="s">
        <v>2525</v>
      </c>
      <c r="AI34" s="3" t="s">
        <v>2525</v>
      </c>
      <c r="AJ34" s="3" t="s">
        <v>2525</v>
      </c>
      <c r="AK34" s="3" t="s">
        <v>2525</v>
      </c>
      <c r="AL34" s="3" t="s">
        <v>2525</v>
      </c>
      <c r="AM34" s="3" t="s">
        <v>2525</v>
      </c>
      <c r="AN34" s="3" t="s">
        <v>2525</v>
      </c>
      <c r="AO34" s="3" t="s">
        <v>2525</v>
      </c>
      <c r="AP34" s="3" t="s">
        <v>129</v>
      </c>
      <c r="AR34" s="3" t="s">
        <v>2525</v>
      </c>
      <c r="AS34" s="3" t="s">
        <v>2525</v>
      </c>
      <c r="AT34" s="3" t="s">
        <v>2525</v>
      </c>
      <c r="AU34" s="3" t="s">
        <v>2525</v>
      </c>
      <c r="AV34" s="3" t="s">
        <v>2525</v>
      </c>
      <c r="AW34" s="3" t="s">
        <v>2525</v>
      </c>
      <c r="AX34" s="3" t="s">
        <v>2525</v>
      </c>
      <c r="AY34" s="3" t="s">
        <v>2525</v>
      </c>
      <c r="AZ34" s="3" t="s">
        <v>2525</v>
      </c>
      <c r="BA34" s="3" t="s">
        <v>129</v>
      </c>
      <c r="BB34" s="3" t="s">
        <v>2525</v>
      </c>
      <c r="BC34" s="3" t="s">
        <v>2525</v>
      </c>
      <c r="BD34" s="3" t="s">
        <v>2525</v>
      </c>
      <c r="BE34" s="3" t="s">
        <v>2525</v>
      </c>
      <c r="BF34" s="3" t="s">
        <v>2525</v>
      </c>
      <c r="BG34" s="3" t="s">
        <v>2525</v>
      </c>
      <c r="BH34" s="3" t="s">
        <v>2525</v>
      </c>
      <c r="BI34" s="3" t="s">
        <v>2525</v>
      </c>
      <c r="BJ34" s="3" t="s">
        <v>84</v>
      </c>
      <c r="BK34" s="3" t="s">
        <v>86</v>
      </c>
      <c r="BL34" s="3" t="s">
        <v>2525</v>
      </c>
      <c r="BN34" s="3" t="s">
        <v>286</v>
      </c>
      <c r="BO34" s="3" t="s">
        <v>286</v>
      </c>
    </row>
    <row r="35">
      <c r="A35" s="3" t="s">
        <v>439</v>
      </c>
      <c r="B35" s="3" t="s">
        <v>440</v>
      </c>
      <c r="C35" s="3" t="s">
        <v>92</v>
      </c>
      <c r="D35" s="3" t="s">
        <v>441</v>
      </c>
      <c r="I35" s="3">
        <v>50.0</v>
      </c>
      <c r="J35" s="3" t="s">
        <v>71</v>
      </c>
      <c r="K35" s="3" t="s">
        <v>72</v>
      </c>
      <c r="L35" s="3" t="s">
        <v>2525</v>
      </c>
      <c r="M35" s="3" t="s">
        <v>442</v>
      </c>
      <c r="N35" s="3">
        <v>5.741626794258373</v>
      </c>
      <c r="P35" s="3" t="s">
        <v>149</v>
      </c>
      <c r="Q35" s="32" t="s">
        <v>439</v>
      </c>
      <c r="R35" s="32" t="s">
        <v>137</v>
      </c>
      <c r="S35" s="32"/>
      <c r="T35" s="32"/>
      <c r="W35" s="3" t="s">
        <v>443</v>
      </c>
      <c r="X35" s="3" t="s">
        <v>77</v>
      </c>
      <c r="Y35" s="3" t="s">
        <v>138</v>
      </c>
      <c r="Z35" s="3" t="s">
        <v>444</v>
      </c>
      <c r="AA35" s="3" t="s">
        <v>445</v>
      </c>
      <c r="AB35" s="3" t="s">
        <v>446</v>
      </c>
      <c r="AC35" s="3" t="s">
        <v>447</v>
      </c>
      <c r="AE35" s="3" t="s">
        <v>83</v>
      </c>
      <c r="AF35" s="3" t="s">
        <v>2525</v>
      </c>
      <c r="AG35" s="3" t="s">
        <v>2525</v>
      </c>
      <c r="AH35" s="3" t="s">
        <v>2525</v>
      </c>
      <c r="AI35" s="3" t="s">
        <v>2525</v>
      </c>
      <c r="AJ35" s="3" t="s">
        <v>2525</v>
      </c>
      <c r="AK35" s="3" t="s">
        <v>2525</v>
      </c>
      <c r="AL35" s="3" t="s">
        <v>2525</v>
      </c>
      <c r="AM35" s="3" t="s">
        <v>2525</v>
      </c>
      <c r="AN35" s="3" t="s">
        <v>2525</v>
      </c>
      <c r="AO35" s="3" t="s">
        <v>2525</v>
      </c>
      <c r="AP35" s="3" t="s">
        <v>2525</v>
      </c>
      <c r="AR35" s="3" t="s">
        <v>85</v>
      </c>
      <c r="AS35" s="3" t="s">
        <v>2525</v>
      </c>
      <c r="AT35" s="3" t="s">
        <v>2525</v>
      </c>
      <c r="AU35" s="3" t="s">
        <v>2525</v>
      </c>
      <c r="AV35" s="3" t="s">
        <v>2525</v>
      </c>
      <c r="AW35" s="3" t="s">
        <v>2525</v>
      </c>
      <c r="AX35" s="3" t="s">
        <v>2525</v>
      </c>
      <c r="AY35" s="3" t="s">
        <v>2525</v>
      </c>
      <c r="AZ35" s="3" t="s">
        <v>2525</v>
      </c>
      <c r="BA35" s="3" t="s">
        <v>2525</v>
      </c>
      <c r="BB35" s="3" t="s">
        <v>2525</v>
      </c>
      <c r="BC35" s="3" t="s">
        <v>2525</v>
      </c>
      <c r="BD35" s="3" t="s">
        <v>2525</v>
      </c>
      <c r="BE35" s="3" t="s">
        <v>2525</v>
      </c>
      <c r="BF35" s="3" t="s">
        <v>2525</v>
      </c>
      <c r="BG35" s="3" t="s">
        <v>2525</v>
      </c>
      <c r="BH35" s="3" t="s">
        <v>2525</v>
      </c>
      <c r="BI35" s="3" t="s">
        <v>85</v>
      </c>
      <c r="BJ35" s="3" t="s">
        <v>2525</v>
      </c>
      <c r="BK35" s="3" t="s">
        <v>86</v>
      </c>
      <c r="BL35" s="3" t="s">
        <v>2525</v>
      </c>
      <c r="BN35" s="3" t="s">
        <v>137</v>
      </c>
      <c r="BO35" s="3" t="s">
        <v>137</v>
      </c>
    </row>
    <row r="36">
      <c r="A36" s="3" t="s">
        <v>449</v>
      </c>
      <c r="B36" s="3" t="s">
        <v>450</v>
      </c>
      <c r="C36" s="3" t="s">
        <v>92</v>
      </c>
      <c r="D36" s="3" t="s">
        <v>451</v>
      </c>
      <c r="I36" s="3">
        <v>14.0</v>
      </c>
      <c r="J36" s="3" t="s">
        <v>452</v>
      </c>
      <c r="K36" s="3" t="s">
        <v>72</v>
      </c>
      <c r="L36" s="3" t="s">
        <v>73</v>
      </c>
      <c r="M36" s="3" t="s">
        <v>453</v>
      </c>
      <c r="N36" s="3">
        <v>-14.55223880597015</v>
      </c>
      <c r="P36" s="3" t="s">
        <v>75</v>
      </c>
      <c r="Q36" s="32" t="s">
        <v>449</v>
      </c>
      <c r="R36" s="32" t="s">
        <v>454</v>
      </c>
      <c r="S36" s="32"/>
      <c r="T36" s="32"/>
      <c r="W36" s="3" t="s">
        <v>455</v>
      </c>
      <c r="X36" s="3" t="s">
        <v>77</v>
      </c>
      <c r="Y36" s="3" t="s">
        <v>78</v>
      </c>
      <c r="Z36" s="3" t="s">
        <v>456</v>
      </c>
      <c r="AA36" s="3" t="s">
        <v>457</v>
      </c>
      <c r="AB36" s="3" t="s">
        <v>458</v>
      </c>
      <c r="AC36" s="3" t="s">
        <v>459</v>
      </c>
      <c r="AE36" s="3" t="s">
        <v>83</v>
      </c>
      <c r="AF36" s="3" t="s">
        <v>84</v>
      </c>
      <c r="AG36" s="3" t="s">
        <v>84</v>
      </c>
      <c r="AH36" s="3" t="s">
        <v>2525</v>
      </c>
      <c r="AI36" s="3" t="s">
        <v>2525</v>
      </c>
      <c r="AJ36" s="3" t="s">
        <v>84</v>
      </c>
      <c r="AK36" s="3" t="s">
        <v>2525</v>
      </c>
      <c r="AL36" s="3" t="s">
        <v>2525</v>
      </c>
      <c r="AM36" s="3" t="s">
        <v>84</v>
      </c>
      <c r="AN36" s="3" t="s">
        <v>84</v>
      </c>
      <c r="AO36" s="3" t="s">
        <v>2525</v>
      </c>
      <c r="AP36" s="3" t="s">
        <v>84</v>
      </c>
      <c r="AR36" s="3" t="s">
        <v>2525</v>
      </c>
      <c r="AS36" s="3" t="s">
        <v>85</v>
      </c>
      <c r="AT36" s="3" t="s">
        <v>2525</v>
      </c>
      <c r="AU36" s="3" t="s">
        <v>85</v>
      </c>
      <c r="AV36" s="3" t="s">
        <v>2525</v>
      </c>
      <c r="AW36" s="3" t="s">
        <v>2525</v>
      </c>
      <c r="AX36" s="3" t="s">
        <v>2525</v>
      </c>
      <c r="AY36" s="3" t="s">
        <v>2525</v>
      </c>
      <c r="AZ36" s="3" t="s">
        <v>84</v>
      </c>
      <c r="BA36" s="3" t="s">
        <v>2525</v>
      </c>
      <c r="BB36" s="3" t="s">
        <v>2525</v>
      </c>
      <c r="BC36" s="3" t="s">
        <v>2525</v>
      </c>
      <c r="BD36" s="3" t="s">
        <v>84</v>
      </c>
      <c r="BE36" s="3" t="s">
        <v>2525</v>
      </c>
      <c r="BF36" s="3" t="s">
        <v>2525</v>
      </c>
      <c r="BG36" s="3" t="s">
        <v>2525</v>
      </c>
      <c r="BH36" s="3" t="s">
        <v>2525</v>
      </c>
      <c r="BI36" s="3" t="s">
        <v>2525</v>
      </c>
      <c r="BJ36" s="3" t="s">
        <v>2525</v>
      </c>
      <c r="BK36" s="3" t="s">
        <v>86</v>
      </c>
      <c r="BL36" s="3" t="s">
        <v>2525</v>
      </c>
      <c r="BN36" s="3" t="s">
        <v>460</v>
      </c>
      <c r="BO36" s="3" t="s">
        <v>461</v>
      </c>
    </row>
    <row r="37">
      <c r="A37" s="3" t="s">
        <v>2526</v>
      </c>
      <c r="B37" s="3" t="s">
        <v>464</v>
      </c>
      <c r="C37" s="3" t="s">
        <v>70</v>
      </c>
      <c r="D37" s="3" t="s">
        <v>465</v>
      </c>
      <c r="I37" s="3">
        <v>15.0</v>
      </c>
      <c r="J37" s="3" t="s">
        <v>71</v>
      </c>
      <c r="K37" s="3" t="s">
        <v>72</v>
      </c>
      <c r="L37" s="3" t="s">
        <v>73</v>
      </c>
      <c r="M37" s="3" t="s">
        <v>74</v>
      </c>
      <c r="N37" s="3">
        <v>-12.903225806451612</v>
      </c>
      <c r="P37" s="3" t="s">
        <v>75</v>
      </c>
      <c r="Q37" s="32" t="s">
        <v>2526</v>
      </c>
      <c r="R37" s="32" t="s">
        <v>76</v>
      </c>
      <c r="S37" s="32"/>
      <c r="T37" s="32"/>
      <c r="W37" s="3" t="s">
        <v>466</v>
      </c>
      <c r="X37" s="3" t="s">
        <v>77</v>
      </c>
      <c r="Y37" s="3" t="s">
        <v>78</v>
      </c>
      <c r="Z37" s="3" t="s">
        <v>467</v>
      </c>
      <c r="AA37" s="3" t="s">
        <v>468</v>
      </c>
      <c r="AB37" s="3" t="s">
        <v>469</v>
      </c>
      <c r="AC37" s="3" t="s">
        <v>470</v>
      </c>
      <c r="AE37" s="3" t="s">
        <v>83</v>
      </c>
      <c r="AF37" s="3" t="s">
        <v>84</v>
      </c>
      <c r="AG37" s="3" t="s">
        <v>84</v>
      </c>
      <c r="AH37" s="3" t="s">
        <v>2525</v>
      </c>
      <c r="AI37" s="3" t="s">
        <v>2525</v>
      </c>
      <c r="AJ37" s="3" t="s">
        <v>85</v>
      </c>
      <c r="AK37" s="3" t="s">
        <v>2525</v>
      </c>
      <c r="AL37" s="3" t="s">
        <v>2525</v>
      </c>
      <c r="AM37" s="3" t="s">
        <v>2525</v>
      </c>
      <c r="AN37" s="3" t="s">
        <v>84</v>
      </c>
      <c r="AO37" s="3" t="s">
        <v>2525</v>
      </c>
      <c r="AP37" s="3" t="s">
        <v>2525</v>
      </c>
      <c r="AR37" s="3" t="s">
        <v>2525</v>
      </c>
      <c r="AS37" s="3" t="s">
        <v>2525</v>
      </c>
      <c r="AT37" s="3" t="s">
        <v>2525</v>
      </c>
      <c r="AU37" s="3" t="s">
        <v>85</v>
      </c>
      <c r="AV37" s="3" t="s">
        <v>2525</v>
      </c>
      <c r="AW37" s="3" t="s">
        <v>2525</v>
      </c>
      <c r="AX37" s="3" t="s">
        <v>2525</v>
      </c>
      <c r="AY37" s="3" t="s">
        <v>2525</v>
      </c>
      <c r="AZ37" s="3" t="s">
        <v>2525</v>
      </c>
      <c r="BA37" s="3" t="s">
        <v>84</v>
      </c>
      <c r="BB37" s="3" t="s">
        <v>2525</v>
      </c>
      <c r="BC37" s="3" t="s">
        <v>2525</v>
      </c>
      <c r="BD37" s="3" t="s">
        <v>84</v>
      </c>
      <c r="BE37" s="3" t="s">
        <v>2525</v>
      </c>
      <c r="BF37" s="3" t="s">
        <v>2525</v>
      </c>
      <c r="BG37" s="3" t="s">
        <v>2525</v>
      </c>
      <c r="BH37" s="3" t="s">
        <v>2525</v>
      </c>
      <c r="BI37" s="3" t="s">
        <v>2525</v>
      </c>
      <c r="BJ37" s="3" t="s">
        <v>84</v>
      </c>
      <c r="BK37" s="3" t="s">
        <v>86</v>
      </c>
      <c r="BL37" s="3" t="s">
        <v>86</v>
      </c>
      <c r="BN37" s="3" t="s">
        <v>87</v>
      </c>
      <c r="BO37" s="3" t="s">
        <v>88</v>
      </c>
    </row>
    <row r="38">
      <c r="A38" s="3" t="s">
        <v>2527</v>
      </c>
      <c r="B38" s="3" t="s">
        <v>473</v>
      </c>
      <c r="C38" s="3" t="s">
        <v>70</v>
      </c>
      <c r="I38" s="3">
        <v>15.0</v>
      </c>
      <c r="J38" s="3" t="s">
        <v>71</v>
      </c>
      <c r="K38" s="3" t="s">
        <v>72</v>
      </c>
      <c r="L38" s="3" t="s">
        <v>73</v>
      </c>
      <c r="M38" s="3" t="s">
        <v>191</v>
      </c>
      <c r="P38" s="3" t="s">
        <v>75</v>
      </c>
      <c r="Q38" s="32" t="s">
        <v>2527</v>
      </c>
      <c r="R38" s="32" t="s">
        <v>474</v>
      </c>
      <c r="S38" s="32"/>
      <c r="T38" s="32"/>
      <c r="X38" s="3" t="s">
        <v>77</v>
      </c>
      <c r="Y38" s="3" t="s">
        <v>78</v>
      </c>
      <c r="Z38" s="3" t="s">
        <v>394</v>
      </c>
      <c r="AA38" s="3" t="s">
        <v>475</v>
      </c>
      <c r="AB38" s="3" t="s">
        <v>476</v>
      </c>
      <c r="AC38" s="3" t="s">
        <v>477</v>
      </c>
      <c r="AE38" s="3" t="s">
        <v>83</v>
      </c>
      <c r="AF38" s="3" t="s">
        <v>85</v>
      </c>
      <c r="AG38" s="3" t="s">
        <v>85</v>
      </c>
      <c r="AH38" s="3" t="s">
        <v>2525</v>
      </c>
      <c r="AI38" s="3" t="s">
        <v>2525</v>
      </c>
      <c r="AJ38" s="3" t="s">
        <v>2525</v>
      </c>
      <c r="AK38" s="3" t="s">
        <v>2525</v>
      </c>
      <c r="AL38" s="3" t="s">
        <v>85</v>
      </c>
      <c r="AM38" s="3" t="s">
        <v>2525</v>
      </c>
      <c r="AN38" s="3" t="s">
        <v>2525</v>
      </c>
      <c r="AO38" s="3" t="s">
        <v>85</v>
      </c>
      <c r="AP38" s="3" t="s">
        <v>2525</v>
      </c>
      <c r="AR38" s="3" t="s">
        <v>85</v>
      </c>
      <c r="AS38" s="3" t="s">
        <v>85</v>
      </c>
      <c r="AT38" s="3" t="s">
        <v>85</v>
      </c>
      <c r="AU38" s="3" t="s">
        <v>85</v>
      </c>
      <c r="AV38" s="3" t="s">
        <v>2525</v>
      </c>
      <c r="AW38" s="3" t="s">
        <v>85</v>
      </c>
      <c r="AX38" s="3" t="s">
        <v>2525</v>
      </c>
      <c r="AY38" s="3" t="s">
        <v>84</v>
      </c>
      <c r="AZ38" s="3" t="s">
        <v>2525</v>
      </c>
      <c r="BA38" s="3" t="s">
        <v>2525</v>
      </c>
      <c r="BB38" s="3" t="s">
        <v>2525</v>
      </c>
      <c r="BC38" s="3" t="s">
        <v>2525</v>
      </c>
      <c r="BD38" s="3" t="s">
        <v>85</v>
      </c>
      <c r="BE38" s="3" t="s">
        <v>2525</v>
      </c>
      <c r="BF38" s="3" t="s">
        <v>2525</v>
      </c>
      <c r="BG38" s="3" t="s">
        <v>2525</v>
      </c>
      <c r="BH38" s="3" t="s">
        <v>2525</v>
      </c>
      <c r="BI38" s="3" t="s">
        <v>2525</v>
      </c>
      <c r="BJ38" s="3" t="s">
        <v>2525</v>
      </c>
      <c r="BK38" s="3" t="s">
        <v>86</v>
      </c>
      <c r="BL38" s="3" t="s">
        <v>86</v>
      </c>
      <c r="BN38" s="3" t="s">
        <v>398</v>
      </c>
      <c r="BO38" s="3" t="s">
        <v>478</v>
      </c>
    </row>
    <row r="39">
      <c r="A39" s="3" t="s">
        <v>480</v>
      </c>
      <c r="B39" s="3" t="s">
        <v>481</v>
      </c>
      <c r="C39" s="3" t="s">
        <v>92</v>
      </c>
      <c r="D39" s="3" t="s">
        <v>315</v>
      </c>
      <c r="I39" s="3">
        <v>32.0</v>
      </c>
      <c r="J39" s="3" t="s">
        <v>482</v>
      </c>
      <c r="K39" s="3" t="s">
        <v>72</v>
      </c>
      <c r="L39" s="3" t="s">
        <v>48</v>
      </c>
      <c r="M39" s="3" t="s">
        <v>483</v>
      </c>
      <c r="N39" s="3">
        <v>-35.54216867469879</v>
      </c>
      <c r="P39" s="3" t="s">
        <v>149</v>
      </c>
      <c r="Q39" s="32" t="s">
        <v>480</v>
      </c>
      <c r="R39" s="32" t="s">
        <v>137</v>
      </c>
      <c r="S39" s="32"/>
      <c r="T39" s="32"/>
      <c r="W39" s="3" t="s">
        <v>316</v>
      </c>
      <c r="X39" s="3" t="s">
        <v>77</v>
      </c>
      <c r="Y39" s="3" t="s">
        <v>78</v>
      </c>
      <c r="Z39" s="3" t="s">
        <v>484</v>
      </c>
      <c r="AA39" s="3" t="s">
        <v>485</v>
      </c>
      <c r="AB39" s="3" t="s">
        <v>486</v>
      </c>
      <c r="AC39" s="3" t="s">
        <v>487</v>
      </c>
      <c r="AE39" s="3" t="s">
        <v>83</v>
      </c>
      <c r="AF39" s="3" t="s">
        <v>2525</v>
      </c>
      <c r="AG39" s="3" t="s">
        <v>2525</v>
      </c>
      <c r="AH39" s="3" t="s">
        <v>2525</v>
      </c>
      <c r="AI39" s="3" t="s">
        <v>2525</v>
      </c>
      <c r="AJ39" s="3" t="s">
        <v>2525</v>
      </c>
      <c r="AK39" s="3" t="s">
        <v>2525</v>
      </c>
      <c r="AL39" s="3" t="s">
        <v>2525</v>
      </c>
      <c r="AM39" s="3" t="s">
        <v>2525</v>
      </c>
      <c r="AN39" s="3" t="s">
        <v>2525</v>
      </c>
      <c r="AO39" s="3" t="s">
        <v>2525</v>
      </c>
      <c r="AP39" s="3" t="s">
        <v>2525</v>
      </c>
      <c r="AR39" s="3" t="s">
        <v>2525</v>
      </c>
      <c r="AS39" s="3" t="s">
        <v>2525</v>
      </c>
      <c r="AT39" s="3" t="s">
        <v>2525</v>
      </c>
      <c r="AU39" s="3" t="s">
        <v>2525</v>
      </c>
      <c r="AV39" s="3" t="s">
        <v>2525</v>
      </c>
      <c r="AW39" s="3" t="s">
        <v>2525</v>
      </c>
      <c r="AX39" s="3" t="s">
        <v>129</v>
      </c>
      <c r="AY39" s="3" t="s">
        <v>2525</v>
      </c>
      <c r="AZ39" s="3" t="s">
        <v>2525</v>
      </c>
      <c r="BA39" s="3" t="s">
        <v>2525</v>
      </c>
      <c r="BB39" s="3" t="s">
        <v>2525</v>
      </c>
      <c r="BC39" s="3" t="s">
        <v>2525</v>
      </c>
      <c r="BD39" s="3" t="s">
        <v>2525</v>
      </c>
      <c r="BE39" s="3" t="s">
        <v>2525</v>
      </c>
      <c r="BF39" s="3" t="s">
        <v>2525</v>
      </c>
      <c r="BG39" s="3" t="s">
        <v>2525</v>
      </c>
      <c r="BH39" s="3" t="s">
        <v>2525</v>
      </c>
      <c r="BI39" s="3" t="s">
        <v>2525</v>
      </c>
      <c r="BJ39" s="3" t="s">
        <v>2525</v>
      </c>
      <c r="BL39" s="3" t="s">
        <v>2525</v>
      </c>
      <c r="BN39" s="3" t="s">
        <v>137</v>
      </c>
      <c r="BO39" s="3" t="s">
        <v>137</v>
      </c>
    </row>
    <row r="40">
      <c r="A40" s="3" t="s">
        <v>489</v>
      </c>
      <c r="B40" s="3" t="s">
        <v>490</v>
      </c>
      <c r="C40" s="3" t="s">
        <v>92</v>
      </c>
      <c r="D40" s="3" t="s">
        <v>491</v>
      </c>
      <c r="I40" s="3">
        <v>23.0</v>
      </c>
      <c r="J40" s="3" t="s">
        <v>71</v>
      </c>
      <c r="K40" s="3" t="s">
        <v>72</v>
      </c>
      <c r="L40" s="3" t="s">
        <v>2525</v>
      </c>
      <c r="M40" s="3" t="s">
        <v>492</v>
      </c>
      <c r="P40" s="3" t="s">
        <v>110</v>
      </c>
      <c r="Q40" s="32" t="s">
        <v>489</v>
      </c>
      <c r="R40" s="32" t="s">
        <v>493</v>
      </c>
      <c r="S40" s="32"/>
      <c r="T40" s="32"/>
      <c r="X40" s="3" t="s">
        <v>77</v>
      </c>
      <c r="Y40" s="3" t="s">
        <v>78</v>
      </c>
      <c r="Z40" s="3" t="s">
        <v>181</v>
      </c>
      <c r="AA40" s="3" t="s">
        <v>494</v>
      </c>
      <c r="AB40" s="3" t="s">
        <v>495</v>
      </c>
      <c r="AC40" s="3" t="s">
        <v>496</v>
      </c>
      <c r="AE40" s="3" t="s">
        <v>83</v>
      </c>
      <c r="AF40" s="3" t="s">
        <v>2525</v>
      </c>
      <c r="AG40" s="3" t="s">
        <v>84</v>
      </c>
      <c r="AH40" s="3" t="s">
        <v>2525</v>
      </c>
      <c r="AI40" s="3" t="s">
        <v>2525</v>
      </c>
      <c r="AJ40" s="3" t="s">
        <v>85</v>
      </c>
      <c r="AK40" s="3" t="s">
        <v>2525</v>
      </c>
      <c r="AL40" s="3" t="s">
        <v>2525</v>
      </c>
      <c r="AM40" s="3" t="s">
        <v>2525</v>
      </c>
      <c r="AN40" s="3" t="s">
        <v>2525</v>
      </c>
      <c r="AO40" s="3" t="s">
        <v>84</v>
      </c>
      <c r="AP40" s="3" t="s">
        <v>2525</v>
      </c>
      <c r="AR40" s="3" t="s">
        <v>2525</v>
      </c>
      <c r="AS40" s="3" t="s">
        <v>2525</v>
      </c>
      <c r="AT40" s="3" t="s">
        <v>2525</v>
      </c>
      <c r="AU40" s="3" t="s">
        <v>2525</v>
      </c>
      <c r="AV40" s="3" t="s">
        <v>84</v>
      </c>
      <c r="AW40" s="3" t="s">
        <v>2525</v>
      </c>
      <c r="AX40" s="3" t="s">
        <v>2525</v>
      </c>
      <c r="AY40" s="3" t="s">
        <v>85</v>
      </c>
      <c r="AZ40" s="3" t="s">
        <v>85</v>
      </c>
      <c r="BA40" s="3" t="s">
        <v>2525</v>
      </c>
      <c r="BB40" s="3" t="s">
        <v>2525</v>
      </c>
      <c r="BC40" s="3" t="s">
        <v>2525</v>
      </c>
      <c r="BD40" s="3" t="s">
        <v>84</v>
      </c>
      <c r="BE40" s="3" t="s">
        <v>2525</v>
      </c>
      <c r="BF40" s="3" t="s">
        <v>2525</v>
      </c>
      <c r="BG40" s="3" t="s">
        <v>2525</v>
      </c>
      <c r="BH40" s="3" t="s">
        <v>2525</v>
      </c>
      <c r="BI40" s="3" t="s">
        <v>2525</v>
      </c>
      <c r="BJ40" s="3" t="s">
        <v>2525</v>
      </c>
      <c r="BK40" s="3" t="s">
        <v>86</v>
      </c>
      <c r="BL40" s="3" t="s">
        <v>2525</v>
      </c>
      <c r="BN40" s="3" t="s">
        <v>497</v>
      </c>
      <c r="BO40" s="3" t="s">
        <v>185</v>
      </c>
    </row>
    <row r="41">
      <c r="A41" s="3" t="s">
        <v>499</v>
      </c>
      <c r="B41" s="3" t="s">
        <v>500</v>
      </c>
      <c r="C41" s="3" t="s">
        <v>92</v>
      </c>
      <c r="D41" s="3" t="s">
        <v>501</v>
      </c>
      <c r="I41" s="3">
        <v>32.0</v>
      </c>
      <c r="J41" s="3" t="s">
        <v>71</v>
      </c>
      <c r="K41" s="3" t="s">
        <v>72</v>
      </c>
      <c r="L41" s="3" t="s">
        <v>73</v>
      </c>
      <c r="M41" s="3" t="s">
        <v>259</v>
      </c>
      <c r="N41" s="3">
        <v>-24.102564102564102</v>
      </c>
      <c r="P41" s="3" t="s">
        <v>75</v>
      </c>
      <c r="Q41" s="32" t="s">
        <v>499</v>
      </c>
      <c r="R41" s="32" t="s">
        <v>137</v>
      </c>
      <c r="S41" s="32"/>
      <c r="T41" s="32"/>
      <c r="Y41" s="3" t="s">
        <v>78</v>
      </c>
      <c r="Z41" s="3" t="s">
        <v>502</v>
      </c>
      <c r="AA41" s="3" t="s">
        <v>503</v>
      </c>
      <c r="AB41" s="3" t="s">
        <v>504</v>
      </c>
      <c r="AC41" s="3" t="s">
        <v>505</v>
      </c>
      <c r="AE41" s="3" t="s">
        <v>83</v>
      </c>
      <c r="AF41" s="3" t="s">
        <v>85</v>
      </c>
      <c r="AG41" s="3" t="s">
        <v>2525</v>
      </c>
      <c r="AH41" s="3" t="s">
        <v>2525</v>
      </c>
      <c r="AI41" s="3" t="s">
        <v>2525</v>
      </c>
      <c r="AJ41" s="3" t="s">
        <v>2525</v>
      </c>
      <c r="AK41" s="3" t="s">
        <v>2525</v>
      </c>
      <c r="AL41" s="3" t="s">
        <v>2525</v>
      </c>
      <c r="AM41" s="3" t="s">
        <v>2525</v>
      </c>
      <c r="AN41" s="3" t="s">
        <v>85</v>
      </c>
      <c r="AO41" s="3" t="s">
        <v>2525</v>
      </c>
      <c r="AP41" s="3" t="s">
        <v>2525</v>
      </c>
      <c r="AR41" s="3" t="s">
        <v>2525</v>
      </c>
      <c r="AS41" s="3" t="s">
        <v>85</v>
      </c>
      <c r="AT41" s="3" t="s">
        <v>2525</v>
      </c>
      <c r="AU41" s="3" t="s">
        <v>2525</v>
      </c>
      <c r="AV41" s="3" t="s">
        <v>2525</v>
      </c>
      <c r="AW41" s="3" t="s">
        <v>2525</v>
      </c>
      <c r="AX41" s="3" t="s">
        <v>2525</v>
      </c>
      <c r="AY41" s="3" t="s">
        <v>2525</v>
      </c>
      <c r="AZ41" s="3" t="s">
        <v>84</v>
      </c>
      <c r="BA41" s="3" t="s">
        <v>84</v>
      </c>
      <c r="BB41" s="3" t="s">
        <v>2525</v>
      </c>
      <c r="BC41" s="3" t="s">
        <v>2525</v>
      </c>
      <c r="BD41" s="3" t="s">
        <v>2525</v>
      </c>
      <c r="BE41" s="3" t="s">
        <v>2525</v>
      </c>
      <c r="BF41" s="3" t="s">
        <v>2525</v>
      </c>
      <c r="BG41" s="3" t="s">
        <v>2525</v>
      </c>
      <c r="BH41" s="3" t="s">
        <v>2525</v>
      </c>
      <c r="BI41" s="3" t="s">
        <v>2525</v>
      </c>
      <c r="BJ41" s="3" t="s">
        <v>84</v>
      </c>
      <c r="BL41" s="3" t="s">
        <v>2525</v>
      </c>
      <c r="BN41" s="3" t="s">
        <v>506</v>
      </c>
      <c r="BO41" s="3" t="s">
        <v>137</v>
      </c>
    </row>
    <row r="42">
      <c r="A42" s="3" t="s">
        <v>508</v>
      </c>
      <c r="B42" s="3" t="s">
        <v>509</v>
      </c>
      <c r="C42" s="3" t="s">
        <v>92</v>
      </c>
      <c r="D42" s="3" t="s">
        <v>510</v>
      </c>
      <c r="I42" s="3">
        <v>45.0</v>
      </c>
      <c r="J42" s="3" t="s">
        <v>171</v>
      </c>
      <c r="K42" s="3" t="s">
        <v>72</v>
      </c>
      <c r="L42" s="3" t="s">
        <v>73</v>
      </c>
      <c r="M42" s="3" t="s">
        <v>74</v>
      </c>
      <c r="N42" s="3">
        <v>-19.7098976109215</v>
      </c>
      <c r="P42" s="3" t="s">
        <v>260</v>
      </c>
      <c r="Q42" s="32" t="s">
        <v>508</v>
      </c>
      <c r="R42" s="32" t="s">
        <v>511</v>
      </c>
      <c r="S42" s="32"/>
      <c r="T42" s="32"/>
      <c r="W42" s="3" t="s">
        <v>112</v>
      </c>
      <c r="X42" s="3" t="s">
        <v>77</v>
      </c>
      <c r="Y42" s="3" t="s">
        <v>138</v>
      </c>
      <c r="Z42" s="3" t="s">
        <v>512</v>
      </c>
      <c r="AA42" s="3" t="s">
        <v>513</v>
      </c>
      <c r="AB42" s="3" t="s">
        <v>514</v>
      </c>
      <c r="AC42" s="3" t="s">
        <v>515</v>
      </c>
      <c r="AE42" s="3" t="s">
        <v>83</v>
      </c>
      <c r="AF42" s="3" t="s">
        <v>84</v>
      </c>
      <c r="AG42" s="3" t="s">
        <v>84</v>
      </c>
      <c r="AH42" s="3" t="s">
        <v>2525</v>
      </c>
      <c r="AI42" s="3" t="s">
        <v>2525</v>
      </c>
      <c r="AJ42" s="3" t="s">
        <v>2525</v>
      </c>
      <c r="AK42" s="3" t="s">
        <v>85</v>
      </c>
      <c r="AL42" s="3" t="s">
        <v>2525</v>
      </c>
      <c r="AM42" s="3" t="s">
        <v>85</v>
      </c>
      <c r="AN42" s="3" t="s">
        <v>84</v>
      </c>
      <c r="AO42" s="3" t="s">
        <v>2525</v>
      </c>
      <c r="AP42" s="3" t="s">
        <v>2525</v>
      </c>
      <c r="AR42" s="3" t="s">
        <v>2525</v>
      </c>
      <c r="AS42" s="3" t="s">
        <v>84</v>
      </c>
      <c r="AT42" s="3" t="s">
        <v>2525</v>
      </c>
      <c r="AU42" s="3" t="s">
        <v>2525</v>
      </c>
      <c r="AV42" s="3" t="s">
        <v>2525</v>
      </c>
      <c r="AW42" s="3" t="s">
        <v>2525</v>
      </c>
      <c r="AX42" s="3" t="s">
        <v>2525</v>
      </c>
      <c r="AY42" s="3" t="s">
        <v>2525</v>
      </c>
      <c r="AZ42" s="3" t="s">
        <v>2525</v>
      </c>
      <c r="BA42" s="3" t="s">
        <v>84</v>
      </c>
      <c r="BB42" s="3" t="s">
        <v>2525</v>
      </c>
      <c r="BC42" s="3" t="s">
        <v>2525</v>
      </c>
      <c r="BD42" s="3" t="s">
        <v>85</v>
      </c>
      <c r="BE42" s="3" t="s">
        <v>2525</v>
      </c>
      <c r="BF42" s="3" t="s">
        <v>2525</v>
      </c>
      <c r="BG42" s="3" t="s">
        <v>2525</v>
      </c>
      <c r="BH42" s="3" t="s">
        <v>2525</v>
      </c>
      <c r="BI42" s="3" t="s">
        <v>2525</v>
      </c>
      <c r="BJ42" s="3" t="s">
        <v>85</v>
      </c>
      <c r="BK42" s="3" t="s">
        <v>86</v>
      </c>
      <c r="BL42" s="3" t="s">
        <v>2525</v>
      </c>
      <c r="BN42" s="3" t="s">
        <v>516</v>
      </c>
      <c r="BO42" s="3" t="s">
        <v>517</v>
      </c>
    </row>
    <row r="43">
      <c r="A43" s="3" t="s">
        <v>519</v>
      </c>
      <c r="B43" s="3" t="s">
        <v>520</v>
      </c>
      <c r="C43" s="3" t="s">
        <v>70</v>
      </c>
      <c r="D43" s="3" t="s">
        <v>521</v>
      </c>
      <c r="I43" s="3">
        <v>15.0</v>
      </c>
      <c r="J43" s="3" t="s">
        <v>71</v>
      </c>
      <c r="K43" s="3" t="s">
        <v>72</v>
      </c>
      <c r="L43" s="3" t="s">
        <v>73</v>
      </c>
      <c r="M43" s="3" t="s">
        <v>191</v>
      </c>
      <c r="N43" s="3">
        <v>-23.91304347826087</v>
      </c>
      <c r="P43" s="3" t="s">
        <v>149</v>
      </c>
      <c r="Q43" s="32" t="s">
        <v>519</v>
      </c>
      <c r="R43" s="32" t="s">
        <v>137</v>
      </c>
      <c r="S43" s="32"/>
      <c r="T43" s="32"/>
      <c r="W43" s="3" t="s">
        <v>443</v>
      </c>
      <c r="X43" s="3" t="s">
        <v>77</v>
      </c>
      <c r="Y43" s="3" t="s">
        <v>138</v>
      </c>
      <c r="Z43" s="3" t="s">
        <v>522</v>
      </c>
      <c r="AA43" s="3" t="s">
        <v>523</v>
      </c>
      <c r="AB43" s="3" t="s">
        <v>524</v>
      </c>
      <c r="AC43" s="3" t="s">
        <v>525</v>
      </c>
      <c r="AE43" s="3" t="s">
        <v>83</v>
      </c>
      <c r="AF43" s="3" t="s">
        <v>85</v>
      </c>
      <c r="AG43" s="3" t="s">
        <v>85</v>
      </c>
      <c r="AH43" s="3" t="s">
        <v>2525</v>
      </c>
      <c r="AI43" s="3" t="s">
        <v>2525</v>
      </c>
      <c r="AJ43" s="3" t="s">
        <v>2525</v>
      </c>
      <c r="AK43" s="3" t="s">
        <v>2525</v>
      </c>
      <c r="AL43" s="3" t="s">
        <v>85</v>
      </c>
      <c r="AM43" s="3" t="s">
        <v>2525</v>
      </c>
      <c r="AN43" s="3" t="s">
        <v>2525</v>
      </c>
      <c r="AO43" s="3" t="s">
        <v>85</v>
      </c>
      <c r="AP43" s="3" t="s">
        <v>2525</v>
      </c>
      <c r="AR43" s="3" t="s">
        <v>85</v>
      </c>
      <c r="AS43" s="3" t="s">
        <v>85</v>
      </c>
      <c r="AT43" s="3" t="s">
        <v>85</v>
      </c>
      <c r="AU43" s="3" t="s">
        <v>85</v>
      </c>
      <c r="AV43" s="3" t="s">
        <v>2525</v>
      </c>
      <c r="AW43" s="3" t="s">
        <v>2525</v>
      </c>
      <c r="AX43" s="3" t="s">
        <v>2525</v>
      </c>
      <c r="AY43" s="3" t="s">
        <v>84</v>
      </c>
      <c r="AZ43" s="3" t="s">
        <v>2525</v>
      </c>
      <c r="BA43" s="3" t="s">
        <v>2525</v>
      </c>
      <c r="BB43" s="3" t="s">
        <v>2525</v>
      </c>
      <c r="BC43" s="3" t="s">
        <v>2525</v>
      </c>
      <c r="BD43" s="3" t="s">
        <v>85</v>
      </c>
      <c r="BE43" s="3" t="s">
        <v>2525</v>
      </c>
      <c r="BF43" s="3" t="s">
        <v>2525</v>
      </c>
      <c r="BG43" s="3" t="s">
        <v>2525</v>
      </c>
      <c r="BH43" s="3" t="s">
        <v>2525</v>
      </c>
      <c r="BI43" s="3" t="s">
        <v>2525</v>
      </c>
      <c r="BJ43" s="3" t="s">
        <v>2525</v>
      </c>
      <c r="BK43" s="3" t="s">
        <v>86</v>
      </c>
      <c r="BL43" s="3" t="s">
        <v>86</v>
      </c>
      <c r="BN43" s="3" t="s">
        <v>398</v>
      </c>
      <c r="BO43" s="3" t="s">
        <v>526</v>
      </c>
    </row>
    <row r="44">
      <c r="A44" s="3" t="s">
        <v>528</v>
      </c>
      <c r="B44" s="3" t="s">
        <v>529</v>
      </c>
      <c r="C44" s="3" t="s">
        <v>92</v>
      </c>
      <c r="D44" s="3" t="s">
        <v>530</v>
      </c>
      <c r="E44" s="3" t="s">
        <v>531</v>
      </c>
      <c r="I44" s="3">
        <v>25.0</v>
      </c>
      <c r="J44" s="3" t="s">
        <v>71</v>
      </c>
      <c r="K44" s="3" t="s">
        <v>72</v>
      </c>
      <c r="L44" s="3" t="s">
        <v>73</v>
      </c>
      <c r="M44" s="3" t="s">
        <v>74</v>
      </c>
      <c r="P44" s="3" t="s">
        <v>136</v>
      </c>
      <c r="Q44" s="32" t="s">
        <v>528</v>
      </c>
      <c r="R44" s="32" t="s">
        <v>137</v>
      </c>
      <c r="S44" s="32"/>
      <c r="T44" s="32"/>
      <c r="X44" s="3" t="s">
        <v>77</v>
      </c>
      <c r="Y44" s="3" t="s">
        <v>138</v>
      </c>
      <c r="Z44" s="3" t="s">
        <v>532</v>
      </c>
      <c r="AA44" s="3" t="s">
        <v>533</v>
      </c>
      <c r="AB44" s="3" t="s">
        <v>534</v>
      </c>
      <c r="AC44" s="3" t="s">
        <v>535</v>
      </c>
      <c r="AE44" s="3" t="s">
        <v>83</v>
      </c>
      <c r="AF44" s="3" t="s">
        <v>84</v>
      </c>
      <c r="AG44" s="3" t="s">
        <v>84</v>
      </c>
      <c r="AH44" s="3" t="s">
        <v>2525</v>
      </c>
      <c r="AI44" s="3" t="s">
        <v>2525</v>
      </c>
      <c r="AJ44" s="3" t="s">
        <v>84</v>
      </c>
      <c r="AK44" s="3" t="s">
        <v>84</v>
      </c>
      <c r="AL44" s="3" t="s">
        <v>2525</v>
      </c>
      <c r="AM44" s="3" t="s">
        <v>84</v>
      </c>
      <c r="AN44" s="3" t="s">
        <v>84</v>
      </c>
      <c r="AO44" s="3" t="s">
        <v>2525</v>
      </c>
      <c r="AP44" s="3" t="s">
        <v>85</v>
      </c>
      <c r="AR44" s="3" t="s">
        <v>2525</v>
      </c>
      <c r="AS44" s="3" t="s">
        <v>85</v>
      </c>
      <c r="AT44" s="3" t="s">
        <v>2525</v>
      </c>
      <c r="AU44" s="3" t="s">
        <v>85</v>
      </c>
      <c r="AV44" s="3" t="s">
        <v>2525</v>
      </c>
      <c r="AW44" s="3" t="s">
        <v>2525</v>
      </c>
      <c r="AX44" s="3" t="s">
        <v>2525</v>
      </c>
      <c r="AY44" s="3" t="s">
        <v>2525</v>
      </c>
      <c r="AZ44" s="3" t="s">
        <v>84</v>
      </c>
      <c r="BA44" s="3" t="s">
        <v>84</v>
      </c>
      <c r="BB44" s="3" t="s">
        <v>2525</v>
      </c>
      <c r="BC44" s="3" t="s">
        <v>2525</v>
      </c>
      <c r="BD44" s="3" t="s">
        <v>84</v>
      </c>
      <c r="BE44" s="3" t="s">
        <v>2525</v>
      </c>
      <c r="BF44" s="3" t="s">
        <v>2525</v>
      </c>
      <c r="BG44" s="3" t="s">
        <v>2525</v>
      </c>
      <c r="BH44" s="3" t="s">
        <v>2525</v>
      </c>
      <c r="BI44" s="3" t="s">
        <v>84</v>
      </c>
      <c r="BJ44" s="3" t="s">
        <v>85</v>
      </c>
      <c r="BL44" s="3" t="s">
        <v>2525</v>
      </c>
      <c r="BN44" s="3" t="s">
        <v>137</v>
      </c>
      <c r="BO44" s="3" t="s">
        <v>137</v>
      </c>
      <c r="BP44" s="3" t="s">
        <v>536</v>
      </c>
    </row>
    <row r="45">
      <c r="A45" s="3" t="s">
        <v>538</v>
      </c>
      <c r="B45" s="3" t="s">
        <v>539</v>
      </c>
      <c r="C45" s="3" t="s">
        <v>92</v>
      </c>
      <c r="D45" s="3" t="s">
        <v>540</v>
      </c>
      <c r="I45" s="3">
        <v>20.0</v>
      </c>
      <c r="J45" s="3" t="s">
        <v>171</v>
      </c>
      <c r="K45" s="3" t="s">
        <v>72</v>
      </c>
      <c r="L45" s="3" t="s">
        <v>2525</v>
      </c>
      <c r="M45" s="3" t="s">
        <v>172</v>
      </c>
      <c r="N45" s="3">
        <v>-3.9669421487603307</v>
      </c>
      <c r="P45" s="3" t="s">
        <v>110</v>
      </c>
      <c r="Q45" s="32" t="s">
        <v>538</v>
      </c>
      <c r="R45" s="32" t="s">
        <v>541</v>
      </c>
      <c r="S45" s="32"/>
      <c r="T45" s="32"/>
      <c r="X45" s="3" t="s">
        <v>77</v>
      </c>
      <c r="Y45" s="3" t="s">
        <v>78</v>
      </c>
      <c r="Z45" s="3" t="s">
        <v>542</v>
      </c>
      <c r="AA45" s="3" t="s">
        <v>543</v>
      </c>
      <c r="AB45" s="3" t="s">
        <v>544</v>
      </c>
      <c r="AC45" s="3" t="s">
        <v>545</v>
      </c>
      <c r="AE45" s="3" t="s">
        <v>83</v>
      </c>
      <c r="AF45" s="3" t="s">
        <v>2525</v>
      </c>
      <c r="AG45" s="3" t="s">
        <v>2525</v>
      </c>
      <c r="AH45" s="3" t="s">
        <v>2525</v>
      </c>
      <c r="AI45" s="3" t="s">
        <v>85</v>
      </c>
      <c r="AJ45" s="3" t="s">
        <v>2525</v>
      </c>
      <c r="AK45" s="3" t="s">
        <v>2525</v>
      </c>
      <c r="AL45" s="3" t="s">
        <v>2525</v>
      </c>
      <c r="AM45" s="3" t="s">
        <v>2525</v>
      </c>
      <c r="AN45" s="3" t="s">
        <v>2525</v>
      </c>
      <c r="AO45" s="3" t="s">
        <v>2525</v>
      </c>
      <c r="AP45" s="3" t="s">
        <v>2525</v>
      </c>
      <c r="AR45" s="3" t="s">
        <v>2525</v>
      </c>
      <c r="AS45" s="3" t="s">
        <v>2525</v>
      </c>
      <c r="AT45" s="3" t="s">
        <v>2525</v>
      </c>
      <c r="AU45" s="3" t="s">
        <v>2525</v>
      </c>
      <c r="AV45" s="3" t="s">
        <v>2525</v>
      </c>
      <c r="AW45" s="3" t="s">
        <v>2525</v>
      </c>
      <c r="AX45" s="3" t="s">
        <v>2525</v>
      </c>
      <c r="AY45" s="3" t="s">
        <v>2525</v>
      </c>
      <c r="AZ45" s="3" t="s">
        <v>2525</v>
      </c>
      <c r="BA45" s="3" t="s">
        <v>2525</v>
      </c>
      <c r="BB45" s="3" t="s">
        <v>2525</v>
      </c>
      <c r="BC45" s="3" t="s">
        <v>2525</v>
      </c>
      <c r="BD45" s="3" t="s">
        <v>2525</v>
      </c>
      <c r="BE45" s="3" t="s">
        <v>2525</v>
      </c>
      <c r="BF45" s="3" t="s">
        <v>84</v>
      </c>
      <c r="BG45" s="3" t="s">
        <v>2525</v>
      </c>
      <c r="BH45" s="3" t="s">
        <v>2525</v>
      </c>
      <c r="BI45" s="3" t="s">
        <v>2525</v>
      </c>
      <c r="BJ45" s="3" t="s">
        <v>2525</v>
      </c>
      <c r="BL45" s="3" t="s">
        <v>2525</v>
      </c>
      <c r="BN45" s="3" t="s">
        <v>546</v>
      </c>
      <c r="BO45" s="3" t="s">
        <v>547</v>
      </c>
    </row>
    <row r="46">
      <c r="A46" s="3" t="s">
        <v>2528</v>
      </c>
      <c r="B46" s="3" t="s">
        <v>550</v>
      </c>
      <c r="C46" s="3" t="s">
        <v>92</v>
      </c>
      <c r="I46" s="3">
        <v>35.0</v>
      </c>
      <c r="J46" s="3" t="s">
        <v>171</v>
      </c>
      <c r="K46" s="3" t="s">
        <v>72</v>
      </c>
      <c r="L46" s="3" t="s">
        <v>73</v>
      </c>
      <c r="M46" s="3" t="s">
        <v>74</v>
      </c>
      <c r="P46" s="3" t="s">
        <v>149</v>
      </c>
      <c r="Q46" s="32" t="s">
        <v>2528</v>
      </c>
      <c r="R46" s="32" t="s">
        <v>551</v>
      </c>
      <c r="S46" s="32"/>
      <c r="T46" s="32"/>
      <c r="X46" s="3" t="s">
        <v>77</v>
      </c>
      <c r="Y46" s="3" t="s">
        <v>138</v>
      </c>
      <c r="Z46" s="3" t="s">
        <v>552</v>
      </c>
      <c r="AA46" s="3" t="s">
        <v>553</v>
      </c>
      <c r="AB46" s="3" t="s">
        <v>554</v>
      </c>
      <c r="AC46" s="3" t="s">
        <v>555</v>
      </c>
      <c r="AE46" s="3" t="s">
        <v>83</v>
      </c>
      <c r="AF46" s="3" t="s">
        <v>84</v>
      </c>
      <c r="AG46" s="3" t="s">
        <v>84</v>
      </c>
      <c r="AH46" s="3" t="s">
        <v>2525</v>
      </c>
      <c r="AI46" s="3" t="s">
        <v>2525</v>
      </c>
      <c r="AJ46" s="3" t="s">
        <v>2525</v>
      </c>
      <c r="AK46" s="3" t="s">
        <v>84</v>
      </c>
      <c r="AL46" s="3" t="s">
        <v>85</v>
      </c>
      <c r="AM46" s="3" t="s">
        <v>84</v>
      </c>
      <c r="AN46" s="3" t="s">
        <v>84</v>
      </c>
      <c r="AO46" s="3" t="s">
        <v>2525</v>
      </c>
      <c r="AP46" s="3" t="s">
        <v>2525</v>
      </c>
      <c r="AR46" s="3" t="s">
        <v>2525</v>
      </c>
      <c r="AS46" s="3" t="s">
        <v>84</v>
      </c>
      <c r="AT46" s="3" t="s">
        <v>2525</v>
      </c>
      <c r="AU46" s="3" t="s">
        <v>85</v>
      </c>
      <c r="AV46" s="3" t="s">
        <v>2525</v>
      </c>
      <c r="AW46" s="3" t="s">
        <v>2525</v>
      </c>
      <c r="AX46" s="3" t="s">
        <v>2525</v>
      </c>
      <c r="AY46" s="3" t="s">
        <v>2525</v>
      </c>
      <c r="AZ46" s="3" t="s">
        <v>85</v>
      </c>
      <c r="BA46" s="3" t="s">
        <v>84</v>
      </c>
      <c r="BB46" s="3" t="s">
        <v>2525</v>
      </c>
      <c r="BC46" s="3" t="s">
        <v>2525</v>
      </c>
      <c r="BD46" s="3" t="s">
        <v>2525</v>
      </c>
      <c r="BE46" s="3" t="s">
        <v>2525</v>
      </c>
      <c r="BF46" s="3" t="s">
        <v>2525</v>
      </c>
      <c r="BG46" s="3" t="s">
        <v>2525</v>
      </c>
      <c r="BH46" s="3" t="s">
        <v>2525</v>
      </c>
      <c r="BI46" s="3" t="s">
        <v>2525</v>
      </c>
      <c r="BJ46" s="3" t="s">
        <v>2525</v>
      </c>
      <c r="BK46" s="3" t="s">
        <v>86</v>
      </c>
      <c r="BL46" s="3" t="s">
        <v>2525</v>
      </c>
      <c r="BM46" s="3" t="s">
        <v>86</v>
      </c>
      <c r="BN46" s="3" t="s">
        <v>556</v>
      </c>
      <c r="BO46" s="3" t="s">
        <v>557</v>
      </c>
      <c r="BP46" s="3" t="s">
        <v>144</v>
      </c>
    </row>
    <row r="47">
      <c r="A47" s="3" t="s">
        <v>559</v>
      </c>
      <c r="B47" s="3" t="s">
        <v>560</v>
      </c>
      <c r="C47" s="3" t="s">
        <v>92</v>
      </c>
      <c r="D47" s="3" t="s">
        <v>561</v>
      </c>
      <c r="I47" s="3">
        <v>18.0</v>
      </c>
      <c r="J47" s="3" t="s">
        <v>562</v>
      </c>
      <c r="K47" s="3" t="s">
        <v>72</v>
      </c>
      <c r="L47" s="3" t="s">
        <v>2525</v>
      </c>
      <c r="M47" s="3" t="s">
        <v>492</v>
      </c>
      <c r="P47" s="3" t="s">
        <v>110</v>
      </c>
      <c r="Q47" s="32" t="s">
        <v>559</v>
      </c>
      <c r="R47" s="32" t="s">
        <v>563</v>
      </c>
      <c r="S47" s="32"/>
      <c r="T47" s="32"/>
      <c r="X47" s="3" t="s">
        <v>77</v>
      </c>
      <c r="Y47" s="3" t="s">
        <v>78</v>
      </c>
      <c r="Z47" s="3" t="s">
        <v>564</v>
      </c>
      <c r="AA47" s="3" t="s">
        <v>565</v>
      </c>
      <c r="AB47" s="3" t="s">
        <v>566</v>
      </c>
      <c r="AC47" s="3" t="s">
        <v>567</v>
      </c>
      <c r="AE47" s="3" t="s">
        <v>83</v>
      </c>
      <c r="AF47" s="3" t="s">
        <v>85</v>
      </c>
      <c r="AG47" s="3" t="s">
        <v>85</v>
      </c>
      <c r="AH47" s="3" t="s">
        <v>2525</v>
      </c>
      <c r="AI47" s="3" t="s">
        <v>2525</v>
      </c>
      <c r="AJ47" s="3" t="s">
        <v>2525</v>
      </c>
      <c r="AK47" s="3" t="s">
        <v>2525</v>
      </c>
      <c r="AL47" s="3" t="s">
        <v>2525</v>
      </c>
      <c r="AM47" s="3" t="s">
        <v>2525</v>
      </c>
      <c r="AN47" s="3" t="s">
        <v>2525</v>
      </c>
      <c r="AO47" s="3" t="s">
        <v>85</v>
      </c>
      <c r="AP47" s="3" t="s">
        <v>2525</v>
      </c>
      <c r="AR47" s="3" t="s">
        <v>2525</v>
      </c>
      <c r="AS47" s="3" t="s">
        <v>2525</v>
      </c>
      <c r="AT47" s="3" t="s">
        <v>2525</v>
      </c>
      <c r="AU47" s="3" t="s">
        <v>2525</v>
      </c>
      <c r="AV47" s="3" t="s">
        <v>84</v>
      </c>
      <c r="AW47" s="3" t="s">
        <v>2525</v>
      </c>
      <c r="AX47" s="3" t="s">
        <v>2525</v>
      </c>
      <c r="AY47" s="3" t="s">
        <v>85</v>
      </c>
      <c r="AZ47" s="3" t="s">
        <v>2525</v>
      </c>
      <c r="BA47" s="3" t="s">
        <v>2525</v>
      </c>
      <c r="BB47" s="3" t="s">
        <v>2525</v>
      </c>
      <c r="BC47" s="3" t="s">
        <v>2525</v>
      </c>
      <c r="BD47" s="3" t="s">
        <v>84</v>
      </c>
      <c r="BE47" s="3" t="s">
        <v>2525</v>
      </c>
      <c r="BF47" s="3" t="s">
        <v>84</v>
      </c>
      <c r="BG47" s="3" t="s">
        <v>2525</v>
      </c>
      <c r="BH47" s="3" t="s">
        <v>2525</v>
      </c>
      <c r="BI47" s="3" t="s">
        <v>2525</v>
      </c>
      <c r="BJ47" s="3" t="s">
        <v>2525</v>
      </c>
      <c r="BK47" s="3" t="s">
        <v>86</v>
      </c>
      <c r="BL47" s="3" t="s">
        <v>2525</v>
      </c>
      <c r="BN47" s="3" t="s">
        <v>568</v>
      </c>
      <c r="BO47" s="3" t="s">
        <v>154</v>
      </c>
    </row>
    <row r="48">
      <c r="A48" s="3" t="s">
        <v>570</v>
      </c>
      <c r="B48" s="3" t="s">
        <v>571</v>
      </c>
      <c r="C48" s="3" t="s">
        <v>92</v>
      </c>
      <c r="D48" s="3" t="s">
        <v>572</v>
      </c>
      <c r="I48" s="3">
        <v>27.0</v>
      </c>
      <c r="J48" s="3" t="s">
        <v>171</v>
      </c>
      <c r="K48" s="3" t="s">
        <v>72</v>
      </c>
      <c r="L48" s="3" t="s">
        <v>2525</v>
      </c>
      <c r="M48" s="3" t="s">
        <v>442</v>
      </c>
      <c r="N48" s="3">
        <v>-9.183673469387756</v>
      </c>
      <c r="P48" s="3" t="s">
        <v>75</v>
      </c>
      <c r="Q48" s="32" t="s">
        <v>570</v>
      </c>
      <c r="R48" s="32" t="s">
        <v>573</v>
      </c>
      <c r="S48" s="32"/>
      <c r="T48" s="32"/>
      <c r="Y48" s="3" t="s">
        <v>78</v>
      </c>
      <c r="Z48" s="3" t="s">
        <v>574</v>
      </c>
      <c r="AA48" s="3" t="s">
        <v>575</v>
      </c>
      <c r="AB48" s="3" t="s">
        <v>576</v>
      </c>
      <c r="AC48" s="3" t="s">
        <v>577</v>
      </c>
      <c r="AD48" s="3" t="s">
        <v>578</v>
      </c>
      <c r="AE48" s="3" t="s">
        <v>83</v>
      </c>
      <c r="AF48" s="3" t="s">
        <v>2525</v>
      </c>
      <c r="AG48" s="3" t="s">
        <v>2525</v>
      </c>
      <c r="AH48" s="3" t="s">
        <v>2525</v>
      </c>
      <c r="AI48" s="3" t="s">
        <v>2525</v>
      </c>
      <c r="AJ48" s="3" t="s">
        <v>2525</v>
      </c>
      <c r="AK48" s="3" t="s">
        <v>2525</v>
      </c>
      <c r="AL48" s="3" t="s">
        <v>2525</v>
      </c>
      <c r="AM48" s="3" t="s">
        <v>2525</v>
      </c>
      <c r="AN48" s="3" t="s">
        <v>2525</v>
      </c>
      <c r="AO48" s="3" t="s">
        <v>2525</v>
      </c>
      <c r="AP48" s="3" t="s">
        <v>2525</v>
      </c>
      <c r="AR48" s="3" t="s">
        <v>84</v>
      </c>
      <c r="AS48" s="3" t="s">
        <v>2525</v>
      </c>
      <c r="AT48" s="3" t="s">
        <v>2525</v>
      </c>
      <c r="AU48" s="3" t="s">
        <v>2525</v>
      </c>
      <c r="AV48" s="3" t="s">
        <v>2525</v>
      </c>
      <c r="AW48" s="3" t="s">
        <v>2525</v>
      </c>
      <c r="AX48" s="3" t="s">
        <v>2525</v>
      </c>
      <c r="AY48" s="3" t="s">
        <v>2525</v>
      </c>
      <c r="AZ48" s="3" t="s">
        <v>2525</v>
      </c>
      <c r="BA48" s="3" t="s">
        <v>2525</v>
      </c>
      <c r="BB48" s="3" t="s">
        <v>2525</v>
      </c>
      <c r="BC48" s="3" t="s">
        <v>2525</v>
      </c>
      <c r="BD48" s="3" t="s">
        <v>2525</v>
      </c>
      <c r="BE48" s="3" t="s">
        <v>2525</v>
      </c>
      <c r="BF48" s="3" t="s">
        <v>85</v>
      </c>
      <c r="BG48" s="3" t="s">
        <v>2525</v>
      </c>
      <c r="BH48" s="3" t="s">
        <v>2525</v>
      </c>
      <c r="BI48" s="3" t="s">
        <v>2525</v>
      </c>
      <c r="BJ48" s="3" t="s">
        <v>2525</v>
      </c>
      <c r="BL48" s="3" t="s">
        <v>2525</v>
      </c>
      <c r="BN48" s="3" t="s">
        <v>579</v>
      </c>
      <c r="BO48" s="3" t="s">
        <v>580</v>
      </c>
    </row>
    <row r="49">
      <c r="A49" s="3" t="s">
        <v>582</v>
      </c>
      <c r="B49" s="3" t="s">
        <v>583</v>
      </c>
      <c r="C49" s="3" t="s">
        <v>92</v>
      </c>
      <c r="D49" s="3" t="s">
        <v>180</v>
      </c>
      <c r="I49" s="3">
        <v>18.0</v>
      </c>
      <c r="J49" s="3" t="s">
        <v>71</v>
      </c>
      <c r="K49" s="3" t="s">
        <v>72</v>
      </c>
      <c r="L49" s="3" t="s">
        <v>2525</v>
      </c>
      <c r="M49" s="3" t="s">
        <v>492</v>
      </c>
      <c r="N49" s="3">
        <v>-2.278481012658228</v>
      </c>
      <c r="P49" s="3" t="s">
        <v>110</v>
      </c>
      <c r="Q49" s="32" t="s">
        <v>582</v>
      </c>
      <c r="R49" s="32" t="s">
        <v>584</v>
      </c>
      <c r="S49" s="32"/>
      <c r="T49" s="32"/>
      <c r="X49" s="3" t="s">
        <v>77</v>
      </c>
      <c r="Y49" s="3" t="s">
        <v>78</v>
      </c>
      <c r="AA49" s="3" t="s">
        <v>585</v>
      </c>
      <c r="AB49" s="3" t="s">
        <v>586</v>
      </c>
      <c r="AC49" s="3" t="s">
        <v>587</v>
      </c>
      <c r="AE49" s="3" t="s">
        <v>83</v>
      </c>
      <c r="AF49" s="3" t="s">
        <v>84</v>
      </c>
      <c r="AG49" s="3" t="s">
        <v>85</v>
      </c>
      <c r="AH49" s="3" t="s">
        <v>2525</v>
      </c>
      <c r="AI49" s="3" t="s">
        <v>2525</v>
      </c>
      <c r="AJ49" s="3" t="s">
        <v>2525</v>
      </c>
      <c r="AK49" s="3" t="s">
        <v>2525</v>
      </c>
      <c r="AL49" s="3" t="s">
        <v>2525</v>
      </c>
      <c r="AM49" s="3" t="s">
        <v>2525</v>
      </c>
      <c r="AN49" s="3" t="s">
        <v>2525</v>
      </c>
      <c r="AO49" s="3" t="s">
        <v>85</v>
      </c>
      <c r="AP49" s="3" t="s">
        <v>2525</v>
      </c>
      <c r="AR49" s="3" t="s">
        <v>2525</v>
      </c>
      <c r="AS49" s="3" t="s">
        <v>2525</v>
      </c>
      <c r="AT49" s="3" t="s">
        <v>2525</v>
      </c>
      <c r="AU49" s="3" t="s">
        <v>2525</v>
      </c>
      <c r="AV49" s="3" t="s">
        <v>85</v>
      </c>
      <c r="AW49" s="3" t="s">
        <v>2525</v>
      </c>
      <c r="AX49" s="3" t="s">
        <v>2525</v>
      </c>
      <c r="AY49" s="3" t="s">
        <v>2525</v>
      </c>
      <c r="AZ49" s="3" t="s">
        <v>2525</v>
      </c>
      <c r="BA49" s="3" t="s">
        <v>2525</v>
      </c>
      <c r="BB49" s="3" t="s">
        <v>2525</v>
      </c>
      <c r="BC49" s="3" t="s">
        <v>2525</v>
      </c>
      <c r="BD49" s="3" t="s">
        <v>85</v>
      </c>
      <c r="BE49" s="3" t="s">
        <v>2525</v>
      </c>
      <c r="BF49" s="3" t="s">
        <v>2525</v>
      </c>
      <c r="BG49" s="3" t="s">
        <v>2525</v>
      </c>
      <c r="BH49" s="3" t="s">
        <v>2525</v>
      </c>
      <c r="BI49" s="3" t="s">
        <v>2525</v>
      </c>
      <c r="BJ49" s="3" t="s">
        <v>2525</v>
      </c>
      <c r="BK49" s="3" t="s">
        <v>86</v>
      </c>
      <c r="BL49" s="3" t="s">
        <v>2525</v>
      </c>
      <c r="BN49" s="3" t="s">
        <v>370</v>
      </c>
      <c r="BO49" s="3" t="s">
        <v>199</v>
      </c>
    </row>
    <row r="50">
      <c r="A50" s="3" t="s">
        <v>589</v>
      </c>
      <c r="B50" s="3" t="s">
        <v>590</v>
      </c>
      <c r="C50" s="3" t="s">
        <v>92</v>
      </c>
      <c r="D50" s="3" t="s">
        <v>591</v>
      </c>
      <c r="I50" s="3">
        <v>35.0</v>
      </c>
      <c r="J50" s="3" t="s">
        <v>171</v>
      </c>
      <c r="K50" s="3" t="s">
        <v>72</v>
      </c>
      <c r="L50" s="3" t="s">
        <v>73</v>
      </c>
      <c r="M50" s="3" t="s">
        <v>191</v>
      </c>
      <c r="N50" s="3">
        <v>-13.636363636363635</v>
      </c>
      <c r="P50" s="3" t="s">
        <v>75</v>
      </c>
      <c r="Q50" s="32" t="s">
        <v>589</v>
      </c>
      <c r="R50" s="32" t="s">
        <v>592</v>
      </c>
      <c r="S50" s="32"/>
      <c r="T50" s="32"/>
      <c r="W50" s="3" t="s">
        <v>193</v>
      </c>
      <c r="X50" s="3" t="s">
        <v>77</v>
      </c>
      <c r="Y50" s="3" t="s">
        <v>78</v>
      </c>
      <c r="Z50" s="3" t="s">
        <v>194</v>
      </c>
      <c r="AA50" s="3" t="s">
        <v>593</v>
      </c>
      <c r="AB50" s="3" t="s">
        <v>594</v>
      </c>
      <c r="AC50" s="3" t="s">
        <v>595</v>
      </c>
      <c r="AD50" s="3" t="s">
        <v>596</v>
      </c>
      <c r="AE50" s="3" t="s">
        <v>83</v>
      </c>
      <c r="AF50" s="3" t="s">
        <v>84</v>
      </c>
      <c r="AG50" s="3" t="s">
        <v>84</v>
      </c>
      <c r="AH50" s="3" t="s">
        <v>2525</v>
      </c>
      <c r="AI50" s="3" t="s">
        <v>2525</v>
      </c>
      <c r="AJ50" s="3" t="s">
        <v>2525</v>
      </c>
      <c r="AK50" s="3" t="s">
        <v>2525</v>
      </c>
      <c r="AL50" s="3" t="s">
        <v>2525</v>
      </c>
      <c r="AM50" s="3" t="s">
        <v>2525</v>
      </c>
      <c r="AN50" s="3" t="s">
        <v>2525</v>
      </c>
      <c r="AO50" s="3" t="s">
        <v>2525</v>
      </c>
      <c r="AP50" s="3" t="s">
        <v>85</v>
      </c>
      <c r="AR50" s="3" t="s">
        <v>2525</v>
      </c>
      <c r="AS50" s="3" t="s">
        <v>2525</v>
      </c>
      <c r="AT50" s="3" t="s">
        <v>2525</v>
      </c>
      <c r="AU50" s="3" t="s">
        <v>2525</v>
      </c>
      <c r="AV50" s="3" t="s">
        <v>2525</v>
      </c>
      <c r="AW50" s="3" t="s">
        <v>2525</v>
      </c>
      <c r="AX50" s="3" t="s">
        <v>2525</v>
      </c>
      <c r="AY50" s="3" t="s">
        <v>129</v>
      </c>
      <c r="AZ50" s="3" t="s">
        <v>2525</v>
      </c>
      <c r="BA50" s="3" t="s">
        <v>85</v>
      </c>
      <c r="BB50" s="3" t="s">
        <v>2525</v>
      </c>
      <c r="BC50" s="3" t="s">
        <v>2525</v>
      </c>
      <c r="BD50" s="3" t="s">
        <v>84</v>
      </c>
      <c r="BE50" s="3" t="s">
        <v>2525</v>
      </c>
      <c r="BF50" s="3" t="s">
        <v>2525</v>
      </c>
      <c r="BG50" s="3" t="s">
        <v>2525</v>
      </c>
      <c r="BH50" s="3" t="s">
        <v>2525</v>
      </c>
      <c r="BI50" s="3" t="s">
        <v>2525</v>
      </c>
      <c r="BJ50" s="3" t="s">
        <v>2525</v>
      </c>
      <c r="BK50" s="3" t="s">
        <v>86</v>
      </c>
      <c r="BL50" s="3" t="s">
        <v>2525</v>
      </c>
      <c r="BN50" s="3" t="s">
        <v>597</v>
      </c>
      <c r="BO50" s="3" t="s">
        <v>598</v>
      </c>
    </row>
    <row r="51">
      <c r="A51" s="3" t="s">
        <v>2529</v>
      </c>
      <c r="B51" s="3" t="s">
        <v>601</v>
      </c>
      <c r="C51" s="3" t="s">
        <v>70</v>
      </c>
      <c r="D51" s="3" t="s">
        <v>214</v>
      </c>
      <c r="E51" s="3" t="s">
        <v>215</v>
      </c>
      <c r="I51" s="3">
        <v>15.0</v>
      </c>
      <c r="J51" s="3" t="s">
        <v>71</v>
      </c>
      <c r="K51" s="3" t="s">
        <v>72</v>
      </c>
      <c r="L51" s="3" t="s">
        <v>73</v>
      </c>
      <c r="M51" s="3" t="s">
        <v>74</v>
      </c>
      <c r="P51" s="3" t="s">
        <v>75</v>
      </c>
      <c r="Q51" s="32" t="s">
        <v>2529</v>
      </c>
      <c r="R51" s="32" t="s">
        <v>76</v>
      </c>
      <c r="S51" s="32"/>
      <c r="T51" s="32"/>
      <c r="X51" s="3" t="s">
        <v>77</v>
      </c>
      <c r="Y51" s="3" t="s">
        <v>78</v>
      </c>
      <c r="AA51" s="3" t="s">
        <v>602</v>
      </c>
      <c r="AB51" s="3" t="s">
        <v>603</v>
      </c>
      <c r="AC51" s="3" t="s">
        <v>604</v>
      </c>
      <c r="AE51" s="3" t="s">
        <v>83</v>
      </c>
      <c r="AF51" s="3" t="s">
        <v>84</v>
      </c>
      <c r="AG51" s="3" t="s">
        <v>84</v>
      </c>
      <c r="AH51" s="3" t="s">
        <v>2525</v>
      </c>
      <c r="AI51" s="3" t="s">
        <v>2525</v>
      </c>
      <c r="AJ51" s="3" t="s">
        <v>85</v>
      </c>
      <c r="AK51" s="3" t="s">
        <v>2525</v>
      </c>
      <c r="AL51" s="3" t="s">
        <v>2525</v>
      </c>
      <c r="AM51" s="3" t="s">
        <v>2525</v>
      </c>
      <c r="AN51" s="3" t="s">
        <v>84</v>
      </c>
      <c r="AO51" s="3" t="s">
        <v>2525</v>
      </c>
      <c r="AP51" s="3" t="s">
        <v>2525</v>
      </c>
      <c r="AR51" s="3" t="s">
        <v>2525</v>
      </c>
      <c r="AS51" s="3" t="s">
        <v>2525</v>
      </c>
      <c r="AT51" s="3" t="s">
        <v>2525</v>
      </c>
      <c r="AU51" s="3" t="s">
        <v>2525</v>
      </c>
      <c r="AV51" s="3" t="s">
        <v>2525</v>
      </c>
      <c r="AW51" s="3" t="s">
        <v>2525</v>
      </c>
      <c r="AX51" s="3" t="s">
        <v>2525</v>
      </c>
      <c r="AY51" s="3" t="s">
        <v>2525</v>
      </c>
      <c r="AZ51" s="3" t="s">
        <v>2525</v>
      </c>
      <c r="BA51" s="3" t="s">
        <v>84</v>
      </c>
      <c r="BB51" s="3" t="s">
        <v>2525</v>
      </c>
      <c r="BC51" s="3" t="s">
        <v>2525</v>
      </c>
      <c r="BD51" s="3" t="s">
        <v>84</v>
      </c>
      <c r="BE51" s="3" t="s">
        <v>2525</v>
      </c>
      <c r="BF51" s="3" t="s">
        <v>2525</v>
      </c>
      <c r="BG51" s="3" t="s">
        <v>2525</v>
      </c>
      <c r="BH51" s="3" t="s">
        <v>2525</v>
      </c>
      <c r="BI51" s="3" t="s">
        <v>2525</v>
      </c>
      <c r="BJ51" s="3" t="s">
        <v>84</v>
      </c>
      <c r="BK51" s="3" t="s">
        <v>86</v>
      </c>
      <c r="BL51" s="3" t="s">
        <v>86</v>
      </c>
      <c r="BN51" s="3" t="s">
        <v>87</v>
      </c>
      <c r="BO51" s="3" t="s">
        <v>88</v>
      </c>
      <c r="BP51" s="3" t="s">
        <v>220</v>
      </c>
    </row>
    <row r="52">
      <c r="A52" s="3" t="s">
        <v>606</v>
      </c>
      <c r="B52" s="3" t="s">
        <v>607</v>
      </c>
      <c r="C52" s="3" t="s">
        <v>92</v>
      </c>
      <c r="D52" s="3" t="s">
        <v>203</v>
      </c>
      <c r="I52" s="3">
        <v>30.0</v>
      </c>
      <c r="J52" s="3" t="s">
        <v>148</v>
      </c>
      <c r="K52" s="3" t="s">
        <v>72</v>
      </c>
      <c r="L52" s="3" t="s">
        <v>73</v>
      </c>
      <c r="M52" s="3" t="s">
        <v>248</v>
      </c>
      <c r="N52" s="3">
        <v>-11.38211382113821</v>
      </c>
      <c r="P52" s="3" t="s">
        <v>75</v>
      </c>
      <c r="Q52" s="32" t="s">
        <v>606</v>
      </c>
      <c r="R52" s="32" t="s">
        <v>608</v>
      </c>
      <c r="S52" s="32"/>
      <c r="T52" s="32"/>
      <c r="W52" s="3" t="s">
        <v>205</v>
      </c>
      <c r="X52" s="3" t="s">
        <v>77</v>
      </c>
      <c r="Y52" s="3" t="s">
        <v>78</v>
      </c>
      <c r="Z52" s="3" t="s">
        <v>609</v>
      </c>
      <c r="AA52" s="3" t="s">
        <v>610</v>
      </c>
      <c r="AB52" s="3" t="s">
        <v>611</v>
      </c>
      <c r="AC52" s="3" t="s">
        <v>612</v>
      </c>
      <c r="AE52" s="3" t="s">
        <v>83</v>
      </c>
      <c r="AF52" s="3" t="s">
        <v>85</v>
      </c>
      <c r="AG52" s="3" t="s">
        <v>85</v>
      </c>
      <c r="AH52" s="3" t="s">
        <v>2525</v>
      </c>
      <c r="AI52" s="3" t="s">
        <v>2525</v>
      </c>
      <c r="AJ52" s="3" t="s">
        <v>2525</v>
      </c>
      <c r="AK52" s="3" t="s">
        <v>2525</v>
      </c>
      <c r="AL52" s="3" t="s">
        <v>2525</v>
      </c>
      <c r="AM52" s="3" t="s">
        <v>2525</v>
      </c>
      <c r="AN52" s="3" t="s">
        <v>85</v>
      </c>
      <c r="AO52" s="3" t="s">
        <v>2525</v>
      </c>
      <c r="AP52" s="3" t="s">
        <v>85</v>
      </c>
      <c r="AR52" s="3" t="s">
        <v>2525</v>
      </c>
      <c r="AS52" s="3" t="s">
        <v>2525</v>
      </c>
      <c r="AT52" s="3" t="s">
        <v>2525</v>
      </c>
      <c r="AU52" s="3" t="s">
        <v>2525</v>
      </c>
      <c r="AV52" s="3" t="s">
        <v>2525</v>
      </c>
      <c r="AW52" s="3" t="s">
        <v>2525</v>
      </c>
      <c r="AX52" s="3" t="s">
        <v>2525</v>
      </c>
      <c r="AY52" s="3" t="s">
        <v>2525</v>
      </c>
      <c r="AZ52" s="3" t="s">
        <v>2525</v>
      </c>
      <c r="BA52" s="3" t="s">
        <v>84</v>
      </c>
      <c r="BB52" s="3" t="s">
        <v>2525</v>
      </c>
      <c r="BC52" s="3" t="s">
        <v>2525</v>
      </c>
      <c r="BD52" s="3" t="s">
        <v>85</v>
      </c>
      <c r="BE52" s="3" t="s">
        <v>2525</v>
      </c>
      <c r="BF52" s="3" t="s">
        <v>2525</v>
      </c>
      <c r="BG52" s="3" t="s">
        <v>2525</v>
      </c>
      <c r="BH52" s="3" t="s">
        <v>2525</v>
      </c>
      <c r="BI52" s="3" t="s">
        <v>2525</v>
      </c>
      <c r="BJ52" s="3" t="s">
        <v>85</v>
      </c>
      <c r="BK52" s="3" t="s">
        <v>86</v>
      </c>
      <c r="BL52" s="3" t="s">
        <v>2525</v>
      </c>
      <c r="BN52" s="3" t="s">
        <v>613</v>
      </c>
      <c r="BO52" s="3" t="s">
        <v>614</v>
      </c>
    </row>
    <row r="53">
      <c r="A53" s="3" t="s">
        <v>616</v>
      </c>
      <c r="B53" s="3" t="s">
        <v>617</v>
      </c>
      <c r="C53" s="3" t="s">
        <v>70</v>
      </c>
      <c r="D53" s="3" t="s">
        <v>258</v>
      </c>
      <c r="I53" s="3">
        <v>15.0</v>
      </c>
      <c r="J53" s="3" t="s">
        <v>618</v>
      </c>
      <c r="K53" s="3" t="s">
        <v>72</v>
      </c>
      <c r="L53" s="3" t="s">
        <v>73</v>
      </c>
      <c r="M53" s="3" t="s">
        <v>74</v>
      </c>
      <c r="P53" s="3" t="s">
        <v>75</v>
      </c>
      <c r="Q53" s="32" t="s">
        <v>616</v>
      </c>
      <c r="R53" s="32" t="s">
        <v>619</v>
      </c>
      <c r="S53" s="32"/>
      <c r="T53" s="32"/>
      <c r="X53" s="3" t="s">
        <v>77</v>
      </c>
      <c r="Y53" s="3" t="s">
        <v>78</v>
      </c>
      <c r="Z53" s="3" t="s">
        <v>620</v>
      </c>
      <c r="AA53" s="3" t="s">
        <v>621</v>
      </c>
      <c r="AB53" s="3" t="s">
        <v>622</v>
      </c>
      <c r="AC53" s="3" t="s">
        <v>623</v>
      </c>
      <c r="AE53" s="3" t="s">
        <v>83</v>
      </c>
      <c r="AF53" s="3" t="s">
        <v>84</v>
      </c>
      <c r="AG53" s="3" t="s">
        <v>84</v>
      </c>
      <c r="AH53" s="3" t="s">
        <v>2525</v>
      </c>
      <c r="AI53" s="3" t="s">
        <v>2525</v>
      </c>
      <c r="AJ53" s="3" t="s">
        <v>85</v>
      </c>
      <c r="AK53" s="3" t="s">
        <v>2525</v>
      </c>
      <c r="AL53" s="3" t="s">
        <v>85</v>
      </c>
      <c r="AM53" s="3" t="s">
        <v>84</v>
      </c>
      <c r="AN53" s="3" t="s">
        <v>85</v>
      </c>
      <c r="AO53" s="3" t="s">
        <v>2525</v>
      </c>
      <c r="AP53" s="3" t="s">
        <v>2525</v>
      </c>
      <c r="AR53" s="3" t="s">
        <v>2525</v>
      </c>
      <c r="AS53" s="3" t="s">
        <v>84</v>
      </c>
      <c r="AT53" s="3" t="s">
        <v>2525</v>
      </c>
      <c r="AU53" s="3" t="s">
        <v>85</v>
      </c>
      <c r="AV53" s="3" t="s">
        <v>2525</v>
      </c>
      <c r="AW53" s="3" t="s">
        <v>2525</v>
      </c>
      <c r="AX53" s="3" t="s">
        <v>2525</v>
      </c>
      <c r="AY53" s="3" t="s">
        <v>2525</v>
      </c>
      <c r="AZ53" s="3" t="s">
        <v>2525</v>
      </c>
      <c r="BA53" s="3" t="s">
        <v>84</v>
      </c>
      <c r="BB53" s="3" t="s">
        <v>2525</v>
      </c>
      <c r="BC53" s="3" t="s">
        <v>2525</v>
      </c>
      <c r="BD53" s="3" t="s">
        <v>85</v>
      </c>
      <c r="BE53" s="3" t="s">
        <v>2525</v>
      </c>
      <c r="BF53" s="3" t="s">
        <v>2525</v>
      </c>
      <c r="BG53" s="3" t="s">
        <v>2525</v>
      </c>
      <c r="BH53" s="3" t="s">
        <v>2525</v>
      </c>
      <c r="BI53" s="3" t="s">
        <v>2525</v>
      </c>
      <c r="BJ53" s="3" t="s">
        <v>84</v>
      </c>
      <c r="BK53" s="3" t="s">
        <v>86</v>
      </c>
      <c r="BL53" s="3" t="s">
        <v>86</v>
      </c>
      <c r="BN53" s="3" t="s">
        <v>624</v>
      </c>
      <c r="BO53" s="3" t="s">
        <v>625</v>
      </c>
    </row>
    <row r="54">
      <c r="A54" s="3" t="s">
        <v>627</v>
      </c>
      <c r="B54" s="3" t="s">
        <v>628</v>
      </c>
      <c r="C54" s="3" t="s">
        <v>70</v>
      </c>
      <c r="D54" s="3" t="s">
        <v>2530</v>
      </c>
      <c r="E54" s="3" t="s">
        <v>247</v>
      </c>
      <c r="I54" s="3">
        <v>17.0</v>
      </c>
      <c r="J54" s="3" t="s">
        <v>630</v>
      </c>
      <c r="K54" s="3" t="s">
        <v>72</v>
      </c>
      <c r="L54" s="3" t="s">
        <v>73</v>
      </c>
      <c r="M54" s="3" t="s">
        <v>631</v>
      </c>
      <c r="N54" s="3">
        <v>-21.09375</v>
      </c>
      <c r="P54" s="3" t="s">
        <v>149</v>
      </c>
      <c r="Q54" s="32" t="s">
        <v>627</v>
      </c>
      <c r="R54" s="32" t="s">
        <v>286</v>
      </c>
      <c r="S54" s="32"/>
      <c r="T54" s="32"/>
      <c r="W54" s="3" t="s">
        <v>287</v>
      </c>
      <c r="X54" s="3" t="s">
        <v>77</v>
      </c>
      <c r="Y54" s="3" t="s">
        <v>138</v>
      </c>
      <c r="Z54" s="3" t="s">
        <v>632</v>
      </c>
      <c r="AA54" s="3" t="s">
        <v>633</v>
      </c>
      <c r="AB54" s="3" t="s">
        <v>634</v>
      </c>
      <c r="AC54" s="3" t="s">
        <v>635</v>
      </c>
      <c r="AE54" s="3" t="s">
        <v>83</v>
      </c>
      <c r="AF54" s="3" t="s">
        <v>2525</v>
      </c>
      <c r="AG54" s="3" t="s">
        <v>2525</v>
      </c>
      <c r="AH54" s="3" t="s">
        <v>2525</v>
      </c>
      <c r="AI54" s="3" t="s">
        <v>2525</v>
      </c>
      <c r="AJ54" s="3" t="s">
        <v>2525</v>
      </c>
      <c r="AK54" s="3" t="s">
        <v>85</v>
      </c>
      <c r="AL54" s="3" t="s">
        <v>2525</v>
      </c>
      <c r="AM54" s="3" t="s">
        <v>84</v>
      </c>
      <c r="AN54" s="3" t="s">
        <v>84</v>
      </c>
      <c r="AO54" s="3" t="s">
        <v>2525</v>
      </c>
      <c r="AP54" s="3" t="s">
        <v>2525</v>
      </c>
      <c r="AR54" s="3" t="s">
        <v>2525</v>
      </c>
      <c r="AS54" s="3" t="s">
        <v>85</v>
      </c>
      <c r="AT54" s="3" t="s">
        <v>2525</v>
      </c>
      <c r="AU54" s="3" t="s">
        <v>85</v>
      </c>
      <c r="AV54" s="3" t="s">
        <v>2525</v>
      </c>
      <c r="AW54" s="3" t="s">
        <v>2525</v>
      </c>
      <c r="AX54" s="3" t="s">
        <v>2525</v>
      </c>
      <c r="AY54" s="3" t="s">
        <v>2525</v>
      </c>
      <c r="AZ54" s="3" t="s">
        <v>2525</v>
      </c>
      <c r="BA54" s="3" t="s">
        <v>84</v>
      </c>
      <c r="BB54" s="3" t="s">
        <v>2525</v>
      </c>
      <c r="BC54" s="3" t="s">
        <v>2525</v>
      </c>
      <c r="BD54" s="3" t="s">
        <v>2525</v>
      </c>
      <c r="BE54" s="3" t="s">
        <v>2525</v>
      </c>
      <c r="BF54" s="3" t="s">
        <v>2525</v>
      </c>
      <c r="BG54" s="3" t="s">
        <v>2525</v>
      </c>
      <c r="BH54" s="3" t="s">
        <v>2525</v>
      </c>
      <c r="BI54" s="3" t="s">
        <v>2525</v>
      </c>
      <c r="BJ54" s="3" t="s">
        <v>84</v>
      </c>
      <c r="BK54" s="3" t="s">
        <v>86</v>
      </c>
      <c r="BL54" s="3" t="s">
        <v>86</v>
      </c>
      <c r="BM54" s="3" t="s">
        <v>86</v>
      </c>
      <c r="BN54" s="3" t="s">
        <v>636</v>
      </c>
      <c r="BO54" s="3" t="s">
        <v>286</v>
      </c>
      <c r="BP54" s="3" t="s">
        <v>254</v>
      </c>
    </row>
    <row r="55">
      <c r="A55" s="3" t="s">
        <v>638</v>
      </c>
      <c r="B55" s="3" t="s">
        <v>639</v>
      </c>
      <c r="C55" s="3" t="s">
        <v>92</v>
      </c>
      <c r="I55" s="3">
        <v>15.0</v>
      </c>
      <c r="J55" s="3" t="s">
        <v>123</v>
      </c>
      <c r="K55" s="3" t="s">
        <v>72</v>
      </c>
      <c r="L55" s="3" t="s">
        <v>73</v>
      </c>
      <c r="M55" s="3" t="s">
        <v>74</v>
      </c>
      <c r="P55" s="3" t="s">
        <v>136</v>
      </c>
      <c r="Q55" s="32" t="s">
        <v>638</v>
      </c>
      <c r="R55" s="32" t="s">
        <v>286</v>
      </c>
      <c r="S55" s="32"/>
      <c r="T55" s="32"/>
      <c r="X55" s="3" t="s">
        <v>77</v>
      </c>
      <c r="Y55" s="3" t="s">
        <v>138</v>
      </c>
      <c r="Z55" s="3" t="s">
        <v>640</v>
      </c>
      <c r="AA55" s="3" t="s">
        <v>641</v>
      </c>
      <c r="AB55" s="3" t="s">
        <v>642</v>
      </c>
      <c r="AC55" s="3" t="s">
        <v>643</v>
      </c>
      <c r="AE55" s="3" t="s">
        <v>83</v>
      </c>
      <c r="AF55" s="3" t="s">
        <v>84</v>
      </c>
      <c r="AG55" s="3" t="s">
        <v>85</v>
      </c>
      <c r="AH55" s="3" t="s">
        <v>2525</v>
      </c>
      <c r="AI55" s="3" t="s">
        <v>2525</v>
      </c>
      <c r="AJ55" s="3" t="s">
        <v>84</v>
      </c>
      <c r="AK55" s="3" t="s">
        <v>84</v>
      </c>
      <c r="AL55" s="3" t="s">
        <v>2525</v>
      </c>
      <c r="AM55" s="3" t="s">
        <v>85</v>
      </c>
      <c r="AN55" s="3" t="s">
        <v>85</v>
      </c>
      <c r="AO55" s="3" t="s">
        <v>2525</v>
      </c>
      <c r="AP55" s="3" t="s">
        <v>2525</v>
      </c>
      <c r="AR55" s="3" t="s">
        <v>2525</v>
      </c>
      <c r="AS55" s="3" t="s">
        <v>84</v>
      </c>
      <c r="AT55" s="3" t="s">
        <v>2525</v>
      </c>
      <c r="AU55" s="3" t="s">
        <v>85</v>
      </c>
      <c r="AV55" s="3" t="s">
        <v>2525</v>
      </c>
      <c r="AW55" s="3" t="s">
        <v>2525</v>
      </c>
      <c r="AX55" s="3" t="s">
        <v>2525</v>
      </c>
      <c r="AY55" s="3" t="s">
        <v>2525</v>
      </c>
      <c r="AZ55" s="3" t="s">
        <v>84</v>
      </c>
      <c r="BA55" s="3" t="s">
        <v>84</v>
      </c>
      <c r="BB55" s="3" t="s">
        <v>2525</v>
      </c>
      <c r="BC55" s="3" t="s">
        <v>2525</v>
      </c>
      <c r="BD55" s="3" t="s">
        <v>85</v>
      </c>
      <c r="BE55" s="3" t="s">
        <v>2525</v>
      </c>
      <c r="BF55" s="3" t="s">
        <v>2525</v>
      </c>
      <c r="BG55" s="3" t="s">
        <v>2525</v>
      </c>
      <c r="BH55" s="3" t="s">
        <v>2525</v>
      </c>
      <c r="BI55" s="3" t="s">
        <v>84</v>
      </c>
      <c r="BJ55" s="3" t="s">
        <v>85</v>
      </c>
      <c r="BK55" s="3" t="s">
        <v>86</v>
      </c>
      <c r="BL55" s="3" t="s">
        <v>2525</v>
      </c>
      <c r="BN55" s="3" t="s">
        <v>286</v>
      </c>
      <c r="BO55" s="3" t="s">
        <v>286</v>
      </c>
    </row>
    <row r="56">
      <c r="A56" s="3" t="s">
        <v>645</v>
      </c>
      <c r="B56" s="3" t="s">
        <v>646</v>
      </c>
      <c r="C56" s="3" t="s">
        <v>92</v>
      </c>
      <c r="D56" s="3" t="s">
        <v>647</v>
      </c>
      <c r="I56" s="3">
        <v>47.0</v>
      </c>
      <c r="J56" s="3" t="s">
        <v>648</v>
      </c>
      <c r="K56" s="3" t="s">
        <v>72</v>
      </c>
      <c r="L56" s="3" t="s">
        <v>108</v>
      </c>
      <c r="M56" s="3" t="s">
        <v>109</v>
      </c>
      <c r="N56" s="3">
        <v>-45.529411764705884</v>
      </c>
      <c r="P56" s="3" t="s">
        <v>136</v>
      </c>
      <c r="Q56" s="32" t="s">
        <v>645</v>
      </c>
      <c r="R56" s="32" t="s">
        <v>649</v>
      </c>
      <c r="S56" s="32"/>
      <c r="T56" s="32"/>
      <c r="W56" s="3" t="s">
        <v>261</v>
      </c>
      <c r="X56" s="3" t="s">
        <v>77</v>
      </c>
      <c r="Y56" s="3" t="s">
        <v>138</v>
      </c>
      <c r="Z56" s="3" t="s">
        <v>650</v>
      </c>
      <c r="AA56" s="3" t="s">
        <v>651</v>
      </c>
      <c r="AB56" s="3" t="s">
        <v>652</v>
      </c>
      <c r="AC56" s="3" t="s">
        <v>653</v>
      </c>
      <c r="AE56" s="3" t="s">
        <v>83</v>
      </c>
      <c r="AF56" s="3" t="s">
        <v>2525</v>
      </c>
      <c r="AG56" s="3" t="s">
        <v>2525</v>
      </c>
      <c r="AH56" s="3" t="s">
        <v>84</v>
      </c>
      <c r="AI56" s="3" t="s">
        <v>84</v>
      </c>
      <c r="AJ56" s="3" t="s">
        <v>85</v>
      </c>
      <c r="AK56" s="3" t="s">
        <v>2525</v>
      </c>
      <c r="AL56" s="3" t="s">
        <v>2525</v>
      </c>
      <c r="AM56" s="3" t="s">
        <v>2525</v>
      </c>
      <c r="AN56" s="3" t="s">
        <v>2525</v>
      </c>
      <c r="AO56" s="3" t="s">
        <v>2525</v>
      </c>
      <c r="AP56" s="3" t="s">
        <v>2525</v>
      </c>
      <c r="AR56" s="3" t="s">
        <v>2525</v>
      </c>
      <c r="AS56" s="3" t="s">
        <v>85</v>
      </c>
      <c r="AT56" s="3" t="s">
        <v>85</v>
      </c>
      <c r="AU56" s="3" t="s">
        <v>2525</v>
      </c>
      <c r="AV56" s="3" t="s">
        <v>2525</v>
      </c>
      <c r="AW56" s="3" t="s">
        <v>2525</v>
      </c>
      <c r="AX56" s="3" t="s">
        <v>2525</v>
      </c>
      <c r="AY56" s="3" t="s">
        <v>2525</v>
      </c>
      <c r="AZ56" s="3" t="s">
        <v>85</v>
      </c>
      <c r="BA56" s="3" t="s">
        <v>2525</v>
      </c>
      <c r="BB56" s="3" t="s">
        <v>2525</v>
      </c>
      <c r="BC56" s="3" t="s">
        <v>2525</v>
      </c>
      <c r="BD56" s="3" t="s">
        <v>2525</v>
      </c>
      <c r="BE56" s="3" t="s">
        <v>84</v>
      </c>
      <c r="BF56" s="3" t="s">
        <v>2525</v>
      </c>
      <c r="BG56" s="3" t="s">
        <v>2525</v>
      </c>
      <c r="BH56" s="3" t="s">
        <v>2525</v>
      </c>
      <c r="BI56" s="3" t="s">
        <v>84</v>
      </c>
      <c r="BJ56" s="3" t="s">
        <v>2525</v>
      </c>
      <c r="BL56" s="3" t="s">
        <v>2525</v>
      </c>
      <c r="BN56" s="3" t="s">
        <v>654</v>
      </c>
      <c r="BO56" s="3" t="s">
        <v>655</v>
      </c>
      <c r="BP56" s="3" t="s">
        <v>144</v>
      </c>
    </row>
    <row r="57">
      <c r="A57" s="3" t="s">
        <v>657</v>
      </c>
      <c r="B57" s="3" t="s">
        <v>658</v>
      </c>
      <c r="C57" s="3" t="s">
        <v>70</v>
      </c>
      <c r="D57" s="3" t="s">
        <v>659</v>
      </c>
      <c r="E57" s="3" t="s">
        <v>284</v>
      </c>
      <c r="I57" s="3">
        <v>11.0</v>
      </c>
      <c r="J57" s="3" t="s">
        <v>171</v>
      </c>
      <c r="K57" s="3" t="s">
        <v>72</v>
      </c>
      <c r="L57" s="3" t="s">
        <v>2525</v>
      </c>
      <c r="M57" s="3" t="s">
        <v>660</v>
      </c>
      <c r="P57" s="3" t="s">
        <v>136</v>
      </c>
      <c r="Q57" s="32" t="s">
        <v>657</v>
      </c>
      <c r="R57" s="32" t="s">
        <v>305</v>
      </c>
      <c r="S57" s="32"/>
      <c r="T57" s="32"/>
      <c r="X57" s="3" t="s">
        <v>77</v>
      </c>
      <c r="Y57" s="3" t="s">
        <v>138</v>
      </c>
      <c r="Z57" s="3" t="s">
        <v>288</v>
      </c>
      <c r="AA57" s="3" t="s">
        <v>661</v>
      </c>
      <c r="AB57" s="3" t="s">
        <v>662</v>
      </c>
      <c r="AC57" s="3" t="s">
        <v>663</v>
      </c>
      <c r="AE57" s="3" t="s">
        <v>83</v>
      </c>
      <c r="AF57" s="3" t="s">
        <v>85</v>
      </c>
      <c r="AG57" s="3" t="s">
        <v>85</v>
      </c>
      <c r="AH57" s="3" t="s">
        <v>85</v>
      </c>
      <c r="AI57" s="3" t="s">
        <v>85</v>
      </c>
      <c r="AJ57" s="3" t="s">
        <v>85</v>
      </c>
      <c r="AK57" s="3" t="s">
        <v>84</v>
      </c>
      <c r="AL57" s="3" t="s">
        <v>85</v>
      </c>
      <c r="AM57" s="3" t="s">
        <v>85</v>
      </c>
      <c r="AN57" s="3" t="s">
        <v>85</v>
      </c>
      <c r="AO57" s="3" t="s">
        <v>85</v>
      </c>
      <c r="AP57" s="3" t="s">
        <v>2525</v>
      </c>
      <c r="AR57" s="3" t="s">
        <v>2525</v>
      </c>
      <c r="AS57" s="3" t="s">
        <v>2525</v>
      </c>
      <c r="AT57" s="3" t="s">
        <v>2525</v>
      </c>
      <c r="AU57" s="3" t="s">
        <v>2525</v>
      </c>
      <c r="AV57" s="3" t="s">
        <v>2525</v>
      </c>
      <c r="AW57" s="3" t="s">
        <v>2525</v>
      </c>
      <c r="AX57" s="3" t="s">
        <v>2525</v>
      </c>
      <c r="AY57" s="3" t="s">
        <v>2525</v>
      </c>
      <c r="AZ57" s="3" t="s">
        <v>2525</v>
      </c>
      <c r="BA57" s="3" t="s">
        <v>2525</v>
      </c>
      <c r="BB57" s="3" t="s">
        <v>2525</v>
      </c>
      <c r="BC57" s="3" t="s">
        <v>2525</v>
      </c>
      <c r="BD57" s="3" t="s">
        <v>84</v>
      </c>
      <c r="BE57" s="3" t="s">
        <v>84</v>
      </c>
      <c r="BF57" s="3" t="s">
        <v>85</v>
      </c>
      <c r="BG57" s="3" t="s">
        <v>2525</v>
      </c>
      <c r="BH57" s="3" t="s">
        <v>2525</v>
      </c>
      <c r="BI57" s="3" t="s">
        <v>2525</v>
      </c>
      <c r="BJ57" s="3" t="s">
        <v>2525</v>
      </c>
      <c r="BK57" s="3" t="s">
        <v>86</v>
      </c>
      <c r="BL57" s="3" t="s">
        <v>86</v>
      </c>
      <c r="BM57" s="3" t="s">
        <v>86</v>
      </c>
      <c r="BN57" s="3" t="s">
        <v>310</v>
      </c>
      <c r="BO57" s="3" t="s">
        <v>664</v>
      </c>
      <c r="BP57" s="3" t="s">
        <v>292</v>
      </c>
    </row>
    <row r="58">
      <c r="A58" s="3" t="s">
        <v>58</v>
      </c>
      <c r="B58" s="3" t="s">
        <v>666</v>
      </c>
      <c r="C58" s="3" t="s">
        <v>92</v>
      </c>
      <c r="D58" s="3" t="s">
        <v>270</v>
      </c>
      <c r="I58" s="3">
        <v>25.0</v>
      </c>
      <c r="J58" s="3" t="s">
        <v>667</v>
      </c>
      <c r="K58" s="3" t="s">
        <v>72</v>
      </c>
      <c r="L58" s="3" t="s">
        <v>668</v>
      </c>
      <c r="M58" s="3" t="s">
        <v>669</v>
      </c>
      <c r="N58" s="3">
        <v>30.756417793454833</v>
      </c>
      <c r="P58" s="3" t="s">
        <v>136</v>
      </c>
      <c r="Q58" s="32" t="s">
        <v>58</v>
      </c>
      <c r="R58" s="32" t="s">
        <v>670</v>
      </c>
      <c r="S58" s="32"/>
      <c r="T58" s="32"/>
      <c r="W58" s="3" t="s">
        <v>274</v>
      </c>
      <c r="X58" s="3" t="s">
        <v>77</v>
      </c>
      <c r="Y58" s="3" t="s">
        <v>138</v>
      </c>
      <c r="Z58" s="3" t="s">
        <v>58</v>
      </c>
      <c r="AA58" s="3" t="s">
        <v>671</v>
      </c>
      <c r="AB58" s="3" t="s">
        <v>672</v>
      </c>
      <c r="AC58" s="3" t="s">
        <v>673</v>
      </c>
      <c r="AD58" s="3" t="s">
        <v>674</v>
      </c>
      <c r="AE58" s="3" t="s">
        <v>83</v>
      </c>
      <c r="AF58" s="3" t="s">
        <v>129</v>
      </c>
      <c r="AG58" s="3" t="s">
        <v>129</v>
      </c>
      <c r="AH58" s="3" t="s">
        <v>84</v>
      </c>
      <c r="AI58" s="3" t="s">
        <v>85</v>
      </c>
      <c r="AJ58" s="3" t="s">
        <v>85</v>
      </c>
      <c r="AK58" s="3" t="s">
        <v>2525</v>
      </c>
      <c r="AL58" s="3" t="s">
        <v>2525</v>
      </c>
      <c r="AM58" s="3" t="s">
        <v>2525</v>
      </c>
      <c r="AN58" s="3" t="s">
        <v>2525</v>
      </c>
      <c r="AO58" s="3" t="s">
        <v>2525</v>
      </c>
      <c r="AP58" s="3" t="s">
        <v>2525</v>
      </c>
      <c r="AR58" s="3" t="s">
        <v>2525</v>
      </c>
      <c r="AS58" s="3" t="s">
        <v>85</v>
      </c>
      <c r="AT58" s="3" t="s">
        <v>2525</v>
      </c>
      <c r="AU58" s="3" t="s">
        <v>2525</v>
      </c>
      <c r="AV58" s="3" t="s">
        <v>2525</v>
      </c>
      <c r="AW58" s="3" t="s">
        <v>2525</v>
      </c>
      <c r="AX58" s="3" t="s">
        <v>2525</v>
      </c>
      <c r="AY58" s="3" t="s">
        <v>2525</v>
      </c>
      <c r="AZ58" s="3" t="s">
        <v>85</v>
      </c>
      <c r="BA58" s="3" t="s">
        <v>84</v>
      </c>
      <c r="BB58" s="3" t="s">
        <v>2525</v>
      </c>
      <c r="BC58" s="3" t="s">
        <v>2525</v>
      </c>
      <c r="BD58" s="3" t="s">
        <v>129</v>
      </c>
      <c r="BE58" s="3" t="s">
        <v>84</v>
      </c>
      <c r="BF58" s="3" t="s">
        <v>2525</v>
      </c>
      <c r="BG58" s="3" t="s">
        <v>2525</v>
      </c>
      <c r="BH58" s="3" t="s">
        <v>129</v>
      </c>
      <c r="BI58" s="3" t="s">
        <v>129</v>
      </c>
      <c r="BJ58" s="3" t="s">
        <v>85</v>
      </c>
      <c r="BK58" s="3" t="s">
        <v>86</v>
      </c>
      <c r="BL58" s="3" t="s">
        <v>2525</v>
      </c>
      <c r="BM58" s="3" t="s">
        <v>86</v>
      </c>
      <c r="BN58" s="3" t="s">
        <v>675</v>
      </c>
      <c r="BO58" s="3" t="s">
        <v>670</v>
      </c>
      <c r="BP58" s="3" t="s">
        <v>144</v>
      </c>
    </row>
    <row r="59">
      <c r="A59" s="3" t="s">
        <v>677</v>
      </c>
      <c r="B59" s="3" t="s">
        <v>678</v>
      </c>
      <c r="C59" s="3" t="s">
        <v>92</v>
      </c>
      <c r="I59" s="3">
        <v>15.0</v>
      </c>
      <c r="J59" s="3" t="s">
        <v>679</v>
      </c>
      <c r="K59" s="3" t="s">
        <v>72</v>
      </c>
      <c r="L59" s="3" t="s">
        <v>2525</v>
      </c>
      <c r="M59" s="3" t="s">
        <v>680</v>
      </c>
      <c r="P59" s="3" t="s">
        <v>110</v>
      </c>
      <c r="Q59" s="32" t="s">
        <v>677</v>
      </c>
      <c r="R59" s="32" t="s">
        <v>681</v>
      </c>
      <c r="S59" s="32"/>
      <c r="T59" s="32"/>
      <c r="X59" s="3" t="s">
        <v>77</v>
      </c>
      <c r="Y59" s="3" t="s">
        <v>138</v>
      </c>
      <c r="Z59" s="3" t="s">
        <v>275</v>
      </c>
      <c r="AA59" s="3" t="s">
        <v>682</v>
      </c>
      <c r="AB59" s="3" t="s">
        <v>683</v>
      </c>
      <c r="AC59" s="3" t="s">
        <v>684</v>
      </c>
      <c r="AE59" s="3" t="s">
        <v>83</v>
      </c>
      <c r="AF59" s="3" t="s">
        <v>85</v>
      </c>
      <c r="AG59" s="3" t="s">
        <v>84</v>
      </c>
      <c r="AH59" s="3" t="s">
        <v>85</v>
      </c>
      <c r="AI59" s="3" t="s">
        <v>84</v>
      </c>
      <c r="AJ59" s="3" t="s">
        <v>2525</v>
      </c>
      <c r="AK59" s="3" t="s">
        <v>85</v>
      </c>
      <c r="AL59" s="3" t="s">
        <v>85</v>
      </c>
      <c r="AM59" s="3" t="s">
        <v>84</v>
      </c>
      <c r="AN59" s="3" t="s">
        <v>84</v>
      </c>
      <c r="AO59" s="3" t="s">
        <v>2525</v>
      </c>
      <c r="AP59" s="3" t="s">
        <v>2525</v>
      </c>
      <c r="AR59" s="3" t="s">
        <v>2525</v>
      </c>
      <c r="AS59" s="3" t="s">
        <v>84</v>
      </c>
      <c r="AT59" s="3" t="s">
        <v>84</v>
      </c>
      <c r="AU59" s="3" t="s">
        <v>85</v>
      </c>
      <c r="AV59" s="3" t="s">
        <v>2525</v>
      </c>
      <c r="AW59" s="3" t="s">
        <v>2525</v>
      </c>
      <c r="AX59" s="3" t="s">
        <v>85</v>
      </c>
      <c r="AY59" s="3" t="s">
        <v>2525</v>
      </c>
      <c r="AZ59" s="3" t="s">
        <v>2525</v>
      </c>
      <c r="BA59" s="3" t="s">
        <v>84</v>
      </c>
      <c r="BB59" s="3" t="s">
        <v>2525</v>
      </c>
      <c r="BC59" s="3" t="s">
        <v>2525</v>
      </c>
      <c r="BD59" s="3" t="s">
        <v>2525</v>
      </c>
      <c r="BE59" s="3" t="s">
        <v>2525</v>
      </c>
      <c r="BF59" s="3" t="s">
        <v>2525</v>
      </c>
      <c r="BG59" s="3" t="s">
        <v>2525</v>
      </c>
      <c r="BH59" s="3" t="s">
        <v>2525</v>
      </c>
      <c r="BI59" s="3" t="s">
        <v>2525</v>
      </c>
      <c r="BJ59" s="3" t="s">
        <v>2525</v>
      </c>
      <c r="BL59" s="3" t="s">
        <v>2525</v>
      </c>
      <c r="BN59" s="3" t="s">
        <v>310</v>
      </c>
      <c r="BO59" s="3" t="s">
        <v>685</v>
      </c>
    </row>
    <row r="60">
      <c r="A60" s="3" t="s">
        <v>687</v>
      </c>
      <c r="B60" s="3" t="s">
        <v>688</v>
      </c>
      <c r="C60" s="3" t="s">
        <v>92</v>
      </c>
      <c r="I60" s="3">
        <v>15.0</v>
      </c>
      <c r="J60" s="3" t="s">
        <v>71</v>
      </c>
      <c r="K60" s="3" t="s">
        <v>72</v>
      </c>
      <c r="L60" s="3" t="s">
        <v>108</v>
      </c>
      <c r="M60" s="3" t="s">
        <v>109</v>
      </c>
      <c r="P60" s="3" t="s">
        <v>136</v>
      </c>
      <c r="Q60" s="32" t="s">
        <v>687</v>
      </c>
      <c r="R60" s="32" t="s">
        <v>286</v>
      </c>
      <c r="S60" s="32"/>
      <c r="T60" s="32"/>
      <c r="X60" s="3" t="s">
        <v>77</v>
      </c>
      <c r="Y60" s="3" t="s">
        <v>138</v>
      </c>
      <c r="Z60" s="3" t="s">
        <v>384</v>
      </c>
      <c r="AA60" s="3" t="s">
        <v>689</v>
      </c>
      <c r="AB60" s="3" t="s">
        <v>690</v>
      </c>
      <c r="AC60" s="3" t="s">
        <v>691</v>
      </c>
      <c r="AE60" s="3" t="s">
        <v>83</v>
      </c>
      <c r="AF60" s="3" t="s">
        <v>2525</v>
      </c>
      <c r="AG60" s="3" t="s">
        <v>2525</v>
      </c>
      <c r="AH60" s="3" t="s">
        <v>84</v>
      </c>
      <c r="AI60" s="3" t="s">
        <v>84</v>
      </c>
      <c r="AJ60" s="3" t="s">
        <v>84</v>
      </c>
      <c r="AK60" s="3" t="s">
        <v>2525</v>
      </c>
      <c r="AL60" s="3" t="s">
        <v>2525</v>
      </c>
      <c r="AM60" s="3" t="s">
        <v>2525</v>
      </c>
      <c r="AN60" s="3" t="s">
        <v>2525</v>
      </c>
      <c r="AO60" s="3" t="s">
        <v>2525</v>
      </c>
      <c r="AP60" s="3" t="s">
        <v>2525</v>
      </c>
      <c r="AR60" s="3" t="s">
        <v>2525</v>
      </c>
      <c r="AS60" s="3" t="s">
        <v>2525</v>
      </c>
      <c r="AT60" s="3" t="s">
        <v>84</v>
      </c>
      <c r="AU60" s="3" t="s">
        <v>2525</v>
      </c>
      <c r="AV60" s="3" t="s">
        <v>2525</v>
      </c>
      <c r="AW60" s="3" t="s">
        <v>2525</v>
      </c>
      <c r="AX60" s="3" t="s">
        <v>2525</v>
      </c>
      <c r="AY60" s="3" t="s">
        <v>2525</v>
      </c>
      <c r="AZ60" s="3" t="s">
        <v>2525</v>
      </c>
      <c r="BA60" s="3" t="s">
        <v>2525</v>
      </c>
      <c r="BB60" s="3" t="s">
        <v>2525</v>
      </c>
      <c r="BC60" s="3" t="s">
        <v>2525</v>
      </c>
      <c r="BD60" s="3" t="s">
        <v>2525</v>
      </c>
      <c r="BE60" s="3" t="s">
        <v>85</v>
      </c>
      <c r="BF60" s="3" t="s">
        <v>2525</v>
      </c>
      <c r="BG60" s="3" t="s">
        <v>2525</v>
      </c>
      <c r="BH60" s="3" t="s">
        <v>2525</v>
      </c>
      <c r="BI60" s="3" t="s">
        <v>84</v>
      </c>
      <c r="BJ60" s="3" t="s">
        <v>2525</v>
      </c>
      <c r="BL60" s="3" t="s">
        <v>2525</v>
      </c>
      <c r="BN60" s="3" t="s">
        <v>286</v>
      </c>
      <c r="BO60" s="3" t="s">
        <v>286</v>
      </c>
    </row>
    <row r="61">
      <c r="A61" s="3" t="s">
        <v>693</v>
      </c>
      <c r="B61" s="3" t="s">
        <v>694</v>
      </c>
      <c r="C61" s="3" t="s">
        <v>92</v>
      </c>
      <c r="D61" s="3" t="s">
        <v>392</v>
      </c>
      <c r="I61" s="3">
        <v>48.0</v>
      </c>
      <c r="J61" s="3" t="s">
        <v>272</v>
      </c>
      <c r="K61" s="3" t="s">
        <v>72</v>
      </c>
      <c r="L61" s="3" t="s">
        <v>73</v>
      </c>
      <c r="M61" s="3" t="s">
        <v>38</v>
      </c>
      <c r="N61" s="3">
        <v>-5.9459459459459465</v>
      </c>
      <c r="P61" s="3" t="s">
        <v>260</v>
      </c>
      <c r="Q61" s="32" t="s">
        <v>693</v>
      </c>
      <c r="R61" s="32" t="s">
        <v>137</v>
      </c>
      <c r="S61" s="32"/>
      <c r="T61" s="32"/>
      <c r="W61" s="3" t="s">
        <v>205</v>
      </c>
      <c r="X61" s="3" t="s">
        <v>77</v>
      </c>
      <c r="Y61" s="3" t="s">
        <v>138</v>
      </c>
      <c r="Z61" s="3" t="s">
        <v>693</v>
      </c>
      <c r="AA61" s="3" t="s">
        <v>695</v>
      </c>
      <c r="AB61" s="3" t="s">
        <v>696</v>
      </c>
      <c r="AC61" s="3" t="s">
        <v>697</v>
      </c>
      <c r="AE61" s="3" t="s">
        <v>83</v>
      </c>
      <c r="AF61" s="3" t="s">
        <v>85</v>
      </c>
      <c r="AG61" s="3" t="s">
        <v>2525</v>
      </c>
      <c r="AH61" s="3" t="s">
        <v>2525</v>
      </c>
      <c r="AI61" s="3" t="s">
        <v>2525</v>
      </c>
      <c r="AJ61" s="3" t="s">
        <v>2525</v>
      </c>
      <c r="AK61" s="3" t="s">
        <v>84</v>
      </c>
      <c r="AL61" s="3" t="s">
        <v>2525</v>
      </c>
      <c r="AM61" s="3" t="s">
        <v>84</v>
      </c>
      <c r="AN61" s="3" t="s">
        <v>85</v>
      </c>
      <c r="AO61" s="3" t="s">
        <v>2525</v>
      </c>
      <c r="AP61" s="3" t="s">
        <v>2525</v>
      </c>
      <c r="AR61" s="3" t="s">
        <v>2525</v>
      </c>
      <c r="AS61" s="3" t="s">
        <v>84</v>
      </c>
      <c r="AT61" s="3" t="s">
        <v>2525</v>
      </c>
      <c r="AU61" s="3" t="s">
        <v>2525</v>
      </c>
      <c r="AV61" s="3" t="s">
        <v>2525</v>
      </c>
      <c r="AW61" s="3" t="s">
        <v>2525</v>
      </c>
      <c r="AX61" s="3" t="s">
        <v>2525</v>
      </c>
      <c r="AY61" s="3" t="s">
        <v>2525</v>
      </c>
      <c r="AZ61" s="3" t="s">
        <v>2525</v>
      </c>
      <c r="BA61" s="3" t="s">
        <v>84</v>
      </c>
      <c r="BB61" s="3" t="s">
        <v>2525</v>
      </c>
      <c r="BC61" s="3" t="s">
        <v>2525</v>
      </c>
      <c r="BD61" s="3" t="s">
        <v>2525</v>
      </c>
      <c r="BE61" s="3" t="s">
        <v>2525</v>
      </c>
      <c r="BF61" s="3" t="s">
        <v>2525</v>
      </c>
      <c r="BG61" s="3" t="s">
        <v>2525</v>
      </c>
      <c r="BH61" s="3" t="s">
        <v>2525</v>
      </c>
      <c r="BI61" s="3" t="s">
        <v>84</v>
      </c>
      <c r="BJ61" s="3" t="s">
        <v>85</v>
      </c>
      <c r="BK61" s="3" t="s">
        <v>86</v>
      </c>
      <c r="BL61" s="3" t="s">
        <v>2525</v>
      </c>
      <c r="BN61" s="3" t="s">
        <v>137</v>
      </c>
      <c r="BO61" s="3" t="s">
        <v>137</v>
      </c>
    </row>
    <row r="62">
      <c r="A62" s="3" t="s">
        <v>699</v>
      </c>
      <c r="B62" s="3" t="s">
        <v>700</v>
      </c>
      <c r="C62" s="3" t="s">
        <v>92</v>
      </c>
      <c r="D62" s="3" t="s">
        <v>701</v>
      </c>
      <c r="I62" s="3">
        <v>30.0</v>
      </c>
      <c r="J62" s="3" t="s">
        <v>702</v>
      </c>
      <c r="K62" s="3" t="s">
        <v>72</v>
      </c>
      <c r="L62" s="3" t="s">
        <v>73</v>
      </c>
      <c r="M62" s="3" t="s">
        <v>40</v>
      </c>
      <c r="N62" s="3">
        <v>-10.410094637223976</v>
      </c>
      <c r="P62" s="3" t="s">
        <v>136</v>
      </c>
      <c r="Q62" s="32" t="s">
        <v>699</v>
      </c>
      <c r="R62" s="32" t="s">
        <v>703</v>
      </c>
      <c r="S62" s="32"/>
      <c r="T62" s="32"/>
      <c r="W62" s="3" t="s">
        <v>704</v>
      </c>
      <c r="X62" s="3" t="s">
        <v>77</v>
      </c>
      <c r="Y62" s="3" t="s">
        <v>78</v>
      </c>
      <c r="Z62" s="3" t="s">
        <v>705</v>
      </c>
      <c r="AA62" s="3" t="s">
        <v>706</v>
      </c>
      <c r="AB62" s="3" t="s">
        <v>707</v>
      </c>
      <c r="AC62" s="3" t="s">
        <v>708</v>
      </c>
      <c r="AE62" s="3" t="s">
        <v>83</v>
      </c>
      <c r="AF62" s="3" t="s">
        <v>2525</v>
      </c>
      <c r="AG62" s="3" t="s">
        <v>84</v>
      </c>
      <c r="AH62" s="3" t="s">
        <v>2525</v>
      </c>
      <c r="AI62" s="3" t="s">
        <v>2525</v>
      </c>
      <c r="AJ62" s="3" t="s">
        <v>2525</v>
      </c>
      <c r="AK62" s="3" t="s">
        <v>2525</v>
      </c>
      <c r="AL62" s="3" t="s">
        <v>2525</v>
      </c>
      <c r="AM62" s="3" t="s">
        <v>2525</v>
      </c>
      <c r="AN62" s="3" t="s">
        <v>2525</v>
      </c>
      <c r="AO62" s="3" t="s">
        <v>84</v>
      </c>
      <c r="AP62" s="3" t="s">
        <v>2525</v>
      </c>
      <c r="AR62" s="3" t="s">
        <v>2525</v>
      </c>
      <c r="AS62" s="3" t="s">
        <v>85</v>
      </c>
      <c r="AT62" s="3" t="s">
        <v>2525</v>
      </c>
      <c r="AU62" s="3" t="s">
        <v>2525</v>
      </c>
      <c r="AV62" s="3" t="s">
        <v>84</v>
      </c>
      <c r="AW62" s="3" t="s">
        <v>2525</v>
      </c>
      <c r="AX62" s="3" t="s">
        <v>2525</v>
      </c>
      <c r="AY62" s="3" t="s">
        <v>2525</v>
      </c>
      <c r="AZ62" s="3" t="s">
        <v>2525</v>
      </c>
      <c r="BA62" s="3" t="s">
        <v>2525</v>
      </c>
      <c r="BB62" s="3" t="s">
        <v>2525</v>
      </c>
      <c r="BC62" s="3" t="s">
        <v>2525</v>
      </c>
      <c r="BD62" s="3" t="s">
        <v>85</v>
      </c>
      <c r="BE62" s="3" t="s">
        <v>2525</v>
      </c>
      <c r="BF62" s="3" t="s">
        <v>2525</v>
      </c>
      <c r="BG62" s="3" t="s">
        <v>2525</v>
      </c>
      <c r="BH62" s="3" t="s">
        <v>2525</v>
      </c>
      <c r="BI62" s="3" t="s">
        <v>84</v>
      </c>
      <c r="BJ62" s="3" t="s">
        <v>2525</v>
      </c>
      <c r="BL62" s="3" t="s">
        <v>2525</v>
      </c>
      <c r="BN62" s="3" t="s">
        <v>709</v>
      </c>
      <c r="BO62" s="3" t="s">
        <v>710</v>
      </c>
      <c r="BP62" s="3" t="s">
        <v>292</v>
      </c>
    </row>
    <row r="63">
      <c r="A63" s="3" t="s">
        <v>712</v>
      </c>
      <c r="B63" s="3" t="s">
        <v>713</v>
      </c>
      <c r="C63" s="3" t="s">
        <v>92</v>
      </c>
      <c r="D63" s="3" t="s">
        <v>714</v>
      </c>
      <c r="I63" s="3">
        <v>33.0</v>
      </c>
      <c r="J63" s="3" t="s">
        <v>135</v>
      </c>
      <c r="K63" s="3" t="s">
        <v>72</v>
      </c>
      <c r="L63" s="3" t="s">
        <v>73</v>
      </c>
      <c r="M63" s="3" t="s">
        <v>38</v>
      </c>
      <c r="N63" s="3">
        <v>36.253369272237194</v>
      </c>
      <c r="P63" s="3" t="s">
        <v>260</v>
      </c>
      <c r="Q63" s="32" t="s">
        <v>712</v>
      </c>
      <c r="R63" s="32" t="s">
        <v>137</v>
      </c>
      <c r="S63" s="32"/>
      <c r="T63" s="32"/>
      <c r="X63" s="3" t="s">
        <v>77</v>
      </c>
      <c r="Y63" s="3" t="s">
        <v>138</v>
      </c>
      <c r="Z63" s="3" t="s">
        <v>715</v>
      </c>
      <c r="AA63" s="3" t="s">
        <v>716</v>
      </c>
      <c r="AB63" s="3" t="s">
        <v>717</v>
      </c>
      <c r="AC63" s="3" t="s">
        <v>718</v>
      </c>
      <c r="AE63" s="3" t="s">
        <v>83</v>
      </c>
      <c r="AF63" s="3" t="s">
        <v>85</v>
      </c>
      <c r="AG63" s="3" t="s">
        <v>2525</v>
      </c>
      <c r="AH63" s="3" t="s">
        <v>2525</v>
      </c>
      <c r="AI63" s="3" t="s">
        <v>2525</v>
      </c>
      <c r="AJ63" s="3" t="s">
        <v>85</v>
      </c>
      <c r="AK63" s="3" t="s">
        <v>2525</v>
      </c>
      <c r="AL63" s="3" t="s">
        <v>2525</v>
      </c>
      <c r="AM63" s="3" t="s">
        <v>84</v>
      </c>
      <c r="AN63" s="3" t="s">
        <v>85</v>
      </c>
      <c r="AO63" s="3" t="s">
        <v>2525</v>
      </c>
      <c r="AP63" s="3" t="s">
        <v>2525</v>
      </c>
      <c r="AR63" s="3" t="s">
        <v>2525</v>
      </c>
      <c r="AS63" s="3" t="s">
        <v>84</v>
      </c>
      <c r="AT63" s="3" t="s">
        <v>2525</v>
      </c>
      <c r="AU63" s="3" t="s">
        <v>2525</v>
      </c>
      <c r="AV63" s="3" t="s">
        <v>2525</v>
      </c>
      <c r="AW63" s="3" t="s">
        <v>2525</v>
      </c>
      <c r="AX63" s="3" t="s">
        <v>2525</v>
      </c>
      <c r="AY63" s="3" t="s">
        <v>2525</v>
      </c>
      <c r="AZ63" s="3" t="s">
        <v>85</v>
      </c>
      <c r="BA63" s="3" t="s">
        <v>84</v>
      </c>
      <c r="BB63" s="3" t="s">
        <v>2525</v>
      </c>
      <c r="BC63" s="3" t="s">
        <v>2525</v>
      </c>
      <c r="BD63" s="3" t="s">
        <v>2525</v>
      </c>
      <c r="BE63" s="3" t="s">
        <v>2525</v>
      </c>
      <c r="BF63" s="3" t="s">
        <v>2525</v>
      </c>
      <c r="BG63" s="3" t="s">
        <v>2525</v>
      </c>
      <c r="BH63" s="3" t="s">
        <v>2525</v>
      </c>
      <c r="BI63" s="3" t="s">
        <v>84</v>
      </c>
      <c r="BJ63" s="3" t="s">
        <v>85</v>
      </c>
      <c r="BK63" s="3" t="s">
        <v>86</v>
      </c>
      <c r="BL63" s="3" t="s">
        <v>2525</v>
      </c>
      <c r="BN63" s="3" t="s">
        <v>719</v>
      </c>
      <c r="BO63" s="3" t="s">
        <v>137</v>
      </c>
    </row>
    <row r="64">
      <c r="A64" s="3" t="s">
        <v>721</v>
      </c>
      <c r="B64" s="3" t="s">
        <v>722</v>
      </c>
      <c r="C64" s="3" t="s">
        <v>92</v>
      </c>
      <c r="D64" s="3" t="s">
        <v>425</v>
      </c>
      <c r="I64" s="3">
        <v>46.0</v>
      </c>
      <c r="J64" s="3" t="s">
        <v>190</v>
      </c>
      <c r="K64" s="3" t="s">
        <v>72</v>
      </c>
      <c r="L64" s="3" t="s">
        <v>73</v>
      </c>
      <c r="M64" s="3" t="s">
        <v>723</v>
      </c>
      <c r="N64" s="3">
        <v>-9.133489461358314</v>
      </c>
      <c r="P64" s="3" t="s">
        <v>75</v>
      </c>
      <c r="Q64" s="32" t="s">
        <v>721</v>
      </c>
      <c r="R64" s="32" t="s">
        <v>724</v>
      </c>
      <c r="S64" s="32"/>
      <c r="T64" s="32"/>
      <c r="X64" s="3" t="s">
        <v>77</v>
      </c>
      <c r="Y64" s="3" t="s">
        <v>78</v>
      </c>
      <c r="Z64" s="3" t="s">
        <v>725</v>
      </c>
      <c r="AA64" s="3" t="s">
        <v>726</v>
      </c>
      <c r="AB64" s="3" t="s">
        <v>727</v>
      </c>
      <c r="AC64" s="3" t="s">
        <v>728</v>
      </c>
      <c r="AD64" s="3" t="s">
        <v>729</v>
      </c>
      <c r="AE64" s="3" t="s">
        <v>83</v>
      </c>
      <c r="AF64" s="3" t="s">
        <v>129</v>
      </c>
      <c r="AG64" s="3" t="s">
        <v>85</v>
      </c>
      <c r="AH64" s="3" t="s">
        <v>2525</v>
      </c>
      <c r="AI64" s="3" t="s">
        <v>2525</v>
      </c>
      <c r="AJ64" s="3" t="s">
        <v>2525</v>
      </c>
      <c r="AK64" s="3" t="s">
        <v>2525</v>
      </c>
      <c r="AL64" s="3" t="s">
        <v>2525</v>
      </c>
      <c r="AM64" s="3" t="s">
        <v>85</v>
      </c>
      <c r="AN64" s="3" t="s">
        <v>84</v>
      </c>
      <c r="AO64" s="3" t="s">
        <v>2525</v>
      </c>
      <c r="AP64" s="3" t="s">
        <v>84</v>
      </c>
      <c r="AR64" s="3" t="s">
        <v>2525</v>
      </c>
      <c r="AS64" s="3" t="s">
        <v>85</v>
      </c>
      <c r="AT64" s="3" t="s">
        <v>2525</v>
      </c>
      <c r="AU64" s="3" t="s">
        <v>2525</v>
      </c>
      <c r="AV64" s="3" t="s">
        <v>2525</v>
      </c>
      <c r="AW64" s="3" t="s">
        <v>2525</v>
      </c>
      <c r="AX64" s="3" t="s">
        <v>2525</v>
      </c>
      <c r="AY64" s="3" t="s">
        <v>2525</v>
      </c>
      <c r="AZ64" s="3" t="s">
        <v>85</v>
      </c>
      <c r="BA64" s="3" t="s">
        <v>84</v>
      </c>
      <c r="BB64" s="3" t="s">
        <v>2525</v>
      </c>
      <c r="BC64" s="3" t="s">
        <v>2525</v>
      </c>
      <c r="BD64" s="3" t="s">
        <v>85</v>
      </c>
      <c r="BE64" s="3" t="s">
        <v>2525</v>
      </c>
      <c r="BF64" s="3" t="s">
        <v>2525</v>
      </c>
      <c r="BG64" s="3" t="s">
        <v>2525</v>
      </c>
      <c r="BH64" s="3" t="s">
        <v>2525</v>
      </c>
      <c r="BI64" s="3" t="s">
        <v>2525</v>
      </c>
      <c r="BJ64" s="3" t="s">
        <v>85</v>
      </c>
      <c r="BK64" s="3" t="s">
        <v>86</v>
      </c>
      <c r="BL64" s="3" t="s">
        <v>2525</v>
      </c>
      <c r="BN64" s="3" t="s">
        <v>730</v>
      </c>
      <c r="BO64" s="3" t="s">
        <v>731</v>
      </c>
    </row>
    <row r="65">
      <c r="A65" s="3" t="s">
        <v>733</v>
      </c>
      <c r="B65" s="3" t="s">
        <v>734</v>
      </c>
      <c r="C65" s="3" t="s">
        <v>92</v>
      </c>
      <c r="D65" s="3" t="s">
        <v>432</v>
      </c>
      <c r="I65" s="3">
        <v>30.0</v>
      </c>
      <c r="J65" s="3" t="s">
        <v>171</v>
      </c>
      <c r="K65" s="3" t="s">
        <v>72</v>
      </c>
      <c r="L65" s="3" t="s">
        <v>73</v>
      </c>
      <c r="M65" s="3" t="s">
        <v>37</v>
      </c>
      <c r="N65" s="3">
        <v>15.249266862170089</v>
      </c>
      <c r="P65" s="3" t="s">
        <v>75</v>
      </c>
      <c r="Q65" s="32" t="s">
        <v>733</v>
      </c>
      <c r="R65" s="32" t="s">
        <v>735</v>
      </c>
      <c r="S65" s="32"/>
      <c r="T65" s="32"/>
      <c r="X65" s="3" t="s">
        <v>77</v>
      </c>
      <c r="Y65" s="3" t="s">
        <v>78</v>
      </c>
      <c r="Z65" s="3" t="s">
        <v>434</v>
      </c>
      <c r="AA65" s="3" t="s">
        <v>736</v>
      </c>
      <c r="AB65" s="3" t="s">
        <v>737</v>
      </c>
      <c r="AC65" s="3" t="s">
        <v>738</v>
      </c>
      <c r="AE65" s="3" t="s">
        <v>83</v>
      </c>
      <c r="AF65" s="3" t="s">
        <v>84</v>
      </c>
      <c r="AG65" s="3" t="s">
        <v>84</v>
      </c>
      <c r="AH65" s="3" t="s">
        <v>2525</v>
      </c>
      <c r="AI65" s="3" t="s">
        <v>2525</v>
      </c>
      <c r="AJ65" s="3" t="s">
        <v>2525</v>
      </c>
      <c r="AK65" s="3" t="s">
        <v>2525</v>
      </c>
      <c r="AL65" s="3" t="s">
        <v>129</v>
      </c>
      <c r="AM65" s="3" t="s">
        <v>2525</v>
      </c>
      <c r="AN65" s="3" t="s">
        <v>84</v>
      </c>
      <c r="AO65" s="3" t="s">
        <v>2525</v>
      </c>
      <c r="AP65" s="3" t="s">
        <v>2525</v>
      </c>
      <c r="AR65" s="3" t="s">
        <v>2525</v>
      </c>
      <c r="AS65" s="3" t="s">
        <v>85</v>
      </c>
      <c r="AT65" s="3" t="s">
        <v>2525</v>
      </c>
      <c r="AU65" s="3" t="s">
        <v>2525</v>
      </c>
      <c r="AV65" s="3" t="s">
        <v>2525</v>
      </c>
      <c r="AW65" s="3" t="s">
        <v>2525</v>
      </c>
      <c r="AX65" s="3" t="s">
        <v>2525</v>
      </c>
      <c r="AY65" s="3" t="s">
        <v>84</v>
      </c>
      <c r="AZ65" s="3" t="s">
        <v>2525</v>
      </c>
      <c r="BA65" s="3" t="s">
        <v>84</v>
      </c>
      <c r="BB65" s="3" t="s">
        <v>2525</v>
      </c>
      <c r="BC65" s="3" t="s">
        <v>2525</v>
      </c>
      <c r="BD65" s="3" t="s">
        <v>85</v>
      </c>
      <c r="BE65" s="3" t="s">
        <v>2525</v>
      </c>
      <c r="BF65" s="3" t="s">
        <v>2525</v>
      </c>
      <c r="BG65" s="3" t="s">
        <v>2525</v>
      </c>
      <c r="BH65" s="3" t="s">
        <v>2525</v>
      </c>
      <c r="BI65" s="3" t="s">
        <v>2525</v>
      </c>
      <c r="BJ65" s="3" t="s">
        <v>85</v>
      </c>
      <c r="BK65" s="3" t="s">
        <v>86</v>
      </c>
      <c r="BL65" s="3" t="s">
        <v>2525</v>
      </c>
      <c r="BN65" s="3" t="s">
        <v>739</v>
      </c>
      <c r="BO65" s="3" t="s">
        <v>740</v>
      </c>
    </row>
    <row r="66">
      <c r="A66" s="3" t="s">
        <v>742</v>
      </c>
      <c r="B66" s="3" t="s">
        <v>743</v>
      </c>
      <c r="C66" s="3" t="s">
        <v>92</v>
      </c>
      <c r="D66" s="3" t="s">
        <v>744</v>
      </c>
      <c r="I66" s="3">
        <v>36.0</v>
      </c>
      <c r="J66" s="3" t="s">
        <v>190</v>
      </c>
      <c r="K66" s="3" t="s">
        <v>72</v>
      </c>
      <c r="L66" s="3" t="s">
        <v>73</v>
      </c>
      <c r="M66" s="3" t="s">
        <v>723</v>
      </c>
      <c r="N66" s="3">
        <v>5.741626794258373</v>
      </c>
      <c r="P66" s="3" t="s">
        <v>75</v>
      </c>
      <c r="Q66" s="32" t="s">
        <v>742</v>
      </c>
      <c r="R66" s="32" t="s">
        <v>745</v>
      </c>
      <c r="S66" s="32"/>
      <c r="T66" s="32"/>
      <c r="W66" s="3" t="s">
        <v>287</v>
      </c>
      <c r="X66" s="3" t="s">
        <v>77</v>
      </c>
      <c r="Y66" s="3" t="s">
        <v>78</v>
      </c>
      <c r="Z66" s="3" t="s">
        <v>746</v>
      </c>
      <c r="AA66" s="3" t="s">
        <v>747</v>
      </c>
      <c r="AB66" s="3" t="s">
        <v>748</v>
      </c>
      <c r="AC66" s="3" t="s">
        <v>749</v>
      </c>
      <c r="AE66" s="3" t="s">
        <v>83</v>
      </c>
      <c r="AF66" s="3" t="s">
        <v>84</v>
      </c>
      <c r="AG66" s="3" t="s">
        <v>85</v>
      </c>
      <c r="AH66" s="3" t="s">
        <v>2525</v>
      </c>
      <c r="AI66" s="3" t="s">
        <v>2525</v>
      </c>
      <c r="AJ66" s="3" t="s">
        <v>2525</v>
      </c>
      <c r="AK66" s="3" t="s">
        <v>2525</v>
      </c>
      <c r="AL66" s="3" t="s">
        <v>2525</v>
      </c>
      <c r="AM66" s="3" t="s">
        <v>85</v>
      </c>
      <c r="AN66" s="3" t="s">
        <v>84</v>
      </c>
      <c r="AO66" s="3" t="s">
        <v>2525</v>
      </c>
      <c r="AP66" s="3" t="s">
        <v>84</v>
      </c>
      <c r="AR66" s="3" t="s">
        <v>2525</v>
      </c>
      <c r="AS66" s="3" t="s">
        <v>85</v>
      </c>
      <c r="AT66" s="3" t="s">
        <v>2525</v>
      </c>
      <c r="AU66" s="3" t="s">
        <v>2525</v>
      </c>
      <c r="AV66" s="3" t="s">
        <v>2525</v>
      </c>
      <c r="AW66" s="3" t="s">
        <v>2525</v>
      </c>
      <c r="AX66" s="3" t="s">
        <v>2525</v>
      </c>
      <c r="AY66" s="3" t="s">
        <v>84</v>
      </c>
      <c r="AZ66" s="3" t="s">
        <v>85</v>
      </c>
      <c r="BA66" s="3" t="s">
        <v>84</v>
      </c>
      <c r="BB66" s="3" t="s">
        <v>2525</v>
      </c>
      <c r="BC66" s="3" t="s">
        <v>2525</v>
      </c>
      <c r="BD66" s="3" t="s">
        <v>85</v>
      </c>
      <c r="BE66" s="3" t="s">
        <v>2525</v>
      </c>
      <c r="BF66" s="3" t="s">
        <v>2525</v>
      </c>
      <c r="BG66" s="3" t="s">
        <v>2525</v>
      </c>
      <c r="BH66" s="3" t="s">
        <v>2525</v>
      </c>
      <c r="BI66" s="3" t="s">
        <v>2525</v>
      </c>
      <c r="BJ66" s="3" t="s">
        <v>85</v>
      </c>
      <c r="BK66" s="3" t="s">
        <v>86</v>
      </c>
      <c r="BL66" s="3" t="s">
        <v>2525</v>
      </c>
      <c r="BN66" s="3" t="s">
        <v>750</v>
      </c>
      <c r="BO66" s="3" t="s">
        <v>751</v>
      </c>
    </row>
    <row r="67">
      <c r="A67" s="3" t="s">
        <v>753</v>
      </c>
      <c r="B67" s="3" t="s">
        <v>754</v>
      </c>
      <c r="C67" s="3" t="s">
        <v>92</v>
      </c>
      <c r="D67" s="3" t="s">
        <v>755</v>
      </c>
      <c r="I67" s="3">
        <v>28.0</v>
      </c>
      <c r="J67" s="3" t="s">
        <v>190</v>
      </c>
      <c r="K67" s="3" t="s">
        <v>72</v>
      </c>
      <c r="L67" s="3" t="s">
        <v>73</v>
      </c>
      <c r="M67" s="3" t="s">
        <v>40</v>
      </c>
      <c r="N67" s="3">
        <v>-14.55223880597015</v>
      </c>
      <c r="P67" s="3" t="s">
        <v>75</v>
      </c>
      <c r="Q67" s="32" t="s">
        <v>753</v>
      </c>
      <c r="R67" s="32" t="s">
        <v>756</v>
      </c>
      <c r="S67" s="32"/>
      <c r="T67" s="32"/>
      <c r="W67" s="3" t="s">
        <v>443</v>
      </c>
      <c r="X67" s="3" t="s">
        <v>77</v>
      </c>
      <c r="Y67" s="3" t="s">
        <v>78</v>
      </c>
      <c r="Z67" s="3" t="s">
        <v>757</v>
      </c>
      <c r="AA67" s="3" t="s">
        <v>758</v>
      </c>
      <c r="AB67" s="3" t="s">
        <v>759</v>
      </c>
      <c r="AC67" s="3" t="s">
        <v>760</v>
      </c>
      <c r="AE67" s="3" t="s">
        <v>83</v>
      </c>
      <c r="AF67" s="3" t="s">
        <v>2525</v>
      </c>
      <c r="AG67" s="3" t="s">
        <v>84</v>
      </c>
      <c r="AH67" s="3" t="s">
        <v>2525</v>
      </c>
      <c r="AI67" s="3" t="s">
        <v>2525</v>
      </c>
      <c r="AJ67" s="3" t="s">
        <v>2525</v>
      </c>
      <c r="AK67" s="3" t="s">
        <v>2525</v>
      </c>
      <c r="AL67" s="3" t="s">
        <v>2525</v>
      </c>
      <c r="AM67" s="3" t="s">
        <v>2525</v>
      </c>
      <c r="AN67" s="3" t="s">
        <v>2525</v>
      </c>
      <c r="AO67" s="3" t="s">
        <v>84</v>
      </c>
      <c r="AP67" s="3" t="s">
        <v>2525</v>
      </c>
      <c r="AR67" s="3" t="s">
        <v>2525</v>
      </c>
      <c r="AS67" s="3" t="s">
        <v>2525</v>
      </c>
      <c r="AT67" s="3" t="s">
        <v>2525</v>
      </c>
      <c r="AU67" s="3" t="s">
        <v>2525</v>
      </c>
      <c r="AV67" s="3" t="s">
        <v>84</v>
      </c>
      <c r="AW67" s="3" t="s">
        <v>2525</v>
      </c>
      <c r="AX67" s="3" t="s">
        <v>2525</v>
      </c>
      <c r="AY67" s="3" t="s">
        <v>2525</v>
      </c>
      <c r="AZ67" s="3" t="s">
        <v>2525</v>
      </c>
      <c r="BA67" s="3" t="s">
        <v>2525</v>
      </c>
      <c r="BB67" s="3" t="s">
        <v>2525</v>
      </c>
      <c r="BC67" s="3" t="s">
        <v>2525</v>
      </c>
      <c r="BD67" s="3" t="s">
        <v>84</v>
      </c>
      <c r="BE67" s="3" t="s">
        <v>2525</v>
      </c>
      <c r="BF67" s="3" t="s">
        <v>2525</v>
      </c>
      <c r="BG67" s="3" t="s">
        <v>2525</v>
      </c>
      <c r="BH67" s="3" t="s">
        <v>2525</v>
      </c>
      <c r="BI67" s="3" t="s">
        <v>2525</v>
      </c>
      <c r="BJ67" s="3" t="s">
        <v>2525</v>
      </c>
      <c r="BK67" s="3" t="s">
        <v>86</v>
      </c>
      <c r="BL67" s="3" t="s">
        <v>2525</v>
      </c>
      <c r="BN67" s="3" t="s">
        <v>137</v>
      </c>
      <c r="BO67" s="3" t="s">
        <v>461</v>
      </c>
    </row>
    <row r="68">
      <c r="A68" s="3" t="s">
        <v>762</v>
      </c>
      <c r="B68" s="3" t="s">
        <v>763</v>
      </c>
      <c r="C68" s="3" t="s">
        <v>92</v>
      </c>
      <c r="D68" s="3" t="s">
        <v>465</v>
      </c>
      <c r="I68" s="3">
        <v>45.0</v>
      </c>
      <c r="J68" s="3" t="s">
        <v>71</v>
      </c>
      <c r="K68" s="3" t="s">
        <v>72</v>
      </c>
      <c r="L68" s="3" t="s">
        <v>108</v>
      </c>
      <c r="M68" s="3" t="s">
        <v>764</v>
      </c>
      <c r="N68" s="3">
        <v>-12.903225806451612</v>
      </c>
      <c r="P68" s="3" t="s">
        <v>149</v>
      </c>
      <c r="Q68" s="32" t="s">
        <v>762</v>
      </c>
      <c r="R68" s="32" t="s">
        <v>765</v>
      </c>
      <c r="S68" s="32"/>
      <c r="T68" s="32"/>
      <c r="W68" s="3" t="s">
        <v>466</v>
      </c>
      <c r="X68" s="3" t="s">
        <v>77</v>
      </c>
      <c r="Y68" s="3" t="s">
        <v>138</v>
      </c>
      <c r="Z68" s="3" t="s">
        <v>467</v>
      </c>
      <c r="AA68" s="3" t="s">
        <v>766</v>
      </c>
      <c r="AB68" s="3" t="s">
        <v>767</v>
      </c>
      <c r="AC68" s="3" t="s">
        <v>768</v>
      </c>
      <c r="AE68" s="3" t="s">
        <v>83</v>
      </c>
      <c r="AF68" s="3" t="s">
        <v>2525</v>
      </c>
      <c r="AG68" s="3" t="s">
        <v>2525</v>
      </c>
      <c r="AH68" s="3" t="s">
        <v>85</v>
      </c>
      <c r="AI68" s="3" t="s">
        <v>2525</v>
      </c>
      <c r="AJ68" s="3" t="s">
        <v>2525</v>
      </c>
      <c r="AK68" s="3" t="s">
        <v>2525</v>
      </c>
      <c r="AL68" s="3" t="s">
        <v>2525</v>
      </c>
      <c r="AM68" s="3" t="s">
        <v>2525</v>
      </c>
      <c r="AN68" s="3" t="s">
        <v>2525</v>
      </c>
      <c r="AO68" s="3" t="s">
        <v>2525</v>
      </c>
      <c r="AP68" s="3" t="s">
        <v>2525</v>
      </c>
      <c r="AR68" s="3" t="s">
        <v>2525</v>
      </c>
      <c r="AS68" s="3" t="s">
        <v>85</v>
      </c>
      <c r="AT68" s="3" t="s">
        <v>2525</v>
      </c>
      <c r="AU68" s="3" t="s">
        <v>2525</v>
      </c>
      <c r="AV68" s="3" t="s">
        <v>2525</v>
      </c>
      <c r="AW68" s="3" t="s">
        <v>2525</v>
      </c>
      <c r="AX68" s="3" t="s">
        <v>2525</v>
      </c>
      <c r="AY68" s="3" t="s">
        <v>2525</v>
      </c>
      <c r="AZ68" s="3" t="s">
        <v>84</v>
      </c>
      <c r="BA68" s="3" t="s">
        <v>2525</v>
      </c>
      <c r="BB68" s="3" t="s">
        <v>2525</v>
      </c>
      <c r="BC68" s="3" t="s">
        <v>2525</v>
      </c>
      <c r="BD68" s="3" t="s">
        <v>2525</v>
      </c>
      <c r="BE68" s="3" t="s">
        <v>85</v>
      </c>
      <c r="BF68" s="3" t="s">
        <v>2525</v>
      </c>
      <c r="BG68" s="3" t="s">
        <v>2525</v>
      </c>
      <c r="BH68" s="3" t="s">
        <v>2525</v>
      </c>
      <c r="BI68" s="3" t="s">
        <v>85</v>
      </c>
      <c r="BJ68" s="3" t="s">
        <v>2525</v>
      </c>
      <c r="BL68" s="3" t="s">
        <v>2525</v>
      </c>
      <c r="BN68" s="3" t="s">
        <v>769</v>
      </c>
      <c r="BO68" s="3" t="s">
        <v>770</v>
      </c>
    </row>
    <row r="69">
      <c r="A69" s="3" t="s">
        <v>772</v>
      </c>
      <c r="B69" s="3" t="s">
        <v>773</v>
      </c>
      <c r="C69" s="3" t="s">
        <v>92</v>
      </c>
      <c r="D69" s="3" t="s">
        <v>774</v>
      </c>
      <c r="I69" s="3">
        <v>31.0</v>
      </c>
      <c r="J69" s="3" t="s">
        <v>775</v>
      </c>
      <c r="K69" s="3" t="s">
        <v>72</v>
      </c>
      <c r="L69" s="3" t="s">
        <v>108</v>
      </c>
      <c r="M69" s="3" t="s">
        <v>109</v>
      </c>
      <c r="N69" s="3">
        <v>-35.54216867469879</v>
      </c>
      <c r="P69" s="3" t="s">
        <v>75</v>
      </c>
      <c r="Q69" s="32" t="s">
        <v>772</v>
      </c>
      <c r="R69" s="32" t="s">
        <v>776</v>
      </c>
      <c r="S69" s="32"/>
      <c r="T69" s="32"/>
      <c r="X69" s="3" t="s">
        <v>77</v>
      </c>
      <c r="Y69" s="3" t="s">
        <v>78</v>
      </c>
      <c r="Z69" s="3" t="s">
        <v>502</v>
      </c>
      <c r="AA69" s="3" t="s">
        <v>777</v>
      </c>
      <c r="AB69" s="3" t="s">
        <v>778</v>
      </c>
      <c r="AC69" s="3" t="s">
        <v>779</v>
      </c>
      <c r="AD69" s="3" t="s">
        <v>780</v>
      </c>
      <c r="AE69" s="3" t="s">
        <v>83</v>
      </c>
      <c r="AF69" s="3" t="s">
        <v>2525</v>
      </c>
      <c r="AG69" s="3" t="s">
        <v>2525</v>
      </c>
      <c r="AH69" s="3" t="s">
        <v>129</v>
      </c>
      <c r="AI69" s="3" t="s">
        <v>84</v>
      </c>
      <c r="AJ69" s="3" t="s">
        <v>84</v>
      </c>
      <c r="AK69" s="3" t="s">
        <v>2525</v>
      </c>
      <c r="AL69" s="3" t="s">
        <v>2525</v>
      </c>
      <c r="AM69" s="3" t="s">
        <v>85</v>
      </c>
      <c r="AN69" s="3" t="s">
        <v>2525</v>
      </c>
      <c r="AO69" s="3" t="s">
        <v>2525</v>
      </c>
      <c r="AP69" s="3" t="s">
        <v>2525</v>
      </c>
      <c r="AR69" s="3" t="s">
        <v>2525</v>
      </c>
      <c r="AS69" s="3" t="s">
        <v>85</v>
      </c>
      <c r="AT69" s="3" t="s">
        <v>85</v>
      </c>
      <c r="AU69" s="3" t="s">
        <v>2525</v>
      </c>
      <c r="AV69" s="3" t="s">
        <v>2525</v>
      </c>
      <c r="AW69" s="3" t="s">
        <v>2525</v>
      </c>
      <c r="AX69" s="3" t="s">
        <v>2525</v>
      </c>
      <c r="AY69" s="3" t="s">
        <v>2525</v>
      </c>
      <c r="AZ69" s="3" t="s">
        <v>85</v>
      </c>
      <c r="BA69" s="3" t="s">
        <v>85</v>
      </c>
      <c r="BB69" s="3" t="s">
        <v>2525</v>
      </c>
      <c r="BC69" s="3" t="s">
        <v>2525</v>
      </c>
      <c r="BD69" s="3" t="s">
        <v>2525</v>
      </c>
      <c r="BE69" s="3" t="s">
        <v>84</v>
      </c>
      <c r="BF69" s="3" t="s">
        <v>2525</v>
      </c>
      <c r="BG69" s="3" t="s">
        <v>2525</v>
      </c>
      <c r="BH69" s="3" t="s">
        <v>2525</v>
      </c>
      <c r="BI69" s="3" t="s">
        <v>2525</v>
      </c>
      <c r="BJ69" s="3" t="s">
        <v>2525</v>
      </c>
      <c r="BK69" s="3" t="s">
        <v>86</v>
      </c>
      <c r="BL69" s="3" t="s">
        <v>2525</v>
      </c>
      <c r="BN69" s="3" t="s">
        <v>781</v>
      </c>
      <c r="BO69" s="3" t="s">
        <v>782</v>
      </c>
    </row>
    <row r="70">
      <c r="A70" s="3" t="s">
        <v>784</v>
      </c>
      <c r="B70" s="3" t="s">
        <v>785</v>
      </c>
      <c r="C70" s="3" t="s">
        <v>92</v>
      </c>
      <c r="D70" s="3" t="s">
        <v>786</v>
      </c>
      <c r="I70" s="3">
        <v>54.0</v>
      </c>
      <c r="J70" s="3" t="s">
        <v>272</v>
      </c>
      <c r="K70" s="3" t="s">
        <v>72</v>
      </c>
      <c r="L70" s="3" t="s">
        <v>73</v>
      </c>
      <c r="M70" s="3" t="s">
        <v>36</v>
      </c>
      <c r="N70" s="3">
        <v>-18.24175824175824</v>
      </c>
      <c r="P70" s="3" t="s">
        <v>260</v>
      </c>
      <c r="Q70" s="32" t="s">
        <v>784</v>
      </c>
      <c r="R70" s="32" t="s">
        <v>137</v>
      </c>
      <c r="S70" s="32"/>
      <c r="T70" s="32"/>
      <c r="W70" s="3" t="s">
        <v>787</v>
      </c>
      <c r="Y70" s="3" t="s">
        <v>138</v>
      </c>
      <c r="Z70" s="3" t="s">
        <v>788</v>
      </c>
      <c r="AA70" s="3" t="s">
        <v>789</v>
      </c>
      <c r="AB70" s="3" t="s">
        <v>790</v>
      </c>
      <c r="AC70" s="3" t="s">
        <v>791</v>
      </c>
      <c r="AE70" s="3" t="s">
        <v>83</v>
      </c>
      <c r="AF70" s="3" t="s">
        <v>2525</v>
      </c>
      <c r="AG70" s="3" t="s">
        <v>2525</v>
      </c>
      <c r="AH70" s="3" t="s">
        <v>2525</v>
      </c>
      <c r="AI70" s="3" t="s">
        <v>2525</v>
      </c>
      <c r="AJ70" s="3" t="s">
        <v>2525</v>
      </c>
      <c r="AK70" s="3" t="s">
        <v>84</v>
      </c>
      <c r="AL70" s="3" t="s">
        <v>2525</v>
      </c>
      <c r="AM70" s="3" t="s">
        <v>2525</v>
      </c>
      <c r="AN70" s="3" t="s">
        <v>2525</v>
      </c>
      <c r="AO70" s="3" t="s">
        <v>2525</v>
      </c>
      <c r="AP70" s="3" t="s">
        <v>2525</v>
      </c>
      <c r="AR70" s="3" t="s">
        <v>2525</v>
      </c>
      <c r="AS70" s="3" t="s">
        <v>2525</v>
      </c>
      <c r="AT70" s="3" t="s">
        <v>2525</v>
      </c>
      <c r="AU70" s="3" t="s">
        <v>2525</v>
      </c>
      <c r="AV70" s="3" t="s">
        <v>2525</v>
      </c>
      <c r="AW70" s="3" t="s">
        <v>2525</v>
      </c>
      <c r="AX70" s="3" t="s">
        <v>2525</v>
      </c>
      <c r="AY70" s="3" t="s">
        <v>2525</v>
      </c>
      <c r="AZ70" s="3" t="s">
        <v>84</v>
      </c>
      <c r="BA70" s="3" t="s">
        <v>84</v>
      </c>
      <c r="BB70" s="3" t="s">
        <v>2525</v>
      </c>
      <c r="BC70" s="3" t="s">
        <v>2525</v>
      </c>
      <c r="BD70" s="3" t="s">
        <v>2525</v>
      </c>
      <c r="BE70" s="3" t="s">
        <v>2525</v>
      </c>
      <c r="BF70" s="3" t="s">
        <v>2525</v>
      </c>
      <c r="BG70" s="3" t="s">
        <v>2525</v>
      </c>
      <c r="BH70" s="3" t="s">
        <v>2525</v>
      </c>
      <c r="BI70" s="3" t="s">
        <v>84</v>
      </c>
      <c r="BJ70" s="3" t="s">
        <v>84</v>
      </c>
      <c r="BL70" s="3" t="s">
        <v>2525</v>
      </c>
      <c r="BN70" s="3" t="s">
        <v>143</v>
      </c>
      <c r="BO70" s="3" t="s">
        <v>137</v>
      </c>
    </row>
    <row r="71">
      <c r="A71" s="3" t="s">
        <v>793</v>
      </c>
      <c r="B71" s="3" t="s">
        <v>794</v>
      </c>
      <c r="C71" s="3" t="s">
        <v>92</v>
      </c>
      <c r="D71" s="3" t="s">
        <v>521</v>
      </c>
      <c r="I71" s="3">
        <v>53.0</v>
      </c>
      <c r="J71" s="3" t="s">
        <v>795</v>
      </c>
      <c r="K71" s="3" t="s">
        <v>72</v>
      </c>
      <c r="L71" s="3" t="s">
        <v>73</v>
      </c>
      <c r="M71" s="3" t="s">
        <v>37</v>
      </c>
      <c r="N71" s="3">
        <v>-23.91304347826087</v>
      </c>
      <c r="P71" s="3" t="s">
        <v>149</v>
      </c>
      <c r="Q71" s="32" t="s">
        <v>793</v>
      </c>
      <c r="R71" s="32" t="s">
        <v>796</v>
      </c>
      <c r="S71" s="32"/>
      <c r="T71" s="32"/>
      <c r="W71" s="3" t="s">
        <v>443</v>
      </c>
      <c r="X71" s="3" t="s">
        <v>77</v>
      </c>
      <c r="Y71" s="3" t="s">
        <v>78</v>
      </c>
      <c r="Z71" s="3" t="s">
        <v>797</v>
      </c>
      <c r="AA71" s="3" t="s">
        <v>798</v>
      </c>
      <c r="AB71" s="3" t="s">
        <v>799</v>
      </c>
      <c r="AC71" s="3" t="s">
        <v>800</v>
      </c>
      <c r="AE71" s="3" t="s">
        <v>83</v>
      </c>
      <c r="AF71" s="3" t="s">
        <v>84</v>
      </c>
      <c r="AG71" s="3" t="s">
        <v>2525</v>
      </c>
      <c r="AH71" s="3" t="s">
        <v>2525</v>
      </c>
      <c r="AI71" s="3" t="s">
        <v>2525</v>
      </c>
      <c r="AJ71" s="3" t="s">
        <v>2525</v>
      </c>
      <c r="AK71" s="3" t="s">
        <v>2525</v>
      </c>
      <c r="AL71" s="3" t="s">
        <v>85</v>
      </c>
      <c r="AM71" s="3" t="s">
        <v>2525</v>
      </c>
      <c r="AN71" s="3" t="s">
        <v>85</v>
      </c>
      <c r="AO71" s="3" t="s">
        <v>2525</v>
      </c>
      <c r="AP71" s="3" t="s">
        <v>2525</v>
      </c>
      <c r="AR71" s="3" t="s">
        <v>2525</v>
      </c>
      <c r="AS71" s="3" t="s">
        <v>2525</v>
      </c>
      <c r="AT71" s="3" t="s">
        <v>2525</v>
      </c>
      <c r="AU71" s="3" t="s">
        <v>2525</v>
      </c>
      <c r="AV71" s="3" t="s">
        <v>2525</v>
      </c>
      <c r="AW71" s="3" t="s">
        <v>2525</v>
      </c>
      <c r="AX71" s="3" t="s">
        <v>2525</v>
      </c>
      <c r="AY71" s="3" t="s">
        <v>2525</v>
      </c>
      <c r="AZ71" s="3" t="s">
        <v>2525</v>
      </c>
      <c r="BA71" s="3" t="s">
        <v>2525</v>
      </c>
      <c r="BB71" s="3" t="s">
        <v>2525</v>
      </c>
      <c r="BC71" s="3" t="s">
        <v>2525</v>
      </c>
      <c r="BD71" s="3" t="s">
        <v>85</v>
      </c>
      <c r="BE71" s="3" t="s">
        <v>2525</v>
      </c>
      <c r="BF71" s="3" t="s">
        <v>2525</v>
      </c>
      <c r="BG71" s="3" t="s">
        <v>2525</v>
      </c>
      <c r="BH71" s="3" t="s">
        <v>2525</v>
      </c>
      <c r="BI71" s="3" t="s">
        <v>2525</v>
      </c>
      <c r="BJ71" s="3" t="s">
        <v>2525</v>
      </c>
      <c r="BK71" s="3" t="s">
        <v>86</v>
      </c>
      <c r="BL71" s="3" t="s">
        <v>2525</v>
      </c>
      <c r="BN71" s="3" t="s">
        <v>801</v>
      </c>
      <c r="BO71" s="3" t="s">
        <v>802</v>
      </c>
    </row>
    <row r="72">
      <c r="A72" s="3" t="s">
        <v>804</v>
      </c>
      <c r="B72" s="3" t="s">
        <v>805</v>
      </c>
      <c r="C72" s="3" t="s">
        <v>70</v>
      </c>
      <c r="D72" s="3" t="s">
        <v>530</v>
      </c>
      <c r="E72" s="3" t="s">
        <v>531</v>
      </c>
      <c r="I72" s="3">
        <v>29.0</v>
      </c>
      <c r="J72" s="3" t="s">
        <v>94</v>
      </c>
      <c r="K72" s="3" t="s">
        <v>72</v>
      </c>
      <c r="L72" s="3" t="s">
        <v>73</v>
      </c>
      <c r="M72" s="3" t="s">
        <v>36</v>
      </c>
      <c r="N72" s="3">
        <v>5.339805825242718</v>
      </c>
      <c r="P72" s="3" t="s">
        <v>149</v>
      </c>
      <c r="Q72" s="32" t="s">
        <v>804</v>
      </c>
      <c r="R72" s="32" t="s">
        <v>806</v>
      </c>
      <c r="S72" s="32"/>
      <c r="T72" s="32"/>
      <c r="X72" s="3" t="s">
        <v>77</v>
      </c>
      <c r="Y72" s="3" t="s">
        <v>138</v>
      </c>
      <c r="Z72" s="3" t="s">
        <v>807</v>
      </c>
      <c r="AA72" s="3" t="s">
        <v>808</v>
      </c>
      <c r="AB72" s="3" t="s">
        <v>2531</v>
      </c>
      <c r="AC72" s="3" t="s">
        <v>810</v>
      </c>
      <c r="AE72" s="3" t="s">
        <v>83</v>
      </c>
      <c r="AF72" s="3" t="s">
        <v>85</v>
      </c>
      <c r="AG72" s="3" t="s">
        <v>85</v>
      </c>
      <c r="AH72" s="3" t="s">
        <v>2525</v>
      </c>
      <c r="AI72" s="3" t="s">
        <v>2525</v>
      </c>
      <c r="AJ72" s="3" t="s">
        <v>2525</v>
      </c>
      <c r="AK72" s="3" t="s">
        <v>85</v>
      </c>
      <c r="AL72" s="3" t="s">
        <v>2525</v>
      </c>
      <c r="AM72" s="3" t="s">
        <v>2525</v>
      </c>
      <c r="AN72" s="3" t="s">
        <v>2525</v>
      </c>
      <c r="AO72" s="3" t="s">
        <v>2525</v>
      </c>
      <c r="AP72" s="3" t="s">
        <v>2525</v>
      </c>
      <c r="AR72" s="3" t="s">
        <v>2525</v>
      </c>
      <c r="AS72" s="3" t="s">
        <v>2525</v>
      </c>
      <c r="AT72" s="3" t="s">
        <v>2525</v>
      </c>
      <c r="AU72" s="3" t="s">
        <v>2525</v>
      </c>
      <c r="AV72" s="3" t="s">
        <v>2525</v>
      </c>
      <c r="AW72" s="3" t="s">
        <v>2525</v>
      </c>
      <c r="AX72" s="3" t="s">
        <v>2525</v>
      </c>
      <c r="AY72" s="3" t="s">
        <v>2525</v>
      </c>
      <c r="AZ72" s="3" t="s">
        <v>2525</v>
      </c>
      <c r="BA72" s="3" t="s">
        <v>2525</v>
      </c>
      <c r="BB72" s="3" t="s">
        <v>2525</v>
      </c>
      <c r="BC72" s="3" t="s">
        <v>2525</v>
      </c>
      <c r="BD72" s="3" t="s">
        <v>85</v>
      </c>
      <c r="BE72" s="3" t="s">
        <v>2525</v>
      </c>
      <c r="BF72" s="3" t="s">
        <v>2525</v>
      </c>
      <c r="BG72" s="3" t="s">
        <v>2525</v>
      </c>
      <c r="BH72" s="3" t="s">
        <v>2525</v>
      </c>
      <c r="BI72" s="3" t="s">
        <v>2525</v>
      </c>
      <c r="BJ72" s="3" t="s">
        <v>2525</v>
      </c>
      <c r="BK72" s="3" t="s">
        <v>86</v>
      </c>
      <c r="BL72" s="3" t="s">
        <v>86</v>
      </c>
      <c r="BM72" s="3" t="s">
        <v>86</v>
      </c>
      <c r="BN72" s="3" t="s">
        <v>811</v>
      </c>
      <c r="BO72" s="3" t="s">
        <v>517</v>
      </c>
      <c r="BP72" s="3" t="s">
        <v>536</v>
      </c>
    </row>
    <row r="73">
      <c r="A73" s="3" t="s">
        <v>284</v>
      </c>
      <c r="B73" s="3" t="s">
        <v>813</v>
      </c>
      <c r="C73" s="3" t="s">
        <v>92</v>
      </c>
      <c r="D73" s="3" t="s">
        <v>814</v>
      </c>
      <c r="I73" s="3">
        <v>34.0</v>
      </c>
      <c r="J73" s="3" t="s">
        <v>171</v>
      </c>
      <c r="K73" s="3" t="s">
        <v>72</v>
      </c>
      <c r="L73" s="3" t="s">
        <v>2525</v>
      </c>
      <c r="M73" s="3" t="s">
        <v>660</v>
      </c>
      <c r="N73" s="3">
        <v>-7.348703170028818</v>
      </c>
      <c r="P73" s="3" t="s">
        <v>136</v>
      </c>
      <c r="Q73" s="32" t="s">
        <v>284</v>
      </c>
      <c r="R73" s="32" t="s">
        <v>305</v>
      </c>
      <c r="S73" s="32"/>
      <c r="T73" s="32"/>
      <c r="W73" s="3" t="s">
        <v>704</v>
      </c>
      <c r="X73" s="3" t="s">
        <v>77</v>
      </c>
      <c r="Y73" s="3" t="s">
        <v>138</v>
      </c>
      <c r="Z73" s="3" t="s">
        <v>815</v>
      </c>
      <c r="AA73" s="3" t="s">
        <v>816</v>
      </c>
      <c r="AB73" s="3" t="s">
        <v>817</v>
      </c>
      <c r="AC73" s="3" t="s">
        <v>818</v>
      </c>
      <c r="AE73" s="3" t="s">
        <v>83</v>
      </c>
      <c r="AF73" s="3" t="s">
        <v>85</v>
      </c>
      <c r="AG73" s="3" t="s">
        <v>85</v>
      </c>
      <c r="AH73" s="3" t="s">
        <v>85</v>
      </c>
      <c r="AI73" s="3" t="s">
        <v>85</v>
      </c>
      <c r="AJ73" s="3" t="s">
        <v>85</v>
      </c>
      <c r="AK73" s="3" t="s">
        <v>84</v>
      </c>
      <c r="AL73" s="3" t="s">
        <v>85</v>
      </c>
      <c r="AM73" s="3" t="s">
        <v>85</v>
      </c>
      <c r="AN73" s="3" t="s">
        <v>85</v>
      </c>
      <c r="AO73" s="3" t="s">
        <v>85</v>
      </c>
      <c r="AP73" s="3" t="s">
        <v>2525</v>
      </c>
      <c r="AR73" s="3" t="s">
        <v>2525</v>
      </c>
      <c r="AS73" s="3" t="s">
        <v>2525</v>
      </c>
      <c r="AT73" s="3" t="s">
        <v>2525</v>
      </c>
      <c r="AU73" s="3" t="s">
        <v>2525</v>
      </c>
      <c r="AV73" s="3" t="s">
        <v>2525</v>
      </c>
      <c r="AW73" s="3" t="s">
        <v>2525</v>
      </c>
      <c r="AX73" s="3" t="s">
        <v>2525</v>
      </c>
      <c r="AY73" s="3" t="s">
        <v>2525</v>
      </c>
      <c r="AZ73" s="3" t="s">
        <v>2525</v>
      </c>
      <c r="BA73" s="3" t="s">
        <v>2525</v>
      </c>
      <c r="BB73" s="3" t="s">
        <v>2525</v>
      </c>
      <c r="BC73" s="3" t="s">
        <v>2525</v>
      </c>
      <c r="BD73" s="3" t="s">
        <v>84</v>
      </c>
      <c r="BE73" s="3" t="s">
        <v>84</v>
      </c>
      <c r="BF73" s="3" t="s">
        <v>85</v>
      </c>
      <c r="BG73" s="3" t="s">
        <v>2525</v>
      </c>
      <c r="BH73" s="3" t="s">
        <v>2525</v>
      </c>
      <c r="BI73" s="3" t="s">
        <v>2525</v>
      </c>
      <c r="BJ73" s="3" t="s">
        <v>2525</v>
      </c>
      <c r="BK73" s="3" t="s">
        <v>86</v>
      </c>
      <c r="BL73" s="3" t="s">
        <v>2525</v>
      </c>
      <c r="BM73" s="3" t="s">
        <v>86</v>
      </c>
      <c r="BN73" s="3" t="s">
        <v>310</v>
      </c>
      <c r="BO73" s="3" t="s">
        <v>664</v>
      </c>
      <c r="BP73" s="3" t="s">
        <v>292</v>
      </c>
    </row>
    <row r="74">
      <c r="A74" s="3" t="s">
        <v>820</v>
      </c>
      <c r="B74" s="3" t="s">
        <v>821</v>
      </c>
      <c r="C74" s="3" t="s">
        <v>92</v>
      </c>
      <c r="D74" s="3" t="s">
        <v>822</v>
      </c>
      <c r="I74" s="3">
        <v>30.0</v>
      </c>
      <c r="J74" s="3" t="s">
        <v>823</v>
      </c>
      <c r="K74" s="3" t="s">
        <v>72</v>
      </c>
      <c r="L74" s="3" t="s">
        <v>108</v>
      </c>
      <c r="M74" s="3" t="s">
        <v>109</v>
      </c>
      <c r="N74" s="3">
        <v>1.8823529411764703</v>
      </c>
      <c r="P74" s="3" t="s">
        <v>75</v>
      </c>
      <c r="Q74" s="32" t="s">
        <v>820</v>
      </c>
      <c r="R74" s="32" t="s">
        <v>824</v>
      </c>
      <c r="S74" s="32"/>
      <c r="T74" s="32"/>
      <c r="W74" s="3" t="s">
        <v>787</v>
      </c>
      <c r="X74" s="3" t="s">
        <v>77</v>
      </c>
      <c r="Y74" s="3" t="s">
        <v>78</v>
      </c>
      <c r="Z74" s="3" t="s">
        <v>825</v>
      </c>
      <c r="AA74" s="3" t="s">
        <v>826</v>
      </c>
      <c r="AB74" s="3" t="s">
        <v>827</v>
      </c>
      <c r="AC74" s="3" t="s">
        <v>828</v>
      </c>
      <c r="AE74" s="3" t="s">
        <v>83</v>
      </c>
      <c r="AF74" s="3" t="s">
        <v>2525</v>
      </c>
      <c r="AG74" s="3" t="s">
        <v>2525</v>
      </c>
      <c r="AH74" s="3" t="s">
        <v>84</v>
      </c>
      <c r="AI74" s="3" t="s">
        <v>84</v>
      </c>
      <c r="AJ74" s="3" t="s">
        <v>84</v>
      </c>
      <c r="AK74" s="3" t="s">
        <v>2525</v>
      </c>
      <c r="AL74" s="3" t="s">
        <v>2525</v>
      </c>
      <c r="AM74" s="3" t="s">
        <v>2525</v>
      </c>
      <c r="AN74" s="3" t="s">
        <v>2525</v>
      </c>
      <c r="AO74" s="3" t="s">
        <v>2525</v>
      </c>
      <c r="AP74" s="3" t="s">
        <v>85</v>
      </c>
      <c r="AR74" s="3" t="s">
        <v>2525</v>
      </c>
      <c r="AS74" s="3" t="s">
        <v>2525</v>
      </c>
      <c r="AT74" s="3" t="s">
        <v>85</v>
      </c>
      <c r="AU74" s="3" t="s">
        <v>2525</v>
      </c>
      <c r="AV74" s="3" t="s">
        <v>2525</v>
      </c>
      <c r="AW74" s="3" t="s">
        <v>2525</v>
      </c>
      <c r="AX74" s="3" t="s">
        <v>2525</v>
      </c>
      <c r="AY74" s="3" t="s">
        <v>2525</v>
      </c>
      <c r="AZ74" s="3" t="s">
        <v>85</v>
      </c>
      <c r="BA74" s="3" t="s">
        <v>85</v>
      </c>
      <c r="BB74" s="3" t="s">
        <v>2525</v>
      </c>
      <c r="BC74" s="3" t="s">
        <v>2525</v>
      </c>
      <c r="BD74" s="3" t="s">
        <v>2525</v>
      </c>
      <c r="BE74" s="3" t="s">
        <v>85</v>
      </c>
      <c r="BF74" s="3" t="s">
        <v>2525</v>
      </c>
      <c r="BG74" s="3" t="s">
        <v>2525</v>
      </c>
      <c r="BH74" s="3" t="s">
        <v>2525</v>
      </c>
      <c r="BI74" s="3" t="s">
        <v>2525</v>
      </c>
      <c r="BJ74" s="3" t="s">
        <v>2525</v>
      </c>
      <c r="BL74" s="3" t="s">
        <v>2525</v>
      </c>
      <c r="BN74" s="3" t="s">
        <v>829</v>
      </c>
      <c r="BO74" s="3" t="s">
        <v>830</v>
      </c>
      <c r="BP74" s="3" t="s">
        <v>831</v>
      </c>
    </row>
    <row r="75">
      <c r="A75" s="3" t="s">
        <v>833</v>
      </c>
      <c r="B75" s="3" t="s">
        <v>834</v>
      </c>
      <c r="C75" s="3" t="s">
        <v>70</v>
      </c>
      <c r="D75" s="3" t="s">
        <v>835</v>
      </c>
      <c r="E75" s="3" t="s">
        <v>836</v>
      </c>
      <c r="I75" s="3">
        <v>15.0</v>
      </c>
      <c r="J75" s="3" t="s">
        <v>71</v>
      </c>
      <c r="K75" s="3" t="s">
        <v>72</v>
      </c>
      <c r="L75" s="3" t="s">
        <v>73</v>
      </c>
      <c r="M75" s="3" t="s">
        <v>837</v>
      </c>
      <c r="P75" s="3" t="s">
        <v>75</v>
      </c>
      <c r="Q75" s="32" t="s">
        <v>833</v>
      </c>
      <c r="R75" s="32" t="s">
        <v>137</v>
      </c>
      <c r="S75" s="32"/>
      <c r="T75" s="32"/>
      <c r="X75" s="3" t="s">
        <v>77</v>
      </c>
      <c r="Y75" s="3" t="s">
        <v>138</v>
      </c>
      <c r="Z75" s="3" t="s">
        <v>838</v>
      </c>
      <c r="AA75" s="3" t="s">
        <v>839</v>
      </c>
      <c r="AB75" s="3" t="s">
        <v>840</v>
      </c>
      <c r="AC75" s="3" t="s">
        <v>841</v>
      </c>
      <c r="AE75" s="3" t="s">
        <v>83</v>
      </c>
      <c r="AF75" s="3" t="s">
        <v>85</v>
      </c>
      <c r="AG75" s="3" t="s">
        <v>85</v>
      </c>
      <c r="AH75" s="3" t="s">
        <v>2525</v>
      </c>
      <c r="AI75" s="3" t="s">
        <v>2525</v>
      </c>
      <c r="AJ75" s="3" t="s">
        <v>2525</v>
      </c>
      <c r="AK75" s="3" t="s">
        <v>2525</v>
      </c>
      <c r="AL75" s="3" t="s">
        <v>2525</v>
      </c>
      <c r="AM75" s="3" t="s">
        <v>84</v>
      </c>
      <c r="AN75" s="3" t="s">
        <v>2525</v>
      </c>
      <c r="AO75" s="3" t="s">
        <v>2525</v>
      </c>
      <c r="AP75" s="3" t="s">
        <v>2525</v>
      </c>
      <c r="AR75" s="3" t="s">
        <v>2525</v>
      </c>
      <c r="AS75" s="3" t="s">
        <v>2525</v>
      </c>
      <c r="AT75" s="3" t="s">
        <v>2525</v>
      </c>
      <c r="AU75" s="3" t="s">
        <v>2525</v>
      </c>
      <c r="AV75" s="3" t="s">
        <v>2525</v>
      </c>
      <c r="AW75" s="3" t="s">
        <v>2525</v>
      </c>
      <c r="AX75" s="3" t="s">
        <v>2525</v>
      </c>
      <c r="AY75" s="3" t="s">
        <v>2525</v>
      </c>
      <c r="AZ75" s="3" t="s">
        <v>2525</v>
      </c>
      <c r="BA75" s="3" t="s">
        <v>2525</v>
      </c>
      <c r="BB75" s="3" t="s">
        <v>2525</v>
      </c>
      <c r="BC75" s="3" t="s">
        <v>2525</v>
      </c>
      <c r="BD75" s="3" t="s">
        <v>85</v>
      </c>
      <c r="BE75" s="3" t="s">
        <v>85</v>
      </c>
      <c r="BF75" s="3" t="s">
        <v>2525</v>
      </c>
      <c r="BG75" s="3" t="s">
        <v>2525</v>
      </c>
      <c r="BH75" s="3" t="s">
        <v>2525</v>
      </c>
      <c r="BI75" s="3" t="s">
        <v>2525</v>
      </c>
      <c r="BJ75" s="3" t="s">
        <v>2525</v>
      </c>
      <c r="BK75" s="3" t="s">
        <v>86</v>
      </c>
      <c r="BL75" s="3" t="s">
        <v>86</v>
      </c>
      <c r="BN75" s="3" t="s">
        <v>321</v>
      </c>
      <c r="BO75" s="3" t="s">
        <v>842</v>
      </c>
      <c r="BP75" s="3" t="s">
        <v>843</v>
      </c>
    </row>
    <row r="76">
      <c r="A76" s="3" t="s">
        <v>845</v>
      </c>
      <c r="B76" s="3" t="s">
        <v>846</v>
      </c>
      <c r="C76" s="3" t="s">
        <v>92</v>
      </c>
      <c r="D76" s="3" t="s">
        <v>847</v>
      </c>
      <c r="I76" s="3">
        <v>25.0</v>
      </c>
      <c r="J76" s="3" t="s">
        <v>71</v>
      </c>
      <c r="K76" s="3" t="s">
        <v>72</v>
      </c>
      <c r="L76" s="3" t="s">
        <v>108</v>
      </c>
      <c r="M76" s="3" t="s">
        <v>109</v>
      </c>
      <c r="N76" s="3">
        <v>5.339805825242718</v>
      </c>
      <c r="P76" s="3" t="s">
        <v>75</v>
      </c>
      <c r="Q76" s="32" t="s">
        <v>845</v>
      </c>
      <c r="R76" s="32" t="s">
        <v>824</v>
      </c>
      <c r="S76" s="32"/>
      <c r="T76" s="32"/>
      <c r="X76" s="3" t="s">
        <v>77</v>
      </c>
      <c r="Y76" s="3" t="s">
        <v>78</v>
      </c>
      <c r="Z76" s="3" t="s">
        <v>848</v>
      </c>
      <c r="AA76" s="3" t="s">
        <v>849</v>
      </c>
      <c r="AB76" s="3" t="s">
        <v>850</v>
      </c>
      <c r="AC76" s="3" t="s">
        <v>851</v>
      </c>
      <c r="AE76" s="3" t="s">
        <v>83</v>
      </c>
      <c r="AF76" s="3" t="s">
        <v>2525</v>
      </c>
      <c r="AG76" s="3" t="s">
        <v>2525</v>
      </c>
      <c r="AH76" s="3" t="s">
        <v>2525</v>
      </c>
      <c r="AI76" s="3" t="s">
        <v>84</v>
      </c>
      <c r="AJ76" s="3" t="s">
        <v>2525</v>
      </c>
      <c r="AK76" s="3" t="s">
        <v>2525</v>
      </c>
      <c r="AL76" s="3" t="s">
        <v>2525</v>
      </c>
      <c r="AM76" s="3" t="s">
        <v>2525</v>
      </c>
      <c r="AN76" s="3" t="s">
        <v>2525</v>
      </c>
      <c r="AO76" s="3" t="s">
        <v>2525</v>
      </c>
      <c r="AP76" s="3" t="s">
        <v>2525</v>
      </c>
      <c r="AR76" s="3" t="s">
        <v>2525</v>
      </c>
      <c r="AS76" s="3" t="s">
        <v>2525</v>
      </c>
      <c r="AT76" s="3" t="s">
        <v>2525</v>
      </c>
      <c r="AU76" s="3" t="s">
        <v>2525</v>
      </c>
      <c r="AV76" s="3" t="s">
        <v>2525</v>
      </c>
      <c r="AW76" s="3" t="s">
        <v>2525</v>
      </c>
      <c r="AX76" s="3" t="s">
        <v>2525</v>
      </c>
      <c r="AY76" s="3" t="s">
        <v>2525</v>
      </c>
      <c r="AZ76" s="3" t="s">
        <v>2525</v>
      </c>
      <c r="BA76" s="3" t="s">
        <v>2525</v>
      </c>
      <c r="BB76" s="3" t="s">
        <v>2525</v>
      </c>
      <c r="BC76" s="3" t="s">
        <v>2525</v>
      </c>
      <c r="BD76" s="3" t="s">
        <v>2525</v>
      </c>
      <c r="BE76" s="3" t="s">
        <v>84</v>
      </c>
      <c r="BF76" s="3" t="s">
        <v>2525</v>
      </c>
      <c r="BG76" s="3" t="s">
        <v>2525</v>
      </c>
      <c r="BH76" s="3" t="s">
        <v>2525</v>
      </c>
      <c r="BI76" s="3" t="s">
        <v>2525</v>
      </c>
      <c r="BJ76" s="3" t="s">
        <v>85</v>
      </c>
      <c r="BK76" s="3" t="s">
        <v>86</v>
      </c>
      <c r="BL76" s="3" t="s">
        <v>2525</v>
      </c>
      <c r="BN76" s="3" t="s">
        <v>852</v>
      </c>
      <c r="BO76" s="3" t="s">
        <v>853</v>
      </c>
    </row>
    <row r="77">
      <c r="A77" s="3" t="s">
        <v>855</v>
      </c>
      <c r="B77" s="3" t="s">
        <v>856</v>
      </c>
      <c r="C77" s="3" t="s">
        <v>92</v>
      </c>
      <c r="D77" s="3" t="s">
        <v>857</v>
      </c>
      <c r="I77" s="3">
        <v>37.0</v>
      </c>
      <c r="J77" s="3" t="s">
        <v>71</v>
      </c>
      <c r="K77" s="3" t="s">
        <v>72</v>
      </c>
      <c r="L77" s="3" t="s">
        <v>73</v>
      </c>
      <c r="M77" s="3" t="s">
        <v>43</v>
      </c>
      <c r="N77" s="3">
        <v>46.96969696969697</v>
      </c>
      <c r="P77" s="3" t="s">
        <v>149</v>
      </c>
      <c r="Q77" s="32" t="s">
        <v>855</v>
      </c>
      <c r="R77" s="32" t="s">
        <v>137</v>
      </c>
      <c r="S77" s="32"/>
      <c r="T77" s="32"/>
      <c r="W77" s="3" t="s">
        <v>858</v>
      </c>
      <c r="Y77" s="3" t="s">
        <v>78</v>
      </c>
      <c r="Z77" s="3" t="s">
        <v>859</v>
      </c>
      <c r="AA77" s="3" t="s">
        <v>860</v>
      </c>
      <c r="AB77" s="3" t="s">
        <v>861</v>
      </c>
      <c r="AC77" s="3" t="s">
        <v>862</v>
      </c>
      <c r="AE77" s="3" t="s">
        <v>83</v>
      </c>
      <c r="AF77" s="3" t="s">
        <v>85</v>
      </c>
      <c r="AG77" s="3" t="s">
        <v>2525</v>
      </c>
      <c r="AH77" s="3" t="s">
        <v>2525</v>
      </c>
      <c r="AI77" s="3" t="s">
        <v>2525</v>
      </c>
      <c r="AJ77" s="3" t="s">
        <v>2525</v>
      </c>
      <c r="AK77" s="3" t="s">
        <v>2525</v>
      </c>
      <c r="AL77" s="3" t="s">
        <v>2525</v>
      </c>
      <c r="AM77" s="3" t="s">
        <v>2525</v>
      </c>
      <c r="AN77" s="3" t="s">
        <v>85</v>
      </c>
      <c r="AO77" s="3" t="s">
        <v>2525</v>
      </c>
      <c r="AP77" s="3" t="s">
        <v>2525</v>
      </c>
      <c r="AR77" s="3" t="s">
        <v>2525</v>
      </c>
      <c r="AS77" s="3" t="s">
        <v>85</v>
      </c>
      <c r="AT77" s="3" t="s">
        <v>2525</v>
      </c>
      <c r="AU77" s="3" t="s">
        <v>2525</v>
      </c>
      <c r="AV77" s="3" t="s">
        <v>2525</v>
      </c>
      <c r="AW77" s="3" t="s">
        <v>2525</v>
      </c>
      <c r="AX77" s="3" t="s">
        <v>2525</v>
      </c>
      <c r="AY77" s="3" t="s">
        <v>2525</v>
      </c>
      <c r="AZ77" s="3" t="s">
        <v>2525</v>
      </c>
      <c r="BA77" s="3" t="s">
        <v>85</v>
      </c>
      <c r="BB77" s="3" t="s">
        <v>2525</v>
      </c>
      <c r="BC77" s="3" t="s">
        <v>2525</v>
      </c>
      <c r="BD77" s="3" t="s">
        <v>2525</v>
      </c>
      <c r="BE77" s="3" t="s">
        <v>2525</v>
      </c>
      <c r="BF77" s="3" t="s">
        <v>2525</v>
      </c>
      <c r="BG77" s="3" t="s">
        <v>2525</v>
      </c>
      <c r="BH77" s="3" t="s">
        <v>2525</v>
      </c>
      <c r="BI77" s="3" t="s">
        <v>2525</v>
      </c>
      <c r="BJ77" s="3" t="s">
        <v>85</v>
      </c>
      <c r="BL77" s="3" t="s">
        <v>2525</v>
      </c>
      <c r="BN77" s="3" t="s">
        <v>863</v>
      </c>
      <c r="BO77" s="3" t="s">
        <v>137</v>
      </c>
    </row>
    <row r="78">
      <c r="A78" s="3" t="s">
        <v>865</v>
      </c>
      <c r="B78" s="3" t="s">
        <v>866</v>
      </c>
      <c r="C78" s="3" t="s">
        <v>92</v>
      </c>
      <c r="D78" s="3" t="s">
        <v>867</v>
      </c>
      <c r="I78" s="3">
        <v>18.0</v>
      </c>
      <c r="J78" s="3" t="s">
        <v>868</v>
      </c>
      <c r="K78" s="3" t="s">
        <v>72</v>
      </c>
      <c r="L78" s="3" t="s">
        <v>108</v>
      </c>
      <c r="M78" s="3" t="s">
        <v>869</v>
      </c>
      <c r="N78" s="3">
        <v>-21.73913043478261</v>
      </c>
      <c r="P78" s="3" t="s">
        <v>149</v>
      </c>
      <c r="Q78" s="32" t="s">
        <v>865</v>
      </c>
      <c r="R78" s="32" t="s">
        <v>870</v>
      </c>
      <c r="S78" s="32"/>
      <c r="T78" s="32"/>
      <c r="W78" s="3" t="s">
        <v>858</v>
      </c>
      <c r="X78" s="3" t="s">
        <v>77</v>
      </c>
      <c r="Y78" s="3" t="s">
        <v>78</v>
      </c>
      <c r="Z78" s="3" t="s">
        <v>871</v>
      </c>
      <c r="AA78" s="3" t="s">
        <v>872</v>
      </c>
      <c r="AB78" s="3" t="s">
        <v>873</v>
      </c>
      <c r="AC78" s="3" t="s">
        <v>874</v>
      </c>
      <c r="AE78" s="3" t="s">
        <v>83</v>
      </c>
      <c r="AF78" s="3" t="s">
        <v>2525</v>
      </c>
      <c r="AG78" s="3" t="s">
        <v>2525</v>
      </c>
      <c r="AH78" s="3" t="s">
        <v>84</v>
      </c>
      <c r="AI78" s="3" t="s">
        <v>84</v>
      </c>
      <c r="AJ78" s="3" t="s">
        <v>2525</v>
      </c>
      <c r="AK78" s="3" t="s">
        <v>2525</v>
      </c>
      <c r="AL78" s="3" t="s">
        <v>2525</v>
      </c>
      <c r="AM78" s="3" t="s">
        <v>85</v>
      </c>
      <c r="AN78" s="3" t="s">
        <v>2525</v>
      </c>
      <c r="AO78" s="3" t="s">
        <v>2525</v>
      </c>
      <c r="AP78" s="3" t="s">
        <v>2525</v>
      </c>
      <c r="AR78" s="3" t="s">
        <v>2525</v>
      </c>
      <c r="AS78" s="3" t="s">
        <v>2525</v>
      </c>
      <c r="AT78" s="3" t="s">
        <v>84</v>
      </c>
      <c r="AU78" s="3" t="s">
        <v>2525</v>
      </c>
      <c r="AV78" s="3" t="s">
        <v>2525</v>
      </c>
      <c r="AW78" s="3" t="s">
        <v>2525</v>
      </c>
      <c r="AX78" s="3" t="s">
        <v>2525</v>
      </c>
      <c r="AY78" s="3" t="s">
        <v>2525</v>
      </c>
      <c r="AZ78" s="3" t="s">
        <v>2525</v>
      </c>
      <c r="BA78" s="3" t="s">
        <v>2525</v>
      </c>
      <c r="BB78" s="3" t="s">
        <v>2525</v>
      </c>
      <c r="BC78" s="3" t="s">
        <v>2525</v>
      </c>
      <c r="BD78" s="3" t="s">
        <v>2525</v>
      </c>
      <c r="BE78" s="3" t="s">
        <v>85</v>
      </c>
      <c r="BF78" s="3" t="s">
        <v>2525</v>
      </c>
      <c r="BG78" s="3" t="s">
        <v>2525</v>
      </c>
      <c r="BH78" s="3" t="s">
        <v>2525</v>
      </c>
      <c r="BI78" s="3" t="s">
        <v>2525</v>
      </c>
      <c r="BJ78" s="3" t="s">
        <v>2525</v>
      </c>
      <c r="BK78" s="3" t="s">
        <v>86</v>
      </c>
      <c r="BL78" s="3" t="s">
        <v>2525</v>
      </c>
      <c r="BM78" s="3" t="s">
        <v>86</v>
      </c>
      <c r="BN78" s="3" t="s">
        <v>875</v>
      </c>
      <c r="BO78" s="3" t="s">
        <v>876</v>
      </c>
      <c r="BP78" s="3" t="s">
        <v>831</v>
      </c>
    </row>
    <row r="79">
      <c r="A79" s="3" t="s">
        <v>878</v>
      </c>
      <c r="B79" s="3" t="s">
        <v>879</v>
      </c>
      <c r="C79" s="3" t="s">
        <v>70</v>
      </c>
      <c r="D79" s="3" t="s">
        <v>835</v>
      </c>
      <c r="E79" s="3" t="s">
        <v>836</v>
      </c>
      <c r="I79" s="3">
        <v>15.0</v>
      </c>
      <c r="J79" s="3" t="s">
        <v>630</v>
      </c>
      <c r="K79" s="3" t="s">
        <v>72</v>
      </c>
      <c r="L79" s="3" t="s">
        <v>2525</v>
      </c>
      <c r="M79" s="3" t="s">
        <v>880</v>
      </c>
      <c r="P79" s="3" t="s">
        <v>149</v>
      </c>
      <c r="Q79" s="32" t="s">
        <v>878</v>
      </c>
      <c r="R79" s="32" t="s">
        <v>881</v>
      </c>
      <c r="S79" s="32"/>
      <c r="T79" s="32"/>
      <c r="X79" s="3" t="s">
        <v>77</v>
      </c>
      <c r="Y79" s="3" t="s">
        <v>138</v>
      </c>
      <c r="Z79" s="3" t="s">
        <v>882</v>
      </c>
      <c r="AA79" s="3" t="s">
        <v>883</v>
      </c>
      <c r="AB79" s="3" t="s">
        <v>884</v>
      </c>
      <c r="AC79" s="3" t="s">
        <v>885</v>
      </c>
      <c r="AE79" s="3" t="s">
        <v>83</v>
      </c>
      <c r="AF79" s="3" t="s">
        <v>2525</v>
      </c>
      <c r="AG79" s="3" t="s">
        <v>2525</v>
      </c>
      <c r="AH79" s="3" t="s">
        <v>84</v>
      </c>
      <c r="AI79" s="3" t="s">
        <v>85</v>
      </c>
      <c r="AJ79" s="3" t="s">
        <v>84</v>
      </c>
      <c r="AK79" s="3" t="s">
        <v>85</v>
      </c>
      <c r="AL79" s="3" t="s">
        <v>2525</v>
      </c>
      <c r="AM79" s="3" t="s">
        <v>84</v>
      </c>
      <c r="AN79" s="3" t="s">
        <v>2525</v>
      </c>
      <c r="AO79" s="3" t="s">
        <v>2525</v>
      </c>
      <c r="AP79" s="3" t="s">
        <v>2525</v>
      </c>
      <c r="AR79" s="3" t="s">
        <v>2525</v>
      </c>
      <c r="AS79" s="3" t="s">
        <v>2525</v>
      </c>
      <c r="AT79" s="3" t="s">
        <v>85</v>
      </c>
      <c r="AU79" s="3" t="s">
        <v>2525</v>
      </c>
      <c r="AV79" s="3" t="s">
        <v>2525</v>
      </c>
      <c r="AW79" s="3" t="s">
        <v>2525</v>
      </c>
      <c r="AX79" s="3" t="s">
        <v>2525</v>
      </c>
      <c r="AY79" s="3" t="s">
        <v>2525</v>
      </c>
      <c r="AZ79" s="3" t="s">
        <v>2525</v>
      </c>
      <c r="BA79" s="3" t="s">
        <v>2525</v>
      </c>
      <c r="BB79" s="3" t="s">
        <v>2525</v>
      </c>
      <c r="BC79" s="3" t="s">
        <v>2525</v>
      </c>
      <c r="BD79" s="3" t="s">
        <v>2525</v>
      </c>
      <c r="BE79" s="3" t="s">
        <v>2525</v>
      </c>
      <c r="BF79" s="3" t="s">
        <v>2525</v>
      </c>
      <c r="BG79" s="3" t="s">
        <v>2525</v>
      </c>
      <c r="BH79" s="3" t="s">
        <v>2525</v>
      </c>
      <c r="BI79" s="3" t="s">
        <v>2525</v>
      </c>
      <c r="BJ79" s="3" t="s">
        <v>2525</v>
      </c>
      <c r="BK79" s="3" t="s">
        <v>86</v>
      </c>
      <c r="BL79" s="3" t="s">
        <v>86</v>
      </c>
      <c r="BM79" s="3" t="s">
        <v>86</v>
      </c>
      <c r="BN79" s="3" t="s">
        <v>886</v>
      </c>
      <c r="BO79" s="3" t="s">
        <v>887</v>
      </c>
      <c r="BP79" s="3" t="s">
        <v>843</v>
      </c>
    </row>
    <row r="80">
      <c r="A80" s="3" t="s">
        <v>889</v>
      </c>
      <c r="B80" s="3" t="s">
        <v>890</v>
      </c>
      <c r="C80" s="3" t="s">
        <v>92</v>
      </c>
      <c r="D80" s="3" t="s">
        <v>891</v>
      </c>
      <c r="I80" s="3">
        <v>35.0</v>
      </c>
      <c r="J80" s="3" t="s">
        <v>71</v>
      </c>
      <c r="K80" s="3" t="s">
        <v>72</v>
      </c>
      <c r="L80" s="3" t="s">
        <v>73</v>
      </c>
      <c r="M80" s="3" t="s">
        <v>38</v>
      </c>
      <c r="N80" s="3">
        <v>14.285714285714285</v>
      </c>
      <c r="P80" s="3" t="s">
        <v>75</v>
      </c>
      <c r="Q80" s="32" t="s">
        <v>889</v>
      </c>
      <c r="R80" s="32" t="s">
        <v>137</v>
      </c>
      <c r="S80" s="32"/>
      <c r="T80" s="32"/>
      <c r="W80" s="3" t="s">
        <v>858</v>
      </c>
      <c r="X80" s="3" t="s">
        <v>77</v>
      </c>
      <c r="Y80" s="3" t="s">
        <v>138</v>
      </c>
      <c r="Z80" s="3" t="s">
        <v>892</v>
      </c>
      <c r="AA80" s="3" t="s">
        <v>893</v>
      </c>
      <c r="AB80" s="3" t="s">
        <v>894</v>
      </c>
      <c r="AC80" s="3" t="s">
        <v>895</v>
      </c>
      <c r="AE80" s="3" t="s">
        <v>83</v>
      </c>
      <c r="AF80" s="3" t="s">
        <v>2525</v>
      </c>
      <c r="AG80" s="3" t="s">
        <v>85</v>
      </c>
      <c r="AH80" s="3" t="s">
        <v>2525</v>
      </c>
      <c r="AI80" s="3" t="s">
        <v>2525</v>
      </c>
      <c r="AJ80" s="3" t="s">
        <v>2525</v>
      </c>
      <c r="AK80" s="3" t="s">
        <v>2525</v>
      </c>
      <c r="AL80" s="3" t="s">
        <v>2525</v>
      </c>
      <c r="AM80" s="3" t="s">
        <v>85</v>
      </c>
      <c r="AN80" s="3" t="s">
        <v>85</v>
      </c>
      <c r="AO80" s="3" t="s">
        <v>2525</v>
      </c>
      <c r="AP80" s="3" t="s">
        <v>2525</v>
      </c>
      <c r="AR80" s="3" t="s">
        <v>2525</v>
      </c>
      <c r="AS80" s="3" t="s">
        <v>84</v>
      </c>
      <c r="AT80" s="3" t="s">
        <v>2525</v>
      </c>
      <c r="AU80" s="3" t="s">
        <v>84</v>
      </c>
      <c r="AV80" s="3" t="s">
        <v>2525</v>
      </c>
      <c r="AW80" s="3" t="s">
        <v>2525</v>
      </c>
      <c r="AX80" s="3" t="s">
        <v>2525</v>
      </c>
      <c r="AY80" s="3" t="s">
        <v>2525</v>
      </c>
      <c r="AZ80" s="3" t="s">
        <v>85</v>
      </c>
      <c r="BA80" s="3" t="s">
        <v>84</v>
      </c>
      <c r="BB80" s="3" t="s">
        <v>2525</v>
      </c>
      <c r="BC80" s="3" t="s">
        <v>2525</v>
      </c>
      <c r="BD80" s="3" t="s">
        <v>2525</v>
      </c>
      <c r="BE80" s="3" t="s">
        <v>2525</v>
      </c>
      <c r="BF80" s="3" t="s">
        <v>2525</v>
      </c>
      <c r="BG80" s="3" t="s">
        <v>2525</v>
      </c>
      <c r="BH80" s="3" t="s">
        <v>2525</v>
      </c>
      <c r="BI80" s="3" t="s">
        <v>85</v>
      </c>
      <c r="BJ80" s="3" t="s">
        <v>2525</v>
      </c>
      <c r="BL80" s="3" t="s">
        <v>2525</v>
      </c>
      <c r="BN80" s="3" t="s">
        <v>137</v>
      </c>
      <c r="BO80" s="3" t="s">
        <v>137</v>
      </c>
    </row>
    <row r="81">
      <c r="A81" s="3" t="s">
        <v>897</v>
      </c>
      <c r="B81" s="3" t="s">
        <v>898</v>
      </c>
      <c r="C81" s="3" t="s">
        <v>92</v>
      </c>
      <c r="D81" s="3" t="s">
        <v>899</v>
      </c>
      <c r="I81" s="3">
        <v>42.0</v>
      </c>
      <c r="J81" s="3" t="s">
        <v>171</v>
      </c>
      <c r="K81" s="3" t="s">
        <v>72</v>
      </c>
      <c r="L81" s="3" t="s">
        <v>73</v>
      </c>
      <c r="M81" s="3" t="s">
        <v>39</v>
      </c>
      <c r="N81" s="3">
        <v>-21.73913043478261</v>
      </c>
      <c r="P81" s="3" t="s">
        <v>75</v>
      </c>
      <c r="Q81" s="32" t="s">
        <v>897</v>
      </c>
      <c r="R81" s="32" t="s">
        <v>900</v>
      </c>
      <c r="S81" s="32"/>
      <c r="T81" s="32"/>
      <c r="W81" s="3" t="s">
        <v>858</v>
      </c>
      <c r="X81" s="3" t="s">
        <v>77</v>
      </c>
      <c r="Y81" s="3" t="s">
        <v>138</v>
      </c>
      <c r="Z81" s="3" t="s">
        <v>871</v>
      </c>
      <c r="AA81" s="3" t="s">
        <v>901</v>
      </c>
      <c r="AB81" s="3" t="s">
        <v>902</v>
      </c>
      <c r="AC81" s="3" t="s">
        <v>903</v>
      </c>
      <c r="AE81" s="3" t="s">
        <v>83</v>
      </c>
      <c r="AF81" s="3" t="s">
        <v>85</v>
      </c>
      <c r="AG81" s="3" t="s">
        <v>85</v>
      </c>
      <c r="AH81" s="3" t="s">
        <v>2525</v>
      </c>
      <c r="AI81" s="3" t="s">
        <v>2525</v>
      </c>
      <c r="AJ81" s="3" t="s">
        <v>2525</v>
      </c>
      <c r="AK81" s="3" t="s">
        <v>2525</v>
      </c>
      <c r="AL81" s="3" t="s">
        <v>2525</v>
      </c>
      <c r="AM81" s="3" t="s">
        <v>85</v>
      </c>
      <c r="AN81" s="3" t="s">
        <v>85</v>
      </c>
      <c r="AO81" s="3" t="s">
        <v>2525</v>
      </c>
      <c r="AP81" s="3" t="s">
        <v>2525</v>
      </c>
      <c r="AR81" s="3" t="s">
        <v>2525</v>
      </c>
      <c r="AS81" s="3" t="s">
        <v>84</v>
      </c>
      <c r="AT81" s="3" t="s">
        <v>2525</v>
      </c>
      <c r="AU81" s="3" t="s">
        <v>84</v>
      </c>
      <c r="AV81" s="3" t="s">
        <v>2525</v>
      </c>
      <c r="AW81" s="3" t="s">
        <v>2525</v>
      </c>
      <c r="AX81" s="3" t="s">
        <v>2525</v>
      </c>
      <c r="AY81" s="3" t="s">
        <v>2525</v>
      </c>
      <c r="AZ81" s="3" t="s">
        <v>84</v>
      </c>
      <c r="BA81" s="3" t="s">
        <v>2525</v>
      </c>
      <c r="BB81" s="3" t="s">
        <v>2525</v>
      </c>
      <c r="BC81" s="3" t="s">
        <v>2525</v>
      </c>
      <c r="BD81" s="3" t="s">
        <v>85</v>
      </c>
      <c r="BE81" s="3" t="s">
        <v>2525</v>
      </c>
      <c r="BF81" s="3" t="s">
        <v>2525</v>
      </c>
      <c r="BG81" s="3" t="s">
        <v>2525</v>
      </c>
      <c r="BH81" s="3" t="s">
        <v>2525</v>
      </c>
      <c r="BI81" s="3" t="s">
        <v>2525</v>
      </c>
      <c r="BJ81" s="3" t="s">
        <v>2525</v>
      </c>
      <c r="BK81" s="3" t="s">
        <v>86</v>
      </c>
      <c r="BL81" s="3" t="s">
        <v>2525</v>
      </c>
      <c r="BN81" s="3" t="s">
        <v>904</v>
      </c>
      <c r="BO81" s="3" t="s">
        <v>905</v>
      </c>
    </row>
    <row r="82">
      <c r="A82" s="3" t="s">
        <v>907</v>
      </c>
      <c r="B82" s="3" t="s">
        <v>908</v>
      </c>
      <c r="C82" s="3" t="s">
        <v>92</v>
      </c>
      <c r="D82" s="3" t="s">
        <v>909</v>
      </c>
      <c r="E82" s="3" t="s">
        <v>910</v>
      </c>
      <c r="I82" s="3">
        <v>25.0</v>
      </c>
      <c r="J82" s="3" t="s">
        <v>71</v>
      </c>
      <c r="K82" s="3" t="s">
        <v>72</v>
      </c>
      <c r="L82" s="3" t="s">
        <v>108</v>
      </c>
      <c r="M82" s="3" t="s">
        <v>911</v>
      </c>
      <c r="P82" s="3" t="s">
        <v>75</v>
      </c>
      <c r="Q82" s="32" t="s">
        <v>907</v>
      </c>
      <c r="R82" s="32" t="s">
        <v>881</v>
      </c>
      <c r="S82" s="32"/>
      <c r="T82" s="32"/>
      <c r="X82" s="3" t="s">
        <v>77</v>
      </c>
      <c r="Y82" s="3" t="s">
        <v>78</v>
      </c>
      <c r="Z82" s="3" t="s">
        <v>912</v>
      </c>
      <c r="AA82" s="3" t="s">
        <v>913</v>
      </c>
      <c r="AB82" s="3" t="s">
        <v>914</v>
      </c>
      <c r="AC82" s="3" t="s">
        <v>915</v>
      </c>
      <c r="AE82" s="3" t="s">
        <v>83</v>
      </c>
      <c r="AF82" s="3" t="s">
        <v>2525</v>
      </c>
      <c r="AG82" s="3" t="s">
        <v>2525</v>
      </c>
      <c r="AH82" s="3" t="s">
        <v>84</v>
      </c>
      <c r="AI82" s="3" t="s">
        <v>84</v>
      </c>
      <c r="AJ82" s="3" t="s">
        <v>2525</v>
      </c>
      <c r="AK82" s="3" t="s">
        <v>2525</v>
      </c>
      <c r="AL82" s="3" t="s">
        <v>2525</v>
      </c>
      <c r="AM82" s="3" t="s">
        <v>2525</v>
      </c>
      <c r="AN82" s="3" t="s">
        <v>2525</v>
      </c>
      <c r="AO82" s="3" t="s">
        <v>2525</v>
      </c>
      <c r="AP82" s="3" t="s">
        <v>2525</v>
      </c>
      <c r="AR82" s="3" t="s">
        <v>84</v>
      </c>
      <c r="AS82" s="3" t="s">
        <v>2525</v>
      </c>
      <c r="AT82" s="3" t="s">
        <v>2525</v>
      </c>
      <c r="AU82" s="3" t="s">
        <v>2525</v>
      </c>
      <c r="AV82" s="3" t="s">
        <v>2525</v>
      </c>
      <c r="AW82" s="3" t="s">
        <v>2525</v>
      </c>
      <c r="AX82" s="3" t="s">
        <v>2525</v>
      </c>
      <c r="AY82" s="3" t="s">
        <v>2525</v>
      </c>
      <c r="AZ82" s="3" t="s">
        <v>2525</v>
      </c>
      <c r="BA82" s="3" t="s">
        <v>2525</v>
      </c>
      <c r="BB82" s="3" t="s">
        <v>2525</v>
      </c>
      <c r="BC82" s="3" t="s">
        <v>2525</v>
      </c>
      <c r="BD82" s="3" t="s">
        <v>2525</v>
      </c>
      <c r="BE82" s="3" t="s">
        <v>84</v>
      </c>
      <c r="BF82" s="3" t="s">
        <v>84</v>
      </c>
      <c r="BG82" s="3" t="s">
        <v>2525</v>
      </c>
      <c r="BH82" s="3" t="s">
        <v>2525</v>
      </c>
      <c r="BI82" s="3" t="s">
        <v>2525</v>
      </c>
      <c r="BJ82" s="3" t="s">
        <v>2525</v>
      </c>
      <c r="BK82" s="3" t="s">
        <v>86</v>
      </c>
      <c r="BL82" s="3" t="s">
        <v>2525</v>
      </c>
      <c r="BM82" s="3" t="s">
        <v>86</v>
      </c>
      <c r="BN82" s="3" t="s">
        <v>117</v>
      </c>
      <c r="BO82" s="3" t="s">
        <v>916</v>
      </c>
      <c r="BP82" s="3" t="s">
        <v>323</v>
      </c>
    </row>
    <row r="83">
      <c r="A83" s="3" t="s">
        <v>918</v>
      </c>
      <c r="B83" s="3" t="s">
        <v>919</v>
      </c>
      <c r="C83" s="3" t="s">
        <v>92</v>
      </c>
      <c r="D83" s="3" t="s">
        <v>920</v>
      </c>
      <c r="E83" s="3" t="s">
        <v>921</v>
      </c>
      <c r="I83" s="3">
        <v>57.0</v>
      </c>
      <c r="J83" s="3" t="s">
        <v>922</v>
      </c>
      <c r="K83" s="3" t="s">
        <v>72</v>
      </c>
      <c r="L83" s="3" t="s">
        <v>73</v>
      </c>
      <c r="M83" s="3" t="s">
        <v>923</v>
      </c>
      <c r="N83" s="3">
        <v>-4.866180048661801</v>
      </c>
      <c r="P83" s="3" t="s">
        <v>149</v>
      </c>
      <c r="Q83" s="32" t="s">
        <v>918</v>
      </c>
      <c r="R83" s="32" t="s">
        <v>137</v>
      </c>
      <c r="S83" s="32"/>
      <c r="T83" s="32"/>
      <c r="X83" s="3" t="s">
        <v>77</v>
      </c>
      <c r="Y83" s="3" t="s">
        <v>78</v>
      </c>
      <c r="Z83" s="3" t="s">
        <v>924</v>
      </c>
      <c r="AA83" s="3" t="s">
        <v>925</v>
      </c>
      <c r="AB83" s="3" t="s">
        <v>926</v>
      </c>
      <c r="AC83" s="3" t="s">
        <v>927</v>
      </c>
      <c r="AE83" s="3" t="s">
        <v>83</v>
      </c>
      <c r="AF83" s="3" t="s">
        <v>2525</v>
      </c>
      <c r="AG83" s="3" t="s">
        <v>2525</v>
      </c>
      <c r="AH83" s="3" t="s">
        <v>2525</v>
      </c>
      <c r="AI83" s="3" t="s">
        <v>2525</v>
      </c>
      <c r="AJ83" s="3" t="s">
        <v>2525</v>
      </c>
      <c r="AK83" s="3" t="s">
        <v>129</v>
      </c>
      <c r="AL83" s="3" t="s">
        <v>2525</v>
      </c>
      <c r="AM83" s="3" t="s">
        <v>2525</v>
      </c>
      <c r="AN83" s="3" t="s">
        <v>85</v>
      </c>
      <c r="AO83" s="3" t="s">
        <v>2525</v>
      </c>
      <c r="AP83" s="3" t="s">
        <v>84</v>
      </c>
      <c r="AR83" s="3" t="s">
        <v>2525</v>
      </c>
      <c r="AS83" s="3" t="s">
        <v>2525</v>
      </c>
      <c r="AT83" s="3" t="s">
        <v>2525</v>
      </c>
      <c r="AU83" s="3" t="s">
        <v>2525</v>
      </c>
      <c r="AV83" s="3" t="s">
        <v>2525</v>
      </c>
      <c r="AW83" s="3" t="s">
        <v>2525</v>
      </c>
      <c r="AX83" s="3" t="s">
        <v>2525</v>
      </c>
      <c r="AY83" s="3" t="s">
        <v>2525</v>
      </c>
      <c r="AZ83" s="3" t="s">
        <v>85</v>
      </c>
      <c r="BA83" s="3" t="s">
        <v>84</v>
      </c>
      <c r="BB83" s="3" t="s">
        <v>2525</v>
      </c>
      <c r="BC83" s="3" t="s">
        <v>2525</v>
      </c>
      <c r="BD83" s="3" t="s">
        <v>2525</v>
      </c>
      <c r="BE83" s="3" t="s">
        <v>2525</v>
      </c>
      <c r="BF83" s="3" t="s">
        <v>2525</v>
      </c>
      <c r="BG83" s="3" t="s">
        <v>2525</v>
      </c>
      <c r="BH83" s="3" t="s">
        <v>2525</v>
      </c>
      <c r="BI83" s="3" t="s">
        <v>2525</v>
      </c>
      <c r="BJ83" s="3" t="s">
        <v>84</v>
      </c>
      <c r="BK83" s="3" t="s">
        <v>86</v>
      </c>
      <c r="BL83" s="3" t="s">
        <v>2525</v>
      </c>
      <c r="BN83" s="3" t="s">
        <v>928</v>
      </c>
      <c r="BO83" s="3" t="s">
        <v>137</v>
      </c>
      <c r="BP83" s="3" t="s">
        <v>929</v>
      </c>
    </row>
    <row r="84">
      <c r="A84" s="3" t="s">
        <v>931</v>
      </c>
      <c r="B84" s="3" t="s">
        <v>932</v>
      </c>
      <c r="C84" s="3" t="s">
        <v>92</v>
      </c>
      <c r="D84" s="3" t="s">
        <v>933</v>
      </c>
      <c r="I84" s="3">
        <v>49.0</v>
      </c>
      <c r="J84" s="3" t="s">
        <v>171</v>
      </c>
      <c r="K84" s="3" t="s">
        <v>72</v>
      </c>
      <c r="L84" s="3" t="s">
        <v>73</v>
      </c>
      <c r="M84" s="3" t="s">
        <v>38</v>
      </c>
      <c r="N84" s="3">
        <v>-35.35564853556485</v>
      </c>
      <c r="P84" s="3" t="s">
        <v>75</v>
      </c>
      <c r="Q84" s="32" t="s">
        <v>931</v>
      </c>
      <c r="R84" s="32" t="s">
        <v>76</v>
      </c>
      <c r="S84" s="32"/>
      <c r="T84" s="32"/>
      <c r="W84" s="3" t="s">
        <v>858</v>
      </c>
      <c r="X84" s="3" t="s">
        <v>77</v>
      </c>
      <c r="Y84" s="3" t="s">
        <v>78</v>
      </c>
      <c r="Z84" s="3" t="s">
        <v>934</v>
      </c>
      <c r="AA84" s="3" t="s">
        <v>935</v>
      </c>
      <c r="AB84" s="3" t="s">
        <v>936</v>
      </c>
      <c r="AC84" s="3" t="s">
        <v>937</v>
      </c>
      <c r="AD84" s="3" t="s">
        <v>938</v>
      </c>
      <c r="AE84" s="3" t="s">
        <v>83</v>
      </c>
      <c r="AF84" s="3" t="s">
        <v>84</v>
      </c>
      <c r="AG84" s="3" t="s">
        <v>84</v>
      </c>
      <c r="AH84" s="3" t="s">
        <v>85</v>
      </c>
      <c r="AI84" s="3" t="s">
        <v>85</v>
      </c>
      <c r="AJ84" s="3" t="s">
        <v>85</v>
      </c>
      <c r="AK84" s="3" t="s">
        <v>2525</v>
      </c>
      <c r="AL84" s="3" t="s">
        <v>2525</v>
      </c>
      <c r="AM84" s="3" t="s">
        <v>129</v>
      </c>
      <c r="AN84" s="3" t="s">
        <v>2525</v>
      </c>
      <c r="AO84" s="3" t="s">
        <v>2525</v>
      </c>
      <c r="AP84" s="3" t="s">
        <v>2525</v>
      </c>
      <c r="AR84" s="3" t="s">
        <v>2525</v>
      </c>
      <c r="AS84" s="3" t="s">
        <v>85</v>
      </c>
      <c r="AT84" s="3" t="s">
        <v>2525</v>
      </c>
      <c r="AU84" s="3" t="s">
        <v>2525</v>
      </c>
      <c r="AV84" s="3" t="s">
        <v>2525</v>
      </c>
      <c r="AW84" s="3" t="s">
        <v>2525</v>
      </c>
      <c r="AX84" s="3" t="s">
        <v>2525</v>
      </c>
      <c r="AY84" s="3" t="s">
        <v>2525</v>
      </c>
      <c r="AZ84" s="3" t="s">
        <v>84</v>
      </c>
      <c r="BA84" s="3" t="s">
        <v>85</v>
      </c>
      <c r="BB84" s="3" t="s">
        <v>2525</v>
      </c>
      <c r="BC84" s="3" t="s">
        <v>2525</v>
      </c>
      <c r="BD84" s="3" t="s">
        <v>85</v>
      </c>
      <c r="BE84" s="3" t="s">
        <v>2525</v>
      </c>
      <c r="BF84" s="3" t="s">
        <v>2525</v>
      </c>
      <c r="BG84" s="3" t="s">
        <v>2525</v>
      </c>
      <c r="BH84" s="3" t="s">
        <v>2525</v>
      </c>
      <c r="BI84" s="3" t="s">
        <v>2525</v>
      </c>
      <c r="BJ84" s="3" t="s">
        <v>85</v>
      </c>
      <c r="BK84" s="3" t="s">
        <v>86</v>
      </c>
      <c r="BL84" s="3" t="s">
        <v>2525</v>
      </c>
      <c r="BN84" s="3" t="s">
        <v>939</v>
      </c>
      <c r="BO84" s="3" t="s">
        <v>230</v>
      </c>
    </row>
    <row r="85">
      <c r="A85" s="3" t="s">
        <v>941</v>
      </c>
      <c r="B85" s="3" t="s">
        <v>942</v>
      </c>
      <c r="C85" s="3" t="s">
        <v>70</v>
      </c>
      <c r="D85" s="3" t="s">
        <v>943</v>
      </c>
      <c r="E85" s="3" t="s">
        <v>910</v>
      </c>
      <c r="I85" s="3">
        <v>15.0</v>
      </c>
      <c r="J85" s="3" t="s">
        <v>71</v>
      </c>
      <c r="K85" s="3" t="s">
        <v>72</v>
      </c>
      <c r="L85" s="3" t="s">
        <v>108</v>
      </c>
      <c r="M85" s="3" t="s">
        <v>109</v>
      </c>
      <c r="P85" s="3" t="s">
        <v>944</v>
      </c>
      <c r="Q85" s="32" t="s">
        <v>941</v>
      </c>
      <c r="R85" s="32" t="s">
        <v>945</v>
      </c>
      <c r="S85" s="32"/>
      <c r="T85" s="32"/>
      <c r="X85" s="3" t="s">
        <v>77</v>
      </c>
      <c r="Y85" s="3" t="s">
        <v>78</v>
      </c>
      <c r="Z85" s="3" t="s">
        <v>912</v>
      </c>
      <c r="AA85" s="3" t="s">
        <v>946</v>
      </c>
      <c r="AB85" s="3" t="s">
        <v>947</v>
      </c>
      <c r="AC85" s="3" t="s">
        <v>948</v>
      </c>
      <c r="AE85" s="3" t="s">
        <v>83</v>
      </c>
      <c r="AF85" s="3" t="s">
        <v>2525</v>
      </c>
      <c r="AG85" s="3" t="s">
        <v>2525</v>
      </c>
      <c r="AH85" s="3" t="s">
        <v>84</v>
      </c>
      <c r="AI85" s="3" t="s">
        <v>84</v>
      </c>
      <c r="AJ85" s="3" t="s">
        <v>84</v>
      </c>
      <c r="AK85" s="3" t="s">
        <v>2525</v>
      </c>
      <c r="AL85" s="3" t="s">
        <v>2525</v>
      </c>
      <c r="AM85" s="3" t="s">
        <v>2525</v>
      </c>
      <c r="AN85" s="3" t="s">
        <v>2525</v>
      </c>
      <c r="AO85" s="3" t="s">
        <v>2525</v>
      </c>
      <c r="AP85" s="3" t="s">
        <v>2525</v>
      </c>
      <c r="AR85" s="3" t="s">
        <v>2525</v>
      </c>
      <c r="AS85" s="3" t="s">
        <v>2525</v>
      </c>
      <c r="AT85" s="3" t="s">
        <v>2525</v>
      </c>
      <c r="AU85" s="3" t="s">
        <v>2525</v>
      </c>
      <c r="AV85" s="3" t="s">
        <v>2525</v>
      </c>
      <c r="AW85" s="3" t="s">
        <v>2525</v>
      </c>
      <c r="AX85" s="3" t="s">
        <v>2525</v>
      </c>
      <c r="AY85" s="3" t="s">
        <v>2525</v>
      </c>
      <c r="AZ85" s="3" t="s">
        <v>2525</v>
      </c>
      <c r="BA85" s="3" t="s">
        <v>2525</v>
      </c>
      <c r="BB85" s="3" t="s">
        <v>2525</v>
      </c>
      <c r="BC85" s="3" t="s">
        <v>2525</v>
      </c>
      <c r="BD85" s="3" t="s">
        <v>2525</v>
      </c>
      <c r="BE85" s="3" t="s">
        <v>84</v>
      </c>
      <c r="BF85" s="3" t="s">
        <v>84</v>
      </c>
      <c r="BG85" s="3" t="s">
        <v>2525</v>
      </c>
      <c r="BH85" s="3" t="s">
        <v>2525</v>
      </c>
      <c r="BI85" s="3" t="s">
        <v>2525</v>
      </c>
      <c r="BJ85" s="3" t="s">
        <v>2525</v>
      </c>
      <c r="BK85" s="3" t="s">
        <v>86</v>
      </c>
      <c r="BL85" s="3" t="s">
        <v>86</v>
      </c>
      <c r="BM85" s="3" t="s">
        <v>86</v>
      </c>
      <c r="BN85" s="3" t="s">
        <v>117</v>
      </c>
      <c r="BO85" s="3" t="s">
        <v>949</v>
      </c>
      <c r="BP85" s="3" t="s">
        <v>950</v>
      </c>
    </row>
    <row r="86">
      <c r="A86" s="3" t="s">
        <v>952</v>
      </c>
      <c r="B86" s="3" t="s">
        <v>953</v>
      </c>
      <c r="C86" s="3" t="s">
        <v>70</v>
      </c>
      <c r="D86" s="3" t="s">
        <v>954</v>
      </c>
      <c r="E86" s="3" t="s">
        <v>921</v>
      </c>
      <c r="I86" s="3">
        <v>10.0</v>
      </c>
      <c r="J86" s="3" t="s">
        <v>955</v>
      </c>
      <c r="K86" s="3" t="s">
        <v>72</v>
      </c>
      <c r="L86" s="3" t="s">
        <v>73</v>
      </c>
      <c r="M86" s="3" t="s">
        <v>36</v>
      </c>
      <c r="P86" s="3" t="s">
        <v>75</v>
      </c>
      <c r="Q86" s="32" t="s">
        <v>952</v>
      </c>
      <c r="R86" s="32" t="s">
        <v>956</v>
      </c>
      <c r="S86" s="32"/>
      <c r="T86" s="32"/>
      <c r="X86" s="3" t="s">
        <v>77</v>
      </c>
      <c r="Y86" s="3" t="s">
        <v>78</v>
      </c>
      <c r="Z86" s="3" t="s">
        <v>957</v>
      </c>
      <c r="AA86" s="3" t="s">
        <v>958</v>
      </c>
      <c r="AB86" s="3" t="s">
        <v>959</v>
      </c>
      <c r="AC86" s="3" t="s">
        <v>960</v>
      </c>
      <c r="AE86" s="3" t="s">
        <v>83</v>
      </c>
      <c r="AF86" s="3" t="s">
        <v>84</v>
      </c>
      <c r="AG86" s="3" t="s">
        <v>84</v>
      </c>
      <c r="AH86" s="3" t="s">
        <v>2525</v>
      </c>
      <c r="AI86" s="3" t="s">
        <v>2525</v>
      </c>
      <c r="AJ86" s="3" t="s">
        <v>2525</v>
      </c>
      <c r="AK86" s="3" t="s">
        <v>84</v>
      </c>
      <c r="AL86" s="3" t="s">
        <v>2525</v>
      </c>
      <c r="AM86" s="3" t="s">
        <v>2525</v>
      </c>
      <c r="AN86" s="3" t="s">
        <v>2525</v>
      </c>
      <c r="AO86" s="3" t="s">
        <v>2525</v>
      </c>
      <c r="AP86" s="3" t="s">
        <v>2525</v>
      </c>
      <c r="AR86" s="3" t="s">
        <v>2525</v>
      </c>
      <c r="AS86" s="3" t="s">
        <v>2525</v>
      </c>
      <c r="AT86" s="3" t="s">
        <v>2525</v>
      </c>
      <c r="AU86" s="3" t="s">
        <v>2525</v>
      </c>
      <c r="AV86" s="3" t="s">
        <v>2525</v>
      </c>
      <c r="AW86" s="3" t="s">
        <v>2525</v>
      </c>
      <c r="AX86" s="3" t="s">
        <v>2525</v>
      </c>
      <c r="AY86" s="3" t="s">
        <v>2525</v>
      </c>
      <c r="AZ86" s="3" t="s">
        <v>2525</v>
      </c>
      <c r="BA86" s="3" t="s">
        <v>2525</v>
      </c>
      <c r="BB86" s="3" t="s">
        <v>2525</v>
      </c>
      <c r="BC86" s="3" t="s">
        <v>2525</v>
      </c>
      <c r="BD86" s="3" t="s">
        <v>84</v>
      </c>
      <c r="BE86" s="3" t="s">
        <v>2525</v>
      </c>
      <c r="BF86" s="3" t="s">
        <v>2525</v>
      </c>
      <c r="BG86" s="3" t="s">
        <v>2525</v>
      </c>
      <c r="BH86" s="3" t="s">
        <v>2525</v>
      </c>
      <c r="BI86" s="3" t="s">
        <v>2525</v>
      </c>
      <c r="BJ86" s="3" t="s">
        <v>2525</v>
      </c>
      <c r="BK86" s="3" t="s">
        <v>86</v>
      </c>
      <c r="BL86" s="3" t="s">
        <v>86</v>
      </c>
      <c r="BM86" s="3" t="s">
        <v>86</v>
      </c>
      <c r="BN86" s="3" t="s">
        <v>811</v>
      </c>
      <c r="BO86" s="3" t="s">
        <v>517</v>
      </c>
      <c r="BP86" s="3" t="s">
        <v>929</v>
      </c>
    </row>
    <row r="87">
      <c r="A87" s="3" t="s">
        <v>962</v>
      </c>
      <c r="B87" s="3" t="s">
        <v>963</v>
      </c>
      <c r="C87" s="3" t="s">
        <v>92</v>
      </c>
      <c r="D87" s="3" t="s">
        <v>964</v>
      </c>
      <c r="I87" s="3">
        <v>74.0</v>
      </c>
      <c r="J87" s="3" t="s">
        <v>224</v>
      </c>
      <c r="K87" s="3" t="s">
        <v>72</v>
      </c>
      <c r="L87" s="3" t="s">
        <v>73</v>
      </c>
      <c r="M87" s="3" t="s">
        <v>37</v>
      </c>
      <c r="N87" s="3">
        <v>-21.678321678321677</v>
      </c>
      <c r="P87" s="3" t="s">
        <v>75</v>
      </c>
      <c r="Q87" s="32" t="s">
        <v>962</v>
      </c>
      <c r="R87" s="32" t="s">
        <v>965</v>
      </c>
      <c r="S87" s="32"/>
      <c r="T87" s="32"/>
      <c r="W87" s="3" t="s">
        <v>858</v>
      </c>
      <c r="Y87" s="3" t="s">
        <v>78</v>
      </c>
      <c r="Z87" s="3" t="s">
        <v>966</v>
      </c>
      <c r="AA87" s="3" t="s">
        <v>967</v>
      </c>
      <c r="AB87" s="3" t="s">
        <v>968</v>
      </c>
      <c r="AC87" s="3" t="s">
        <v>969</v>
      </c>
      <c r="AE87" s="3" t="s">
        <v>83</v>
      </c>
      <c r="AF87" s="3" t="s">
        <v>85</v>
      </c>
      <c r="AG87" s="3" t="s">
        <v>2525</v>
      </c>
      <c r="AH87" s="3" t="s">
        <v>2525</v>
      </c>
      <c r="AI87" s="3" t="s">
        <v>2525</v>
      </c>
      <c r="AJ87" s="3" t="s">
        <v>2525</v>
      </c>
      <c r="AK87" s="3" t="s">
        <v>2525</v>
      </c>
      <c r="AL87" s="3" t="s">
        <v>84</v>
      </c>
      <c r="AM87" s="3" t="s">
        <v>2525</v>
      </c>
      <c r="AN87" s="3" t="s">
        <v>84</v>
      </c>
      <c r="AO87" s="3" t="s">
        <v>2525</v>
      </c>
      <c r="AP87" s="3" t="s">
        <v>2525</v>
      </c>
      <c r="AR87" s="3" t="s">
        <v>2525</v>
      </c>
      <c r="AS87" s="3" t="s">
        <v>84</v>
      </c>
      <c r="AT87" s="3" t="s">
        <v>2525</v>
      </c>
      <c r="AU87" s="3" t="s">
        <v>84</v>
      </c>
      <c r="AV87" s="3" t="s">
        <v>2525</v>
      </c>
      <c r="AW87" s="3" t="s">
        <v>2525</v>
      </c>
      <c r="AX87" s="3" t="s">
        <v>2525</v>
      </c>
      <c r="AY87" s="3" t="s">
        <v>2525</v>
      </c>
      <c r="AZ87" s="3" t="s">
        <v>2525</v>
      </c>
      <c r="BA87" s="3" t="s">
        <v>84</v>
      </c>
      <c r="BB87" s="3" t="s">
        <v>2525</v>
      </c>
      <c r="BC87" s="3" t="s">
        <v>2525</v>
      </c>
      <c r="BD87" s="3" t="s">
        <v>85</v>
      </c>
      <c r="BE87" s="3" t="s">
        <v>2525</v>
      </c>
      <c r="BF87" s="3" t="s">
        <v>2525</v>
      </c>
      <c r="BG87" s="3" t="s">
        <v>2525</v>
      </c>
      <c r="BH87" s="3" t="s">
        <v>2525</v>
      </c>
      <c r="BI87" s="3" t="s">
        <v>2525</v>
      </c>
      <c r="BJ87" s="3" t="s">
        <v>2525</v>
      </c>
      <c r="BL87" s="3" t="s">
        <v>2525</v>
      </c>
      <c r="BN87" s="3" t="s">
        <v>970</v>
      </c>
      <c r="BO87" s="3" t="s">
        <v>971</v>
      </c>
    </row>
    <row r="88">
      <c r="A88" s="3" t="s">
        <v>973</v>
      </c>
      <c r="B88" s="3" t="s">
        <v>974</v>
      </c>
      <c r="C88" s="3" t="s">
        <v>92</v>
      </c>
      <c r="D88" s="3" t="s">
        <v>975</v>
      </c>
      <c r="I88" s="3">
        <v>25.0</v>
      </c>
      <c r="J88" s="3" t="s">
        <v>123</v>
      </c>
      <c r="K88" s="3" t="s">
        <v>72</v>
      </c>
      <c r="L88" s="3" t="s">
        <v>73</v>
      </c>
      <c r="M88" s="3" t="s">
        <v>38</v>
      </c>
      <c r="P88" s="3" t="s">
        <v>136</v>
      </c>
      <c r="Q88" s="32" t="s">
        <v>973</v>
      </c>
      <c r="R88" s="32" t="s">
        <v>137</v>
      </c>
      <c r="S88" s="32"/>
      <c r="T88" s="32"/>
      <c r="Y88" s="3" t="s">
        <v>138</v>
      </c>
      <c r="Z88" s="3" t="s">
        <v>976</v>
      </c>
      <c r="AA88" s="3" t="s">
        <v>977</v>
      </c>
      <c r="AB88" s="3" t="s">
        <v>978</v>
      </c>
      <c r="AC88" s="3" t="s">
        <v>979</v>
      </c>
      <c r="AE88" s="3" t="s">
        <v>83</v>
      </c>
      <c r="AF88" s="3" t="s">
        <v>84</v>
      </c>
      <c r="AG88" s="3" t="s">
        <v>85</v>
      </c>
      <c r="AH88" s="3" t="s">
        <v>85</v>
      </c>
      <c r="AI88" s="3" t="s">
        <v>2525</v>
      </c>
      <c r="AJ88" s="3" t="s">
        <v>84</v>
      </c>
      <c r="AK88" s="3" t="s">
        <v>85</v>
      </c>
      <c r="AL88" s="3" t="s">
        <v>85</v>
      </c>
      <c r="AM88" s="3" t="s">
        <v>84</v>
      </c>
      <c r="AN88" s="3" t="s">
        <v>84</v>
      </c>
      <c r="AO88" s="3" t="s">
        <v>2525</v>
      </c>
      <c r="AP88" s="3" t="s">
        <v>2525</v>
      </c>
      <c r="AR88" s="3" t="s">
        <v>2525</v>
      </c>
      <c r="AS88" s="3" t="s">
        <v>84</v>
      </c>
      <c r="AT88" s="3" t="s">
        <v>2525</v>
      </c>
      <c r="AU88" s="3" t="s">
        <v>85</v>
      </c>
      <c r="AV88" s="3" t="s">
        <v>2525</v>
      </c>
      <c r="AW88" s="3" t="s">
        <v>2525</v>
      </c>
      <c r="AX88" s="3" t="s">
        <v>2525</v>
      </c>
      <c r="AY88" s="3" t="s">
        <v>2525</v>
      </c>
      <c r="AZ88" s="3" t="s">
        <v>85</v>
      </c>
      <c r="BA88" s="3" t="s">
        <v>2525</v>
      </c>
      <c r="BB88" s="3" t="s">
        <v>2525</v>
      </c>
      <c r="BC88" s="3" t="s">
        <v>2525</v>
      </c>
      <c r="BD88" s="3" t="s">
        <v>85</v>
      </c>
      <c r="BE88" s="3" t="s">
        <v>2525</v>
      </c>
      <c r="BF88" s="3" t="s">
        <v>2525</v>
      </c>
      <c r="BG88" s="3" t="s">
        <v>2525</v>
      </c>
      <c r="BH88" s="3" t="s">
        <v>2525</v>
      </c>
      <c r="BI88" s="3" t="s">
        <v>84</v>
      </c>
      <c r="BJ88" s="3" t="s">
        <v>2525</v>
      </c>
      <c r="BL88" s="3" t="s">
        <v>2525</v>
      </c>
      <c r="BN88" s="3" t="s">
        <v>137</v>
      </c>
      <c r="BO88" s="3" t="s">
        <v>137</v>
      </c>
    </row>
    <row r="89">
      <c r="A89" s="3" t="s">
        <v>981</v>
      </c>
      <c r="B89" s="3" t="s">
        <v>982</v>
      </c>
      <c r="C89" s="3" t="s">
        <v>70</v>
      </c>
      <c r="D89" s="3" t="s">
        <v>983</v>
      </c>
      <c r="I89" s="3">
        <v>15.0</v>
      </c>
      <c r="J89" s="3" t="s">
        <v>452</v>
      </c>
      <c r="K89" s="3" t="s">
        <v>72</v>
      </c>
      <c r="L89" s="3" t="s">
        <v>108</v>
      </c>
      <c r="M89" s="3" t="s">
        <v>109</v>
      </c>
      <c r="P89" s="3" t="s">
        <v>149</v>
      </c>
      <c r="Q89" s="32" t="s">
        <v>981</v>
      </c>
      <c r="R89" s="32" t="s">
        <v>305</v>
      </c>
      <c r="S89" s="32"/>
      <c r="T89" s="32"/>
      <c r="X89" s="3" t="s">
        <v>77</v>
      </c>
      <c r="Y89" s="3" t="s">
        <v>78</v>
      </c>
      <c r="Z89" s="3" t="s">
        <v>984</v>
      </c>
      <c r="AA89" s="3" t="s">
        <v>985</v>
      </c>
      <c r="AB89" s="3" t="s">
        <v>986</v>
      </c>
      <c r="AC89" s="3" t="s">
        <v>987</v>
      </c>
      <c r="AE89" s="3" t="s">
        <v>83</v>
      </c>
      <c r="AF89" s="3" t="s">
        <v>2525</v>
      </c>
      <c r="AG89" s="3" t="s">
        <v>2525</v>
      </c>
      <c r="AH89" s="3" t="s">
        <v>85</v>
      </c>
      <c r="AI89" s="3" t="s">
        <v>85</v>
      </c>
      <c r="AJ89" s="3" t="s">
        <v>85</v>
      </c>
      <c r="AK89" s="3" t="s">
        <v>2525</v>
      </c>
      <c r="AL89" s="3" t="s">
        <v>2525</v>
      </c>
      <c r="AM89" s="3" t="s">
        <v>2525</v>
      </c>
      <c r="AN89" s="3" t="s">
        <v>85</v>
      </c>
      <c r="AO89" s="3" t="s">
        <v>85</v>
      </c>
      <c r="AP89" s="3" t="s">
        <v>2525</v>
      </c>
      <c r="AR89" s="3" t="s">
        <v>85</v>
      </c>
      <c r="AS89" s="3" t="s">
        <v>85</v>
      </c>
      <c r="AT89" s="3" t="s">
        <v>85</v>
      </c>
      <c r="AU89" s="3" t="s">
        <v>85</v>
      </c>
      <c r="AV89" s="3" t="s">
        <v>85</v>
      </c>
      <c r="AW89" s="3" t="s">
        <v>2525</v>
      </c>
      <c r="AX89" s="3" t="s">
        <v>2525</v>
      </c>
      <c r="AY89" s="3" t="s">
        <v>2525</v>
      </c>
      <c r="AZ89" s="3" t="s">
        <v>2525</v>
      </c>
      <c r="BA89" s="3" t="s">
        <v>2525</v>
      </c>
      <c r="BB89" s="3" t="s">
        <v>2525</v>
      </c>
      <c r="BC89" s="3" t="s">
        <v>2525</v>
      </c>
      <c r="BD89" s="3" t="s">
        <v>2525</v>
      </c>
      <c r="BE89" s="3" t="s">
        <v>2525</v>
      </c>
      <c r="BF89" s="3" t="s">
        <v>2525</v>
      </c>
      <c r="BG89" s="3" t="s">
        <v>2525</v>
      </c>
      <c r="BH89" s="3" t="s">
        <v>84</v>
      </c>
      <c r="BI89" s="3" t="s">
        <v>2525</v>
      </c>
      <c r="BJ89" s="3" t="s">
        <v>2525</v>
      </c>
      <c r="BK89" s="3" t="s">
        <v>86</v>
      </c>
      <c r="BL89" s="3" t="s">
        <v>86</v>
      </c>
      <c r="BN89" s="3" t="s">
        <v>675</v>
      </c>
      <c r="BO89" s="3" t="s">
        <v>988</v>
      </c>
      <c r="BP89" s="3" t="s">
        <v>989</v>
      </c>
    </row>
    <row r="90">
      <c r="A90" s="3" t="s">
        <v>991</v>
      </c>
      <c r="B90" s="3" t="s">
        <v>992</v>
      </c>
      <c r="C90" s="3" t="s">
        <v>92</v>
      </c>
      <c r="D90" s="3" t="s">
        <v>993</v>
      </c>
      <c r="I90" s="3">
        <v>35.0</v>
      </c>
      <c r="J90" s="3" t="s">
        <v>71</v>
      </c>
      <c r="K90" s="3" t="s">
        <v>72</v>
      </c>
      <c r="L90" s="3" t="s">
        <v>73</v>
      </c>
      <c r="M90" s="3" t="s">
        <v>37</v>
      </c>
      <c r="N90" s="3">
        <v>14.606741573033707</v>
      </c>
      <c r="P90" s="3" t="s">
        <v>149</v>
      </c>
      <c r="Q90" s="32" t="s">
        <v>991</v>
      </c>
      <c r="R90" s="32" t="s">
        <v>137</v>
      </c>
      <c r="S90" s="32"/>
      <c r="T90" s="32"/>
      <c r="W90" s="3" t="s">
        <v>994</v>
      </c>
      <c r="X90" s="3" t="s">
        <v>77</v>
      </c>
      <c r="Y90" s="3" t="s">
        <v>78</v>
      </c>
      <c r="Z90" s="3" t="s">
        <v>995</v>
      </c>
      <c r="AA90" s="3" t="s">
        <v>996</v>
      </c>
      <c r="AB90" s="3" t="s">
        <v>997</v>
      </c>
      <c r="AC90" s="3" t="s">
        <v>998</v>
      </c>
      <c r="AE90" s="3" t="s">
        <v>83</v>
      </c>
      <c r="AF90" s="3" t="s">
        <v>85</v>
      </c>
      <c r="AG90" s="3" t="s">
        <v>2525</v>
      </c>
      <c r="AH90" s="3" t="s">
        <v>2525</v>
      </c>
      <c r="AI90" s="3" t="s">
        <v>2525</v>
      </c>
      <c r="AJ90" s="3" t="s">
        <v>2525</v>
      </c>
      <c r="AK90" s="3" t="s">
        <v>2525</v>
      </c>
      <c r="AL90" s="3" t="s">
        <v>84</v>
      </c>
      <c r="AM90" s="3" t="s">
        <v>2525</v>
      </c>
      <c r="AN90" s="3" t="s">
        <v>2525</v>
      </c>
      <c r="AO90" s="3" t="s">
        <v>2525</v>
      </c>
      <c r="AP90" s="3" t="s">
        <v>2525</v>
      </c>
      <c r="AR90" s="3" t="s">
        <v>2525</v>
      </c>
      <c r="AS90" s="3" t="s">
        <v>2525</v>
      </c>
      <c r="AT90" s="3" t="s">
        <v>2525</v>
      </c>
      <c r="AU90" s="3" t="s">
        <v>2525</v>
      </c>
      <c r="AV90" s="3" t="s">
        <v>2525</v>
      </c>
      <c r="AW90" s="3" t="s">
        <v>2525</v>
      </c>
      <c r="AX90" s="3" t="s">
        <v>2525</v>
      </c>
      <c r="AY90" s="3" t="s">
        <v>2525</v>
      </c>
      <c r="AZ90" s="3" t="s">
        <v>2525</v>
      </c>
      <c r="BA90" s="3" t="s">
        <v>84</v>
      </c>
      <c r="BB90" s="3" t="s">
        <v>2525</v>
      </c>
      <c r="BC90" s="3" t="s">
        <v>2525</v>
      </c>
      <c r="BD90" s="3" t="s">
        <v>2525</v>
      </c>
      <c r="BE90" s="3" t="s">
        <v>2525</v>
      </c>
      <c r="BF90" s="3" t="s">
        <v>2525</v>
      </c>
      <c r="BG90" s="3" t="s">
        <v>2525</v>
      </c>
      <c r="BH90" s="3" t="s">
        <v>2525</v>
      </c>
      <c r="BI90" s="3" t="s">
        <v>2525</v>
      </c>
      <c r="BJ90" s="3" t="s">
        <v>85</v>
      </c>
      <c r="BL90" s="3" t="s">
        <v>2525</v>
      </c>
      <c r="BN90" s="3" t="s">
        <v>137</v>
      </c>
      <c r="BO90" s="3" t="s">
        <v>137</v>
      </c>
    </row>
    <row r="91">
      <c r="A91" s="3" t="s">
        <v>1000</v>
      </c>
      <c r="B91" s="3" t="s">
        <v>1001</v>
      </c>
      <c r="C91" s="3" t="s">
        <v>92</v>
      </c>
      <c r="D91" s="3" t="s">
        <v>975</v>
      </c>
      <c r="I91" s="3">
        <v>50.0</v>
      </c>
      <c r="J91" s="3" t="s">
        <v>171</v>
      </c>
      <c r="K91" s="3" t="s">
        <v>72</v>
      </c>
      <c r="L91" s="3" t="s">
        <v>48</v>
      </c>
      <c r="M91" s="3" t="s">
        <v>483</v>
      </c>
      <c r="N91" s="3">
        <v>6.5077319587628875</v>
      </c>
      <c r="P91" s="3" t="s">
        <v>149</v>
      </c>
      <c r="Q91" s="32" t="s">
        <v>1000</v>
      </c>
      <c r="R91" s="32" t="s">
        <v>137</v>
      </c>
      <c r="S91" s="32"/>
      <c r="T91" s="32"/>
      <c r="W91" s="3" t="s">
        <v>1002</v>
      </c>
      <c r="Y91" s="3" t="s">
        <v>138</v>
      </c>
      <c r="Z91" s="3" t="s">
        <v>1003</v>
      </c>
      <c r="AA91" s="3" t="s">
        <v>1004</v>
      </c>
      <c r="AB91" s="3" t="s">
        <v>1005</v>
      </c>
      <c r="AC91" s="3" t="s">
        <v>1006</v>
      </c>
      <c r="AE91" s="3" t="s">
        <v>83</v>
      </c>
      <c r="AF91" s="3" t="s">
        <v>2525</v>
      </c>
      <c r="AG91" s="3" t="s">
        <v>2525</v>
      </c>
      <c r="AH91" s="3" t="s">
        <v>2525</v>
      </c>
      <c r="AI91" s="3" t="s">
        <v>2525</v>
      </c>
      <c r="AJ91" s="3" t="s">
        <v>2525</v>
      </c>
      <c r="AK91" s="3" t="s">
        <v>2525</v>
      </c>
      <c r="AL91" s="3" t="s">
        <v>2525</v>
      </c>
      <c r="AM91" s="3" t="s">
        <v>2525</v>
      </c>
      <c r="AN91" s="3" t="s">
        <v>2525</v>
      </c>
      <c r="AO91" s="3" t="s">
        <v>2525</v>
      </c>
      <c r="AP91" s="3" t="s">
        <v>2525</v>
      </c>
      <c r="AR91" s="3" t="s">
        <v>2525</v>
      </c>
      <c r="AS91" s="3" t="s">
        <v>2525</v>
      </c>
      <c r="AT91" s="3" t="s">
        <v>2525</v>
      </c>
      <c r="AU91" s="3" t="s">
        <v>2525</v>
      </c>
      <c r="AV91" s="3" t="s">
        <v>2525</v>
      </c>
      <c r="AW91" s="3" t="s">
        <v>2525</v>
      </c>
      <c r="AX91" s="3" t="s">
        <v>84</v>
      </c>
      <c r="AY91" s="3" t="s">
        <v>2525</v>
      </c>
      <c r="AZ91" s="3" t="s">
        <v>2525</v>
      </c>
      <c r="BA91" s="3" t="s">
        <v>2525</v>
      </c>
      <c r="BB91" s="3" t="s">
        <v>2525</v>
      </c>
      <c r="BC91" s="3" t="s">
        <v>2525</v>
      </c>
      <c r="BD91" s="3" t="s">
        <v>2525</v>
      </c>
      <c r="BE91" s="3" t="s">
        <v>2525</v>
      </c>
      <c r="BF91" s="3" t="s">
        <v>2525</v>
      </c>
      <c r="BG91" s="3" t="s">
        <v>2525</v>
      </c>
      <c r="BH91" s="3" t="s">
        <v>2525</v>
      </c>
      <c r="BI91" s="3" t="s">
        <v>85</v>
      </c>
      <c r="BJ91" s="3" t="s">
        <v>2525</v>
      </c>
      <c r="BL91" s="3" t="s">
        <v>2525</v>
      </c>
      <c r="BN91" s="3" t="s">
        <v>137</v>
      </c>
      <c r="BO91" s="3" t="s">
        <v>137</v>
      </c>
    </row>
    <row r="92">
      <c r="A92" s="3" t="s">
        <v>1008</v>
      </c>
      <c r="B92" s="3" t="s">
        <v>1009</v>
      </c>
      <c r="C92" s="3" t="s">
        <v>92</v>
      </c>
      <c r="D92" s="3" t="s">
        <v>983</v>
      </c>
      <c r="I92" s="3">
        <v>18.0</v>
      </c>
      <c r="J92" s="3" t="s">
        <v>71</v>
      </c>
      <c r="K92" s="3" t="s">
        <v>72</v>
      </c>
      <c r="L92" s="3" t="s">
        <v>108</v>
      </c>
      <c r="M92" s="3" t="s">
        <v>1010</v>
      </c>
      <c r="P92" s="3" t="s">
        <v>149</v>
      </c>
      <c r="Q92" s="32" t="s">
        <v>1008</v>
      </c>
      <c r="R92" s="32"/>
      <c r="S92" s="32"/>
      <c r="T92" s="32"/>
      <c r="X92" s="3" t="s">
        <v>77</v>
      </c>
      <c r="Y92" s="3" t="s">
        <v>138</v>
      </c>
      <c r="Z92" s="3" t="s">
        <v>1011</v>
      </c>
      <c r="AA92" s="3" t="s">
        <v>1012</v>
      </c>
      <c r="AB92" s="3" t="s">
        <v>1013</v>
      </c>
      <c r="AC92" s="3" t="s">
        <v>1014</v>
      </c>
      <c r="AE92" s="3" t="s">
        <v>83</v>
      </c>
      <c r="AF92" s="3" t="s">
        <v>2525</v>
      </c>
      <c r="AG92" s="3" t="s">
        <v>2525</v>
      </c>
      <c r="AH92" s="3" t="s">
        <v>84</v>
      </c>
      <c r="AI92" s="3" t="s">
        <v>84</v>
      </c>
      <c r="AJ92" s="3" t="s">
        <v>84</v>
      </c>
      <c r="AK92" s="3" t="s">
        <v>2525</v>
      </c>
      <c r="AL92" s="3" t="s">
        <v>2525</v>
      </c>
      <c r="AM92" s="3" t="s">
        <v>85</v>
      </c>
      <c r="AN92" s="3" t="s">
        <v>2525</v>
      </c>
      <c r="AO92" s="3" t="s">
        <v>2525</v>
      </c>
      <c r="AP92" s="3" t="s">
        <v>2525</v>
      </c>
      <c r="AR92" s="3" t="s">
        <v>2525</v>
      </c>
      <c r="AS92" s="3" t="s">
        <v>2525</v>
      </c>
      <c r="AT92" s="3" t="s">
        <v>84</v>
      </c>
      <c r="AU92" s="3" t="s">
        <v>2525</v>
      </c>
      <c r="AV92" s="3" t="s">
        <v>2525</v>
      </c>
      <c r="AW92" s="3" t="s">
        <v>2525</v>
      </c>
      <c r="AX92" s="3" t="s">
        <v>2525</v>
      </c>
      <c r="AY92" s="3" t="s">
        <v>2525</v>
      </c>
      <c r="AZ92" s="3" t="s">
        <v>2525</v>
      </c>
      <c r="BA92" s="3" t="s">
        <v>2525</v>
      </c>
      <c r="BB92" s="3" t="s">
        <v>2525</v>
      </c>
      <c r="BC92" s="3" t="s">
        <v>2525</v>
      </c>
      <c r="BD92" s="3" t="s">
        <v>2525</v>
      </c>
      <c r="BE92" s="3" t="s">
        <v>2525</v>
      </c>
      <c r="BF92" s="3" t="s">
        <v>2525</v>
      </c>
      <c r="BG92" s="3" t="s">
        <v>2525</v>
      </c>
      <c r="BH92" s="3" t="s">
        <v>2525</v>
      </c>
      <c r="BI92" s="3" t="s">
        <v>2525</v>
      </c>
      <c r="BJ92" s="3" t="s">
        <v>2525</v>
      </c>
      <c r="BK92" s="3" t="s">
        <v>86</v>
      </c>
      <c r="BL92" s="3" t="s">
        <v>2525</v>
      </c>
      <c r="BM92" s="3" t="s">
        <v>86</v>
      </c>
      <c r="BP92" s="3" t="s">
        <v>989</v>
      </c>
    </row>
    <row r="93">
      <c r="A93" s="3" t="s">
        <v>1016</v>
      </c>
      <c r="B93" s="3" t="s">
        <v>1017</v>
      </c>
      <c r="C93" s="3" t="s">
        <v>92</v>
      </c>
      <c r="D93" s="3" t="s">
        <v>1018</v>
      </c>
      <c r="E93" s="3" t="s">
        <v>1019</v>
      </c>
      <c r="I93" s="3">
        <v>30.0</v>
      </c>
      <c r="J93" s="3" t="s">
        <v>1020</v>
      </c>
      <c r="K93" s="3" t="s">
        <v>72</v>
      </c>
      <c r="L93" s="3" t="s">
        <v>73</v>
      </c>
      <c r="M93" s="3" t="s">
        <v>38</v>
      </c>
      <c r="N93" s="3">
        <v>5.447470817120623</v>
      </c>
      <c r="P93" s="3" t="s">
        <v>75</v>
      </c>
      <c r="Q93" s="32" t="s">
        <v>1016</v>
      </c>
      <c r="R93" s="32" t="s">
        <v>1021</v>
      </c>
      <c r="S93" s="32"/>
      <c r="T93" s="32"/>
      <c r="X93" s="3" t="s">
        <v>77</v>
      </c>
      <c r="Y93" s="3" t="s">
        <v>78</v>
      </c>
      <c r="Z93" s="3" t="s">
        <v>1022</v>
      </c>
      <c r="AA93" s="3" t="s">
        <v>1023</v>
      </c>
      <c r="AB93" s="3" t="s">
        <v>1024</v>
      </c>
      <c r="AC93" s="3" t="s">
        <v>1025</v>
      </c>
      <c r="AD93" s="3" t="s">
        <v>1026</v>
      </c>
      <c r="AE93" s="3" t="s">
        <v>83</v>
      </c>
      <c r="AF93" s="3" t="s">
        <v>84</v>
      </c>
      <c r="AG93" s="3" t="s">
        <v>85</v>
      </c>
      <c r="AH93" s="3" t="s">
        <v>85</v>
      </c>
      <c r="AI93" s="3" t="s">
        <v>2525</v>
      </c>
      <c r="AJ93" s="3" t="s">
        <v>129</v>
      </c>
      <c r="AK93" s="3" t="s">
        <v>85</v>
      </c>
      <c r="AL93" s="3" t="s">
        <v>2525</v>
      </c>
      <c r="AM93" s="3" t="s">
        <v>129</v>
      </c>
      <c r="AN93" s="3" t="s">
        <v>129</v>
      </c>
      <c r="AO93" s="3" t="s">
        <v>2525</v>
      </c>
      <c r="AP93" s="3" t="s">
        <v>2525</v>
      </c>
      <c r="AR93" s="3" t="s">
        <v>2525</v>
      </c>
      <c r="AS93" s="3" t="s">
        <v>84</v>
      </c>
      <c r="AT93" s="3" t="s">
        <v>2525</v>
      </c>
      <c r="AU93" s="3" t="s">
        <v>2525</v>
      </c>
      <c r="AV93" s="3" t="s">
        <v>2525</v>
      </c>
      <c r="AW93" s="3" t="s">
        <v>2525</v>
      </c>
      <c r="AX93" s="3" t="s">
        <v>2525</v>
      </c>
      <c r="AY93" s="3" t="s">
        <v>2525</v>
      </c>
      <c r="AZ93" s="3" t="s">
        <v>84</v>
      </c>
      <c r="BA93" s="3" t="s">
        <v>84</v>
      </c>
      <c r="BB93" s="3" t="s">
        <v>2525</v>
      </c>
      <c r="BC93" s="3" t="s">
        <v>1027</v>
      </c>
      <c r="BD93" s="3" t="s">
        <v>129</v>
      </c>
      <c r="BE93" s="3" t="s">
        <v>2525</v>
      </c>
      <c r="BF93" s="3" t="s">
        <v>2525</v>
      </c>
      <c r="BG93" s="3" t="s">
        <v>2525</v>
      </c>
      <c r="BH93" s="3" t="s">
        <v>2525</v>
      </c>
      <c r="BI93" s="3" t="s">
        <v>2525</v>
      </c>
      <c r="BJ93" s="3" t="s">
        <v>84</v>
      </c>
      <c r="BL93" s="3" t="s">
        <v>2525</v>
      </c>
      <c r="BN93" s="3" t="s">
        <v>1028</v>
      </c>
      <c r="BO93" s="3" t="s">
        <v>1029</v>
      </c>
    </row>
    <row r="94">
      <c r="A94" s="3" t="s">
        <v>1031</v>
      </c>
      <c r="B94" s="3" t="s">
        <v>1032</v>
      </c>
      <c r="C94" s="3" t="s">
        <v>92</v>
      </c>
      <c r="D94" s="3" t="s">
        <v>1033</v>
      </c>
      <c r="E94" s="3" t="s">
        <v>1034</v>
      </c>
      <c r="I94" s="3">
        <v>48.0</v>
      </c>
      <c r="J94" s="3" t="s">
        <v>71</v>
      </c>
      <c r="K94" s="3" t="s">
        <v>72</v>
      </c>
      <c r="L94" s="3" t="s">
        <v>73</v>
      </c>
      <c r="M94" s="3" t="s">
        <v>36</v>
      </c>
      <c r="N94" s="3">
        <v>6.5077319587628875</v>
      </c>
      <c r="P94" s="3" t="s">
        <v>260</v>
      </c>
      <c r="Q94" s="32" t="s">
        <v>1031</v>
      </c>
      <c r="R94" s="32" t="s">
        <v>670</v>
      </c>
      <c r="S94" s="32"/>
      <c r="T94" s="32"/>
      <c r="W94" s="3" t="s">
        <v>1002</v>
      </c>
      <c r="X94" s="3" t="s">
        <v>77</v>
      </c>
      <c r="Y94" s="3" t="s">
        <v>138</v>
      </c>
      <c r="Z94" s="3" t="s">
        <v>1035</v>
      </c>
      <c r="AA94" s="3" t="s">
        <v>1036</v>
      </c>
      <c r="AB94" s="3" t="s">
        <v>1037</v>
      </c>
      <c r="AC94" s="3" t="s">
        <v>1038</v>
      </c>
      <c r="AE94" s="3" t="s">
        <v>83</v>
      </c>
      <c r="AF94" s="3" t="s">
        <v>2525</v>
      </c>
      <c r="AG94" s="3" t="s">
        <v>2525</v>
      </c>
      <c r="AH94" s="3" t="s">
        <v>2525</v>
      </c>
      <c r="AI94" s="3" t="s">
        <v>2525</v>
      </c>
      <c r="AJ94" s="3" t="s">
        <v>2525</v>
      </c>
      <c r="AK94" s="3" t="s">
        <v>84</v>
      </c>
      <c r="AL94" s="3" t="s">
        <v>2525</v>
      </c>
      <c r="AM94" s="3" t="s">
        <v>2525</v>
      </c>
      <c r="AN94" s="3" t="s">
        <v>2525</v>
      </c>
      <c r="AO94" s="3" t="s">
        <v>2525</v>
      </c>
      <c r="AP94" s="3" t="s">
        <v>2525</v>
      </c>
      <c r="AR94" s="3" t="s">
        <v>2525</v>
      </c>
      <c r="AS94" s="3" t="s">
        <v>2525</v>
      </c>
      <c r="AT94" s="3" t="s">
        <v>2525</v>
      </c>
      <c r="AU94" s="3" t="s">
        <v>2525</v>
      </c>
      <c r="AV94" s="3" t="s">
        <v>2525</v>
      </c>
      <c r="AW94" s="3" t="s">
        <v>2525</v>
      </c>
      <c r="AX94" s="3" t="s">
        <v>2525</v>
      </c>
      <c r="AY94" s="3" t="s">
        <v>2525</v>
      </c>
      <c r="AZ94" s="3" t="s">
        <v>2525</v>
      </c>
      <c r="BA94" s="3" t="s">
        <v>84</v>
      </c>
      <c r="BB94" s="3" t="s">
        <v>2525</v>
      </c>
      <c r="BC94" s="3" t="s">
        <v>2525</v>
      </c>
      <c r="BD94" s="3" t="s">
        <v>2525</v>
      </c>
      <c r="BE94" s="3" t="s">
        <v>2525</v>
      </c>
      <c r="BF94" s="3" t="s">
        <v>2525</v>
      </c>
      <c r="BG94" s="3" t="s">
        <v>2525</v>
      </c>
      <c r="BH94" s="3" t="s">
        <v>84</v>
      </c>
      <c r="BI94" s="3" t="s">
        <v>84</v>
      </c>
      <c r="BJ94" s="3" t="s">
        <v>85</v>
      </c>
      <c r="BL94" s="3" t="s">
        <v>2525</v>
      </c>
      <c r="BN94" s="3" t="s">
        <v>675</v>
      </c>
      <c r="BO94" s="3" t="s">
        <v>1039</v>
      </c>
      <c r="BP94" s="3" t="s">
        <v>1040</v>
      </c>
    </row>
    <row r="95">
      <c r="A95" s="3" t="s">
        <v>1042</v>
      </c>
      <c r="B95" s="3" t="s">
        <v>1043</v>
      </c>
      <c r="C95" s="3" t="s">
        <v>70</v>
      </c>
      <c r="D95" s="3" t="s">
        <v>1044</v>
      </c>
      <c r="E95" s="3" t="s">
        <v>1019</v>
      </c>
      <c r="I95" s="3">
        <v>8.0</v>
      </c>
      <c r="J95" s="3" t="s">
        <v>71</v>
      </c>
      <c r="K95" s="3" t="s">
        <v>72</v>
      </c>
      <c r="L95" s="3" t="s">
        <v>108</v>
      </c>
      <c r="M95" s="3" t="s">
        <v>109</v>
      </c>
      <c r="P95" s="3" t="s">
        <v>110</v>
      </c>
      <c r="Q95" s="32" t="s">
        <v>1042</v>
      </c>
      <c r="R95" s="32" t="s">
        <v>1045</v>
      </c>
      <c r="S95" s="32"/>
      <c r="T95" s="32"/>
      <c r="X95" s="3" t="s">
        <v>77</v>
      </c>
      <c r="Y95" s="3" t="s">
        <v>78</v>
      </c>
      <c r="Z95" s="3" t="s">
        <v>1046</v>
      </c>
      <c r="AA95" s="3" t="s">
        <v>1047</v>
      </c>
      <c r="AB95" s="3" t="s">
        <v>1048</v>
      </c>
      <c r="AC95" s="3" t="s">
        <v>1049</v>
      </c>
      <c r="AE95" s="3" t="s">
        <v>83</v>
      </c>
      <c r="AF95" s="3" t="s">
        <v>2525</v>
      </c>
      <c r="AG95" s="3" t="s">
        <v>2525</v>
      </c>
      <c r="AH95" s="3" t="s">
        <v>84</v>
      </c>
      <c r="AI95" s="3" t="s">
        <v>84</v>
      </c>
      <c r="AJ95" s="3" t="s">
        <v>84</v>
      </c>
      <c r="AK95" s="3" t="s">
        <v>2525</v>
      </c>
      <c r="AL95" s="3" t="s">
        <v>2525</v>
      </c>
      <c r="AM95" s="3" t="s">
        <v>2525</v>
      </c>
      <c r="AN95" s="3" t="s">
        <v>2525</v>
      </c>
      <c r="AO95" s="3" t="s">
        <v>2525</v>
      </c>
      <c r="AP95" s="3" t="s">
        <v>2525</v>
      </c>
      <c r="AR95" s="3" t="s">
        <v>2525</v>
      </c>
      <c r="AS95" s="3" t="s">
        <v>2525</v>
      </c>
      <c r="AT95" s="3" t="s">
        <v>2525</v>
      </c>
      <c r="AU95" s="3" t="s">
        <v>2525</v>
      </c>
      <c r="AV95" s="3" t="s">
        <v>2525</v>
      </c>
      <c r="AW95" s="3" t="s">
        <v>2525</v>
      </c>
      <c r="AX95" s="3" t="s">
        <v>2525</v>
      </c>
      <c r="AY95" s="3" t="s">
        <v>2525</v>
      </c>
      <c r="AZ95" s="3" t="s">
        <v>2525</v>
      </c>
      <c r="BA95" s="3" t="s">
        <v>2525</v>
      </c>
      <c r="BB95" s="3" t="s">
        <v>2525</v>
      </c>
      <c r="BC95" s="3" t="s">
        <v>2525</v>
      </c>
      <c r="BD95" s="3" t="s">
        <v>2525</v>
      </c>
      <c r="BE95" s="3" t="s">
        <v>84</v>
      </c>
      <c r="BF95" s="3" t="s">
        <v>2525</v>
      </c>
      <c r="BG95" s="3" t="s">
        <v>2525</v>
      </c>
      <c r="BH95" s="3" t="s">
        <v>2525</v>
      </c>
      <c r="BI95" s="3" t="s">
        <v>2525</v>
      </c>
      <c r="BJ95" s="3" t="s">
        <v>2525</v>
      </c>
      <c r="BK95" s="3" t="s">
        <v>86</v>
      </c>
      <c r="BL95" s="3" t="s">
        <v>86</v>
      </c>
      <c r="BN95" s="3" t="s">
        <v>1050</v>
      </c>
      <c r="BO95" s="3" t="s">
        <v>1051</v>
      </c>
      <c r="BP95" s="3" t="s">
        <v>1052</v>
      </c>
    </row>
    <row r="96">
      <c r="A96" s="3" t="s">
        <v>1054</v>
      </c>
      <c r="B96" s="3" t="s">
        <v>1055</v>
      </c>
      <c r="C96" s="3" t="s">
        <v>70</v>
      </c>
      <c r="D96" s="3" t="s">
        <v>106</v>
      </c>
      <c r="E96" s="3" t="s">
        <v>1034</v>
      </c>
      <c r="I96" s="3">
        <v>16.0</v>
      </c>
      <c r="J96" s="3" t="s">
        <v>71</v>
      </c>
      <c r="K96" s="3" t="s">
        <v>72</v>
      </c>
      <c r="L96" s="3" t="s">
        <v>108</v>
      </c>
      <c r="M96" s="3" t="s">
        <v>109</v>
      </c>
      <c r="P96" s="3" t="s">
        <v>944</v>
      </c>
      <c r="Q96" s="32" t="s">
        <v>1054</v>
      </c>
      <c r="R96" s="32" t="s">
        <v>1056</v>
      </c>
      <c r="S96" s="32"/>
      <c r="T96" s="32"/>
      <c r="X96" s="3" t="s">
        <v>77</v>
      </c>
      <c r="Y96" s="3" t="s">
        <v>138</v>
      </c>
      <c r="Z96" s="3" t="s">
        <v>1057</v>
      </c>
      <c r="AA96" s="3" t="s">
        <v>1058</v>
      </c>
      <c r="AB96" s="3" t="s">
        <v>1059</v>
      </c>
      <c r="AC96" s="3" t="s">
        <v>1060</v>
      </c>
      <c r="AE96" s="3" t="s">
        <v>83</v>
      </c>
      <c r="AF96" s="3" t="s">
        <v>2525</v>
      </c>
      <c r="AG96" s="3" t="s">
        <v>2525</v>
      </c>
      <c r="AH96" s="3" t="s">
        <v>84</v>
      </c>
      <c r="AI96" s="3" t="s">
        <v>84</v>
      </c>
      <c r="AJ96" s="3" t="s">
        <v>84</v>
      </c>
      <c r="AK96" s="3" t="s">
        <v>2525</v>
      </c>
      <c r="AL96" s="3" t="s">
        <v>2525</v>
      </c>
      <c r="AM96" s="3" t="s">
        <v>2525</v>
      </c>
      <c r="AN96" s="3" t="s">
        <v>2525</v>
      </c>
      <c r="AO96" s="3" t="s">
        <v>2525</v>
      </c>
      <c r="AP96" s="3" t="s">
        <v>2525</v>
      </c>
      <c r="AR96" s="3" t="s">
        <v>2525</v>
      </c>
      <c r="AS96" s="3" t="s">
        <v>2525</v>
      </c>
      <c r="AT96" s="3" t="s">
        <v>2525</v>
      </c>
      <c r="AU96" s="3" t="s">
        <v>2525</v>
      </c>
      <c r="AV96" s="3" t="s">
        <v>2525</v>
      </c>
      <c r="AW96" s="3" t="s">
        <v>2525</v>
      </c>
      <c r="AX96" s="3" t="s">
        <v>2525</v>
      </c>
      <c r="AY96" s="3" t="s">
        <v>2525</v>
      </c>
      <c r="AZ96" s="3" t="s">
        <v>2525</v>
      </c>
      <c r="BA96" s="3" t="s">
        <v>2525</v>
      </c>
      <c r="BB96" s="3" t="s">
        <v>2525</v>
      </c>
      <c r="BC96" s="3" t="s">
        <v>2525</v>
      </c>
      <c r="BD96" s="3" t="s">
        <v>2525</v>
      </c>
      <c r="BE96" s="3" t="s">
        <v>84</v>
      </c>
      <c r="BF96" s="3" t="s">
        <v>2525</v>
      </c>
      <c r="BG96" s="3" t="s">
        <v>2525</v>
      </c>
      <c r="BH96" s="3" t="s">
        <v>2525</v>
      </c>
      <c r="BI96" s="3" t="s">
        <v>2525</v>
      </c>
      <c r="BJ96" s="3" t="s">
        <v>2525</v>
      </c>
      <c r="BK96" s="3" t="s">
        <v>86</v>
      </c>
      <c r="BL96" s="3" t="s">
        <v>86</v>
      </c>
      <c r="BM96" s="3" t="s">
        <v>86</v>
      </c>
      <c r="BN96" s="3" t="s">
        <v>117</v>
      </c>
      <c r="BO96" s="3" t="s">
        <v>1061</v>
      </c>
      <c r="BP96" s="3" t="s">
        <v>1040</v>
      </c>
    </row>
    <row r="97">
      <c r="A97" s="3" t="s">
        <v>1063</v>
      </c>
      <c r="B97" s="3" t="s">
        <v>1064</v>
      </c>
      <c r="C97" s="3" t="s">
        <v>70</v>
      </c>
      <c r="D97" s="3" t="s">
        <v>1065</v>
      </c>
      <c r="E97" s="3" t="s">
        <v>1066</v>
      </c>
      <c r="I97" s="3">
        <v>21.0</v>
      </c>
      <c r="J97" s="3" t="s">
        <v>71</v>
      </c>
      <c r="K97" s="3" t="s">
        <v>72</v>
      </c>
      <c r="L97" s="3" t="s">
        <v>108</v>
      </c>
      <c r="M97" s="3" t="s">
        <v>109</v>
      </c>
      <c r="P97" s="3" t="s">
        <v>75</v>
      </c>
      <c r="Q97" s="32" t="s">
        <v>1063</v>
      </c>
      <c r="R97" s="32" t="s">
        <v>1067</v>
      </c>
      <c r="S97" s="32"/>
      <c r="T97" s="32"/>
      <c r="X97" s="3" t="s">
        <v>77</v>
      </c>
      <c r="Y97" s="3" t="s">
        <v>78</v>
      </c>
      <c r="Z97" s="3" t="s">
        <v>1046</v>
      </c>
      <c r="AA97" s="3" t="s">
        <v>1068</v>
      </c>
      <c r="AB97" s="3" t="s">
        <v>1069</v>
      </c>
      <c r="AC97" s="3" t="s">
        <v>1070</v>
      </c>
      <c r="AE97" s="3" t="s">
        <v>83</v>
      </c>
      <c r="AF97" s="3" t="s">
        <v>2525</v>
      </c>
      <c r="AG97" s="3" t="s">
        <v>2525</v>
      </c>
      <c r="AH97" s="3" t="s">
        <v>84</v>
      </c>
      <c r="AI97" s="3" t="s">
        <v>84</v>
      </c>
      <c r="AJ97" s="3" t="s">
        <v>84</v>
      </c>
      <c r="AK97" s="3" t="s">
        <v>2525</v>
      </c>
      <c r="AL97" s="3" t="s">
        <v>2525</v>
      </c>
      <c r="AM97" s="3" t="s">
        <v>2525</v>
      </c>
      <c r="AN97" s="3" t="s">
        <v>2525</v>
      </c>
      <c r="AO97" s="3" t="s">
        <v>2525</v>
      </c>
      <c r="AP97" s="3" t="s">
        <v>2525</v>
      </c>
      <c r="AR97" s="3" t="s">
        <v>2525</v>
      </c>
      <c r="AS97" s="3" t="s">
        <v>2525</v>
      </c>
      <c r="AT97" s="3" t="s">
        <v>2525</v>
      </c>
      <c r="AU97" s="3" t="s">
        <v>2525</v>
      </c>
      <c r="AV97" s="3" t="s">
        <v>2525</v>
      </c>
      <c r="AW97" s="3" t="s">
        <v>2525</v>
      </c>
      <c r="AX97" s="3" t="s">
        <v>2525</v>
      </c>
      <c r="AY97" s="3" t="s">
        <v>2525</v>
      </c>
      <c r="AZ97" s="3" t="s">
        <v>2525</v>
      </c>
      <c r="BA97" s="3" t="s">
        <v>2525</v>
      </c>
      <c r="BB97" s="3" t="s">
        <v>2525</v>
      </c>
      <c r="BC97" s="3" t="s">
        <v>2525</v>
      </c>
      <c r="BD97" s="3" t="s">
        <v>2525</v>
      </c>
      <c r="BE97" s="3" t="s">
        <v>84</v>
      </c>
      <c r="BF97" s="3" t="s">
        <v>2525</v>
      </c>
      <c r="BG97" s="3" t="s">
        <v>2525</v>
      </c>
      <c r="BH97" s="3" t="s">
        <v>2525</v>
      </c>
      <c r="BI97" s="3" t="s">
        <v>2525</v>
      </c>
      <c r="BJ97" s="3" t="s">
        <v>2525</v>
      </c>
      <c r="BK97" s="3" t="s">
        <v>86</v>
      </c>
      <c r="BL97" s="3" t="s">
        <v>86</v>
      </c>
      <c r="BM97" s="3" t="s">
        <v>86</v>
      </c>
      <c r="BN97" s="3" t="s">
        <v>1071</v>
      </c>
      <c r="BO97" s="3" t="s">
        <v>1072</v>
      </c>
      <c r="BP97" s="3" t="s">
        <v>1052</v>
      </c>
    </row>
    <row r="98">
      <c r="A98" s="3" t="s">
        <v>1074</v>
      </c>
      <c r="B98" s="3" t="s">
        <v>1075</v>
      </c>
      <c r="C98" s="3" t="s">
        <v>70</v>
      </c>
      <c r="D98" s="3" t="s">
        <v>1076</v>
      </c>
      <c r="E98" s="3" t="s">
        <v>1077</v>
      </c>
      <c r="I98" s="3">
        <v>13.0</v>
      </c>
      <c r="J98" s="3" t="s">
        <v>94</v>
      </c>
      <c r="K98" s="3" t="s">
        <v>72</v>
      </c>
      <c r="L98" s="3" t="s">
        <v>73</v>
      </c>
      <c r="M98" s="3" t="s">
        <v>39</v>
      </c>
      <c r="N98" s="3">
        <v>-34.7953216374269</v>
      </c>
      <c r="P98" s="3" t="s">
        <v>75</v>
      </c>
      <c r="Q98" s="32" t="s">
        <v>1074</v>
      </c>
      <c r="R98" s="32" t="s">
        <v>1078</v>
      </c>
      <c r="S98" s="32"/>
      <c r="T98" s="32"/>
      <c r="W98" s="3" t="s">
        <v>1079</v>
      </c>
      <c r="X98" s="3" t="s">
        <v>77</v>
      </c>
      <c r="Y98" s="3" t="s">
        <v>78</v>
      </c>
      <c r="Z98" s="3" t="s">
        <v>1080</v>
      </c>
      <c r="AA98" s="3" t="s">
        <v>1081</v>
      </c>
      <c r="AB98" s="3" t="s">
        <v>1082</v>
      </c>
      <c r="AC98" s="3" t="s">
        <v>1083</v>
      </c>
      <c r="AE98" s="3" t="s">
        <v>83</v>
      </c>
      <c r="AF98" s="3" t="s">
        <v>84</v>
      </c>
      <c r="AG98" s="3" t="s">
        <v>84</v>
      </c>
      <c r="AH98" s="3" t="s">
        <v>2525</v>
      </c>
      <c r="AI98" s="3" t="s">
        <v>2525</v>
      </c>
      <c r="AJ98" s="3" t="s">
        <v>2525</v>
      </c>
      <c r="AK98" s="3" t="s">
        <v>2525</v>
      </c>
      <c r="AL98" s="3" t="s">
        <v>84</v>
      </c>
      <c r="AM98" s="3" t="s">
        <v>2525</v>
      </c>
      <c r="AN98" s="3" t="s">
        <v>2525</v>
      </c>
      <c r="AO98" s="3" t="s">
        <v>2525</v>
      </c>
      <c r="AP98" s="3" t="s">
        <v>2525</v>
      </c>
      <c r="AR98" s="3" t="s">
        <v>2525</v>
      </c>
      <c r="AS98" s="3" t="s">
        <v>2525</v>
      </c>
      <c r="AT98" s="3" t="s">
        <v>2525</v>
      </c>
      <c r="AU98" s="3" t="s">
        <v>2525</v>
      </c>
      <c r="AV98" s="3" t="s">
        <v>2525</v>
      </c>
      <c r="AW98" s="3" t="s">
        <v>2525</v>
      </c>
      <c r="AX98" s="3" t="s">
        <v>2525</v>
      </c>
      <c r="AY98" s="3" t="s">
        <v>85</v>
      </c>
      <c r="AZ98" s="3" t="s">
        <v>2525</v>
      </c>
      <c r="BA98" s="3" t="s">
        <v>2525</v>
      </c>
      <c r="BB98" s="3" t="s">
        <v>2525</v>
      </c>
      <c r="BC98" s="3" t="s">
        <v>2525</v>
      </c>
      <c r="BD98" s="3" t="s">
        <v>84</v>
      </c>
      <c r="BE98" s="3" t="s">
        <v>2525</v>
      </c>
      <c r="BF98" s="3" t="s">
        <v>2525</v>
      </c>
      <c r="BG98" s="3" t="s">
        <v>2525</v>
      </c>
      <c r="BH98" s="3" t="s">
        <v>2525</v>
      </c>
      <c r="BI98" s="3" t="s">
        <v>2525</v>
      </c>
      <c r="BJ98" s="3" t="s">
        <v>2525</v>
      </c>
      <c r="BK98" s="3" t="s">
        <v>86</v>
      </c>
      <c r="BL98" s="3" t="s">
        <v>86</v>
      </c>
      <c r="BM98" s="3" t="s">
        <v>86</v>
      </c>
      <c r="BN98" s="3" t="s">
        <v>1084</v>
      </c>
      <c r="BO98" s="3" t="s">
        <v>1085</v>
      </c>
      <c r="BP98" s="3" t="s">
        <v>1086</v>
      </c>
    </row>
    <row r="99">
      <c r="A99" s="3" t="s">
        <v>1088</v>
      </c>
      <c r="B99" s="3" t="s">
        <v>1089</v>
      </c>
      <c r="C99" s="3" t="s">
        <v>70</v>
      </c>
      <c r="D99" s="3" t="s">
        <v>1090</v>
      </c>
      <c r="E99" s="3" t="s">
        <v>1091</v>
      </c>
      <c r="I99" s="3">
        <v>12.0</v>
      </c>
      <c r="J99" s="3" t="s">
        <v>71</v>
      </c>
      <c r="K99" s="3" t="s">
        <v>72</v>
      </c>
      <c r="L99" s="3" t="s">
        <v>108</v>
      </c>
      <c r="M99" s="3" t="s">
        <v>109</v>
      </c>
      <c r="P99" s="3" t="s">
        <v>75</v>
      </c>
      <c r="Q99" s="32" t="s">
        <v>1088</v>
      </c>
      <c r="R99" s="32" t="s">
        <v>305</v>
      </c>
      <c r="S99" s="32"/>
      <c r="T99" s="32"/>
      <c r="X99" s="3" t="s">
        <v>77</v>
      </c>
      <c r="Y99" s="3" t="s">
        <v>138</v>
      </c>
      <c r="Z99" s="3" t="s">
        <v>1057</v>
      </c>
      <c r="AA99" s="3" t="s">
        <v>1092</v>
      </c>
      <c r="AB99" s="3" t="s">
        <v>1093</v>
      </c>
      <c r="AC99" s="3" t="s">
        <v>1094</v>
      </c>
      <c r="AE99" s="3" t="s">
        <v>83</v>
      </c>
      <c r="AF99" s="3" t="s">
        <v>2525</v>
      </c>
      <c r="AG99" s="3" t="s">
        <v>2525</v>
      </c>
      <c r="AH99" s="3" t="s">
        <v>84</v>
      </c>
      <c r="AI99" s="3" t="s">
        <v>84</v>
      </c>
      <c r="AJ99" s="3" t="s">
        <v>84</v>
      </c>
      <c r="AK99" s="3" t="s">
        <v>2525</v>
      </c>
      <c r="AL99" s="3" t="s">
        <v>2525</v>
      </c>
      <c r="AM99" s="3" t="s">
        <v>2525</v>
      </c>
      <c r="AN99" s="3" t="s">
        <v>2525</v>
      </c>
      <c r="AO99" s="3" t="s">
        <v>2525</v>
      </c>
      <c r="AP99" s="3" t="s">
        <v>2525</v>
      </c>
      <c r="AR99" s="3" t="s">
        <v>2525</v>
      </c>
      <c r="AS99" s="3" t="s">
        <v>2525</v>
      </c>
      <c r="AT99" s="3" t="s">
        <v>2525</v>
      </c>
      <c r="AU99" s="3" t="s">
        <v>2525</v>
      </c>
      <c r="AV99" s="3" t="s">
        <v>2525</v>
      </c>
      <c r="AW99" s="3" t="s">
        <v>2525</v>
      </c>
      <c r="AX99" s="3" t="s">
        <v>2525</v>
      </c>
      <c r="AY99" s="3" t="s">
        <v>2525</v>
      </c>
      <c r="AZ99" s="3" t="s">
        <v>2525</v>
      </c>
      <c r="BA99" s="3" t="s">
        <v>2525</v>
      </c>
      <c r="BB99" s="3" t="s">
        <v>2525</v>
      </c>
      <c r="BC99" s="3" t="s">
        <v>2525</v>
      </c>
      <c r="BD99" s="3" t="s">
        <v>2525</v>
      </c>
      <c r="BE99" s="3" t="s">
        <v>84</v>
      </c>
      <c r="BF99" s="3" t="s">
        <v>85</v>
      </c>
      <c r="BG99" s="3" t="s">
        <v>2525</v>
      </c>
      <c r="BH99" s="3" t="s">
        <v>2525</v>
      </c>
      <c r="BI99" s="3" t="s">
        <v>2525</v>
      </c>
      <c r="BJ99" s="3" t="s">
        <v>2525</v>
      </c>
      <c r="BK99" s="3" t="s">
        <v>86</v>
      </c>
      <c r="BL99" s="3" t="s">
        <v>86</v>
      </c>
      <c r="BM99" s="3" t="s">
        <v>86</v>
      </c>
      <c r="BN99" s="3" t="s">
        <v>310</v>
      </c>
      <c r="BO99" s="3" t="s">
        <v>664</v>
      </c>
      <c r="BP99" s="3" t="s">
        <v>144</v>
      </c>
    </row>
    <row r="100">
      <c r="A100" s="3" t="s">
        <v>271</v>
      </c>
      <c r="B100" s="3" t="s">
        <v>1096</v>
      </c>
      <c r="C100" s="3" t="s">
        <v>92</v>
      </c>
      <c r="D100" s="3" t="s">
        <v>1097</v>
      </c>
      <c r="E100" s="3" t="s">
        <v>1098</v>
      </c>
      <c r="I100" s="3">
        <v>50.0</v>
      </c>
      <c r="J100" s="3" t="s">
        <v>71</v>
      </c>
      <c r="K100" s="3" t="s">
        <v>72</v>
      </c>
      <c r="L100" s="3" t="s">
        <v>73</v>
      </c>
      <c r="M100" s="3" t="s">
        <v>39</v>
      </c>
      <c r="N100" s="3">
        <v>-34.7953216374269</v>
      </c>
      <c r="P100" s="3" t="s">
        <v>149</v>
      </c>
      <c r="Q100" s="32" t="s">
        <v>271</v>
      </c>
      <c r="R100" s="32" t="s">
        <v>137</v>
      </c>
      <c r="S100" s="32"/>
      <c r="T100" s="32"/>
      <c r="W100" s="3" t="s">
        <v>1079</v>
      </c>
      <c r="X100" s="3" t="s">
        <v>77</v>
      </c>
      <c r="Y100" s="3" t="s">
        <v>78</v>
      </c>
      <c r="Z100" s="3" t="s">
        <v>1099</v>
      </c>
      <c r="AA100" s="3" t="s">
        <v>1100</v>
      </c>
      <c r="AB100" s="3" t="s">
        <v>1101</v>
      </c>
      <c r="AC100" s="3" t="s">
        <v>1102</v>
      </c>
      <c r="AE100" s="3" t="s">
        <v>83</v>
      </c>
      <c r="AF100" s="3" t="s">
        <v>84</v>
      </c>
      <c r="AG100" s="3" t="s">
        <v>85</v>
      </c>
      <c r="AH100" s="3" t="s">
        <v>2525</v>
      </c>
      <c r="AI100" s="3" t="s">
        <v>2525</v>
      </c>
      <c r="AJ100" s="3" t="s">
        <v>84</v>
      </c>
      <c r="AK100" s="3" t="s">
        <v>2525</v>
      </c>
      <c r="AL100" s="3" t="s">
        <v>2525</v>
      </c>
      <c r="AM100" s="3" t="s">
        <v>84</v>
      </c>
      <c r="AN100" s="3" t="s">
        <v>85</v>
      </c>
      <c r="AO100" s="3" t="s">
        <v>2525</v>
      </c>
      <c r="AP100" s="3" t="s">
        <v>2525</v>
      </c>
      <c r="AR100" s="3" t="s">
        <v>2525</v>
      </c>
      <c r="AS100" s="3" t="s">
        <v>84</v>
      </c>
      <c r="AT100" s="3" t="s">
        <v>2525</v>
      </c>
      <c r="AU100" s="3" t="s">
        <v>2525</v>
      </c>
      <c r="AV100" s="3" t="s">
        <v>2525</v>
      </c>
      <c r="AW100" s="3" t="s">
        <v>2525</v>
      </c>
      <c r="AX100" s="3" t="s">
        <v>2525</v>
      </c>
      <c r="AY100" s="3" t="s">
        <v>2525</v>
      </c>
      <c r="AZ100" s="3" t="s">
        <v>85</v>
      </c>
      <c r="BA100" s="3" t="s">
        <v>85</v>
      </c>
      <c r="BB100" s="3" t="s">
        <v>2525</v>
      </c>
      <c r="BC100" s="3" t="s">
        <v>2525</v>
      </c>
      <c r="BD100" s="3" t="s">
        <v>2525</v>
      </c>
      <c r="BE100" s="3" t="s">
        <v>2525</v>
      </c>
      <c r="BF100" s="3" t="s">
        <v>2525</v>
      </c>
      <c r="BG100" s="3" t="s">
        <v>2525</v>
      </c>
      <c r="BH100" s="3" t="s">
        <v>2525</v>
      </c>
      <c r="BI100" s="3" t="s">
        <v>2525</v>
      </c>
      <c r="BJ100" s="3" t="s">
        <v>2525</v>
      </c>
      <c r="BK100" s="3" t="s">
        <v>86</v>
      </c>
      <c r="BL100" s="3" t="s">
        <v>2525</v>
      </c>
      <c r="BM100" s="3" t="s">
        <v>86</v>
      </c>
      <c r="BN100" s="3" t="s">
        <v>137</v>
      </c>
      <c r="BO100" s="3" t="s">
        <v>137</v>
      </c>
      <c r="BP100" s="3" t="s">
        <v>1103</v>
      </c>
    </row>
    <row r="101">
      <c r="A101" s="3" t="s">
        <v>1105</v>
      </c>
      <c r="B101" s="3" t="s">
        <v>1106</v>
      </c>
      <c r="C101" s="3" t="s">
        <v>70</v>
      </c>
      <c r="D101" s="3" t="s">
        <v>1107</v>
      </c>
      <c r="E101" s="3" t="s">
        <v>1108</v>
      </c>
      <c r="I101" s="3">
        <v>15.0</v>
      </c>
      <c r="J101" s="3" t="s">
        <v>1109</v>
      </c>
      <c r="K101" s="3" t="s">
        <v>72</v>
      </c>
      <c r="L101" s="3" t="s">
        <v>73</v>
      </c>
      <c r="M101" s="3" t="s">
        <v>36</v>
      </c>
      <c r="P101" s="3" t="s">
        <v>75</v>
      </c>
      <c r="Q101" s="32" t="s">
        <v>1105</v>
      </c>
      <c r="R101" s="32" t="s">
        <v>956</v>
      </c>
      <c r="S101" s="32"/>
      <c r="T101" s="32"/>
      <c r="X101" s="3" t="s">
        <v>77</v>
      </c>
      <c r="Y101" s="3" t="s">
        <v>78</v>
      </c>
      <c r="Z101" s="3" t="s">
        <v>1110</v>
      </c>
      <c r="AA101" s="3" t="s">
        <v>1111</v>
      </c>
      <c r="AB101" s="3" t="s">
        <v>1112</v>
      </c>
      <c r="AC101" s="3" t="s">
        <v>1113</v>
      </c>
      <c r="AE101" s="3" t="s">
        <v>83</v>
      </c>
      <c r="AF101" s="3" t="s">
        <v>84</v>
      </c>
      <c r="AG101" s="3" t="s">
        <v>84</v>
      </c>
      <c r="AH101" s="3" t="s">
        <v>2525</v>
      </c>
      <c r="AI101" s="3" t="s">
        <v>2525</v>
      </c>
      <c r="AJ101" s="3" t="s">
        <v>2525</v>
      </c>
      <c r="AK101" s="3" t="s">
        <v>84</v>
      </c>
      <c r="AL101" s="3" t="s">
        <v>2525</v>
      </c>
      <c r="AM101" s="3" t="s">
        <v>2525</v>
      </c>
      <c r="AN101" s="3" t="s">
        <v>2525</v>
      </c>
      <c r="AO101" s="3" t="s">
        <v>2525</v>
      </c>
      <c r="AP101" s="3" t="s">
        <v>2525</v>
      </c>
      <c r="AR101" s="3" t="s">
        <v>2525</v>
      </c>
      <c r="AS101" s="3" t="s">
        <v>2525</v>
      </c>
      <c r="AT101" s="3" t="s">
        <v>2525</v>
      </c>
      <c r="AU101" s="3" t="s">
        <v>2525</v>
      </c>
      <c r="AV101" s="3" t="s">
        <v>2525</v>
      </c>
      <c r="AW101" s="3" t="s">
        <v>2525</v>
      </c>
      <c r="AX101" s="3" t="s">
        <v>2525</v>
      </c>
      <c r="AY101" s="3" t="s">
        <v>2525</v>
      </c>
      <c r="AZ101" s="3" t="s">
        <v>2525</v>
      </c>
      <c r="BA101" s="3" t="s">
        <v>2525</v>
      </c>
      <c r="BB101" s="3" t="s">
        <v>2525</v>
      </c>
      <c r="BC101" s="3" t="s">
        <v>2525</v>
      </c>
      <c r="BD101" s="3" t="s">
        <v>84</v>
      </c>
      <c r="BE101" s="3" t="s">
        <v>2525</v>
      </c>
      <c r="BF101" s="3" t="s">
        <v>2525</v>
      </c>
      <c r="BG101" s="3" t="s">
        <v>2525</v>
      </c>
      <c r="BH101" s="3" t="s">
        <v>2525</v>
      </c>
      <c r="BI101" s="3" t="s">
        <v>2525</v>
      </c>
      <c r="BJ101" s="3" t="s">
        <v>2525</v>
      </c>
      <c r="BK101" s="3" t="s">
        <v>86</v>
      </c>
      <c r="BL101" s="3" t="s">
        <v>86</v>
      </c>
      <c r="BM101" s="3" t="s">
        <v>86</v>
      </c>
      <c r="BN101" s="3" t="s">
        <v>811</v>
      </c>
      <c r="BO101" s="3" t="s">
        <v>517</v>
      </c>
      <c r="BP101" s="3" t="s">
        <v>929</v>
      </c>
    </row>
    <row r="102">
      <c r="A102" s="3" t="s">
        <v>1115</v>
      </c>
      <c r="B102" s="3" t="s">
        <v>1116</v>
      </c>
      <c r="C102" s="3" t="s">
        <v>70</v>
      </c>
      <c r="D102" s="3" t="s">
        <v>1117</v>
      </c>
      <c r="E102" s="3" t="s">
        <v>1098</v>
      </c>
      <c r="I102" s="3">
        <v>20.0</v>
      </c>
      <c r="J102" s="3" t="s">
        <v>630</v>
      </c>
      <c r="K102" s="3" t="s">
        <v>72</v>
      </c>
      <c r="L102" s="3" t="s">
        <v>73</v>
      </c>
      <c r="M102" s="3" t="s">
        <v>39</v>
      </c>
      <c r="P102" s="3" t="s">
        <v>149</v>
      </c>
      <c r="Q102" s="32" t="s">
        <v>1115</v>
      </c>
      <c r="R102" s="32" t="s">
        <v>1045</v>
      </c>
      <c r="S102" s="32"/>
      <c r="T102" s="32"/>
      <c r="X102" s="3" t="s">
        <v>77</v>
      </c>
      <c r="Y102" s="3" t="s">
        <v>78</v>
      </c>
      <c r="Z102" s="3" t="s">
        <v>1118</v>
      </c>
      <c r="AA102" s="3" t="s">
        <v>1119</v>
      </c>
      <c r="AB102" s="3" t="s">
        <v>1120</v>
      </c>
      <c r="AC102" s="3" t="s">
        <v>1121</v>
      </c>
      <c r="AE102" s="3" t="s">
        <v>83</v>
      </c>
      <c r="AF102" s="3" t="s">
        <v>2525</v>
      </c>
      <c r="AG102" s="3" t="s">
        <v>2525</v>
      </c>
      <c r="AH102" s="3" t="s">
        <v>2525</v>
      </c>
      <c r="AI102" s="3" t="s">
        <v>2525</v>
      </c>
      <c r="AJ102" s="3" t="s">
        <v>2525</v>
      </c>
      <c r="AK102" s="3" t="s">
        <v>2525</v>
      </c>
      <c r="AL102" s="3" t="s">
        <v>2525</v>
      </c>
      <c r="AM102" s="3" t="s">
        <v>85</v>
      </c>
      <c r="AN102" s="3" t="s">
        <v>84</v>
      </c>
      <c r="AO102" s="3" t="s">
        <v>2525</v>
      </c>
      <c r="AP102" s="3" t="s">
        <v>2525</v>
      </c>
      <c r="AR102" s="3" t="s">
        <v>2525</v>
      </c>
      <c r="AS102" s="3" t="s">
        <v>2525</v>
      </c>
      <c r="AT102" s="3" t="s">
        <v>2525</v>
      </c>
      <c r="AU102" s="3" t="s">
        <v>84</v>
      </c>
      <c r="AV102" s="3" t="s">
        <v>2525</v>
      </c>
      <c r="AW102" s="3" t="s">
        <v>2525</v>
      </c>
      <c r="AX102" s="3" t="s">
        <v>2525</v>
      </c>
      <c r="AY102" s="3" t="s">
        <v>2525</v>
      </c>
      <c r="AZ102" s="3" t="s">
        <v>2525</v>
      </c>
      <c r="BA102" s="3" t="s">
        <v>84</v>
      </c>
      <c r="BB102" s="3" t="s">
        <v>2525</v>
      </c>
      <c r="BC102" s="3" t="s">
        <v>2525</v>
      </c>
      <c r="BD102" s="3" t="s">
        <v>2525</v>
      </c>
      <c r="BE102" s="3" t="s">
        <v>2525</v>
      </c>
      <c r="BF102" s="3" t="s">
        <v>2525</v>
      </c>
      <c r="BG102" s="3" t="s">
        <v>2525</v>
      </c>
      <c r="BH102" s="3" t="s">
        <v>2525</v>
      </c>
      <c r="BI102" s="3" t="s">
        <v>2525</v>
      </c>
      <c r="BJ102" s="3" t="s">
        <v>84</v>
      </c>
      <c r="BK102" s="3" t="s">
        <v>86</v>
      </c>
      <c r="BL102" s="3" t="s">
        <v>86</v>
      </c>
      <c r="BM102" s="3" t="s">
        <v>86</v>
      </c>
      <c r="BN102" s="3" t="s">
        <v>1050</v>
      </c>
      <c r="BO102" s="3" t="s">
        <v>1122</v>
      </c>
      <c r="BP102" s="3" t="s">
        <v>1123</v>
      </c>
    </row>
    <row r="103">
      <c r="A103" s="3" t="s">
        <v>1125</v>
      </c>
      <c r="B103" s="3" t="s">
        <v>1126</v>
      </c>
      <c r="C103" s="3" t="s">
        <v>70</v>
      </c>
      <c r="D103" s="3" t="s">
        <v>1127</v>
      </c>
      <c r="E103" s="3" t="s">
        <v>1128</v>
      </c>
      <c r="I103" s="3">
        <v>15.0</v>
      </c>
      <c r="J103" s="3" t="s">
        <v>94</v>
      </c>
      <c r="K103" s="3" t="s">
        <v>72</v>
      </c>
      <c r="L103" s="3" t="s">
        <v>73</v>
      </c>
      <c r="M103" s="3" t="s">
        <v>39</v>
      </c>
      <c r="P103" s="3" t="s">
        <v>75</v>
      </c>
      <c r="Q103" s="32" t="s">
        <v>1125</v>
      </c>
      <c r="R103" s="32" t="s">
        <v>1129</v>
      </c>
      <c r="S103" s="32"/>
      <c r="T103" s="32"/>
      <c r="W103" s="3" t="s">
        <v>1130</v>
      </c>
      <c r="X103" s="3" t="s">
        <v>77</v>
      </c>
      <c r="Y103" s="3" t="s">
        <v>78</v>
      </c>
      <c r="Z103" s="3" t="s">
        <v>1110</v>
      </c>
      <c r="AA103" s="3" t="s">
        <v>1131</v>
      </c>
      <c r="AB103" s="3" t="s">
        <v>1132</v>
      </c>
      <c r="AC103" s="3" t="s">
        <v>1133</v>
      </c>
      <c r="AE103" s="3" t="s">
        <v>83</v>
      </c>
      <c r="AF103" s="3" t="s">
        <v>84</v>
      </c>
      <c r="AG103" s="3" t="s">
        <v>84</v>
      </c>
      <c r="AH103" s="3" t="s">
        <v>2525</v>
      </c>
      <c r="AI103" s="3" t="s">
        <v>2525</v>
      </c>
      <c r="AJ103" s="3" t="s">
        <v>2525</v>
      </c>
      <c r="AK103" s="3" t="s">
        <v>2525</v>
      </c>
      <c r="AL103" s="3" t="s">
        <v>2525</v>
      </c>
      <c r="AM103" s="3" t="s">
        <v>2525</v>
      </c>
      <c r="AN103" s="3" t="s">
        <v>2525</v>
      </c>
      <c r="AO103" s="3" t="s">
        <v>2525</v>
      </c>
      <c r="AP103" s="3" t="s">
        <v>2525</v>
      </c>
      <c r="AR103" s="3" t="s">
        <v>2525</v>
      </c>
      <c r="AS103" s="3" t="s">
        <v>2525</v>
      </c>
      <c r="AT103" s="3" t="s">
        <v>2525</v>
      </c>
      <c r="AU103" s="3" t="s">
        <v>2525</v>
      </c>
      <c r="AV103" s="3" t="s">
        <v>2525</v>
      </c>
      <c r="AW103" s="3" t="s">
        <v>2525</v>
      </c>
      <c r="AX103" s="3" t="s">
        <v>2525</v>
      </c>
      <c r="AY103" s="3" t="s">
        <v>2525</v>
      </c>
      <c r="AZ103" s="3" t="s">
        <v>2525</v>
      </c>
      <c r="BA103" s="3" t="s">
        <v>2525</v>
      </c>
      <c r="BB103" s="3" t="s">
        <v>2525</v>
      </c>
      <c r="BC103" s="3" t="s">
        <v>2525</v>
      </c>
      <c r="BD103" s="3" t="s">
        <v>84</v>
      </c>
      <c r="BE103" s="3" t="s">
        <v>2525</v>
      </c>
      <c r="BF103" s="3" t="s">
        <v>2525</v>
      </c>
      <c r="BG103" s="3" t="s">
        <v>2525</v>
      </c>
      <c r="BH103" s="3" t="s">
        <v>2525</v>
      </c>
      <c r="BI103" s="3" t="s">
        <v>2525</v>
      </c>
      <c r="BJ103" s="3" t="s">
        <v>2525</v>
      </c>
      <c r="BK103" s="3" t="s">
        <v>86</v>
      </c>
      <c r="BL103" s="3" t="s">
        <v>86</v>
      </c>
      <c r="BM103" s="3" t="s">
        <v>86</v>
      </c>
      <c r="BN103" s="3" t="s">
        <v>1134</v>
      </c>
      <c r="BO103" s="3" t="s">
        <v>517</v>
      </c>
      <c r="BP103" s="3" t="s">
        <v>1135</v>
      </c>
    </row>
    <row r="104">
      <c r="A104" s="3" t="s">
        <v>1137</v>
      </c>
      <c r="B104" s="3" t="s">
        <v>1138</v>
      </c>
      <c r="C104" s="3" t="s">
        <v>70</v>
      </c>
      <c r="D104" s="3" t="s">
        <v>1139</v>
      </c>
      <c r="E104" s="3" t="s">
        <v>1140</v>
      </c>
      <c r="I104" s="3">
        <v>22.0</v>
      </c>
      <c r="J104" s="3" t="s">
        <v>71</v>
      </c>
      <c r="K104" s="3" t="s">
        <v>72</v>
      </c>
      <c r="L104" s="3" t="s">
        <v>108</v>
      </c>
      <c r="M104" s="3" t="s">
        <v>109</v>
      </c>
      <c r="P104" s="3" t="s">
        <v>110</v>
      </c>
      <c r="Q104" s="32" t="s">
        <v>1137</v>
      </c>
      <c r="R104" s="32" t="s">
        <v>1045</v>
      </c>
      <c r="S104" s="32"/>
      <c r="T104" s="32"/>
      <c r="X104" s="3" t="s">
        <v>77</v>
      </c>
      <c r="Y104" s="3" t="s">
        <v>78</v>
      </c>
      <c r="Z104" s="3" t="s">
        <v>1118</v>
      </c>
      <c r="AA104" s="3" t="s">
        <v>1141</v>
      </c>
      <c r="AB104" s="3" t="s">
        <v>1142</v>
      </c>
      <c r="AC104" s="3" t="s">
        <v>1143</v>
      </c>
      <c r="AE104" s="3" t="s">
        <v>83</v>
      </c>
      <c r="AF104" s="3" t="s">
        <v>2525</v>
      </c>
      <c r="AG104" s="3" t="s">
        <v>2525</v>
      </c>
      <c r="AH104" s="3" t="s">
        <v>84</v>
      </c>
      <c r="AI104" s="3" t="s">
        <v>84</v>
      </c>
      <c r="AJ104" s="3" t="s">
        <v>84</v>
      </c>
      <c r="AK104" s="3" t="s">
        <v>2525</v>
      </c>
      <c r="AL104" s="3" t="s">
        <v>2525</v>
      </c>
      <c r="AM104" s="3" t="s">
        <v>2525</v>
      </c>
      <c r="AN104" s="3" t="s">
        <v>2525</v>
      </c>
      <c r="AO104" s="3" t="s">
        <v>2525</v>
      </c>
      <c r="AP104" s="3" t="s">
        <v>2525</v>
      </c>
      <c r="AR104" s="3" t="s">
        <v>2525</v>
      </c>
      <c r="AS104" s="3" t="s">
        <v>2525</v>
      </c>
      <c r="AT104" s="3" t="s">
        <v>2525</v>
      </c>
      <c r="AU104" s="3" t="s">
        <v>2525</v>
      </c>
      <c r="AV104" s="3" t="s">
        <v>2525</v>
      </c>
      <c r="AW104" s="3" t="s">
        <v>2525</v>
      </c>
      <c r="AX104" s="3" t="s">
        <v>2525</v>
      </c>
      <c r="AY104" s="3" t="s">
        <v>2525</v>
      </c>
      <c r="AZ104" s="3" t="s">
        <v>2525</v>
      </c>
      <c r="BA104" s="3" t="s">
        <v>2525</v>
      </c>
      <c r="BB104" s="3" t="s">
        <v>2525</v>
      </c>
      <c r="BC104" s="3" t="s">
        <v>2525</v>
      </c>
      <c r="BD104" s="3" t="s">
        <v>2525</v>
      </c>
      <c r="BE104" s="3" t="s">
        <v>84</v>
      </c>
      <c r="BF104" s="3" t="s">
        <v>2525</v>
      </c>
      <c r="BG104" s="3" t="s">
        <v>2525</v>
      </c>
      <c r="BH104" s="3" t="s">
        <v>2525</v>
      </c>
      <c r="BI104" s="3" t="s">
        <v>2525</v>
      </c>
      <c r="BJ104" s="3" t="s">
        <v>2525</v>
      </c>
      <c r="BK104" s="3" t="s">
        <v>86</v>
      </c>
      <c r="BL104" s="3" t="s">
        <v>86</v>
      </c>
      <c r="BN104" s="3" t="s">
        <v>1050</v>
      </c>
      <c r="BO104" s="3" t="s">
        <v>1051</v>
      </c>
      <c r="BP104" s="3" t="s">
        <v>536</v>
      </c>
    </row>
    <row r="105">
      <c r="A105" s="3" t="s">
        <v>1145</v>
      </c>
      <c r="B105" s="3" t="s">
        <v>1146</v>
      </c>
      <c r="C105" s="3" t="s">
        <v>92</v>
      </c>
      <c r="D105" s="3" t="s">
        <v>1147</v>
      </c>
      <c r="I105" s="3">
        <v>30.0</v>
      </c>
      <c r="J105" s="3" t="s">
        <v>71</v>
      </c>
      <c r="K105" s="3" t="s">
        <v>72</v>
      </c>
      <c r="L105" s="3" t="s">
        <v>73</v>
      </c>
      <c r="M105" s="3" t="s">
        <v>74</v>
      </c>
      <c r="P105" s="3" t="s">
        <v>149</v>
      </c>
      <c r="Q105" s="32" t="s">
        <v>1145</v>
      </c>
      <c r="R105" s="32"/>
      <c r="S105" s="32"/>
      <c r="T105" s="32"/>
      <c r="W105" s="3" t="s">
        <v>1130</v>
      </c>
      <c r="X105" s="3" t="s">
        <v>77</v>
      </c>
      <c r="Y105" s="3" t="s">
        <v>138</v>
      </c>
      <c r="Z105" s="3" t="s">
        <v>1148</v>
      </c>
      <c r="AA105" s="3" t="s">
        <v>1149</v>
      </c>
      <c r="AB105" s="3" t="s">
        <v>1150</v>
      </c>
      <c r="AC105" s="3" t="s">
        <v>1151</v>
      </c>
      <c r="AE105" s="3" t="s">
        <v>83</v>
      </c>
      <c r="AF105" s="3" t="s">
        <v>85</v>
      </c>
      <c r="AG105" s="3" t="s">
        <v>2525</v>
      </c>
      <c r="AH105" s="3" t="s">
        <v>2525</v>
      </c>
      <c r="AI105" s="3" t="s">
        <v>2525</v>
      </c>
      <c r="AJ105" s="3" t="s">
        <v>2525</v>
      </c>
      <c r="AK105" s="3" t="s">
        <v>85</v>
      </c>
      <c r="AL105" s="3" t="s">
        <v>2525</v>
      </c>
      <c r="AM105" s="3" t="s">
        <v>2525</v>
      </c>
      <c r="AN105" s="3" t="s">
        <v>1152</v>
      </c>
      <c r="AO105" s="3" t="s">
        <v>2525</v>
      </c>
      <c r="AP105" s="3" t="s">
        <v>2525</v>
      </c>
      <c r="AR105" s="3" t="s">
        <v>2525</v>
      </c>
      <c r="AS105" s="3" t="s">
        <v>84</v>
      </c>
      <c r="AT105" s="3" t="s">
        <v>85</v>
      </c>
      <c r="AU105" s="3" t="s">
        <v>2525</v>
      </c>
      <c r="AV105" s="3" t="s">
        <v>2525</v>
      </c>
      <c r="AW105" s="3" t="s">
        <v>84</v>
      </c>
      <c r="AX105" s="3" t="s">
        <v>2525</v>
      </c>
      <c r="AY105" s="3" t="s">
        <v>2525</v>
      </c>
      <c r="AZ105" s="3" t="s">
        <v>2525</v>
      </c>
      <c r="BA105" s="3" t="s">
        <v>84</v>
      </c>
      <c r="BB105" s="3" t="s">
        <v>2525</v>
      </c>
      <c r="BC105" s="3" t="s">
        <v>85</v>
      </c>
      <c r="BD105" s="3" t="s">
        <v>2525</v>
      </c>
      <c r="BE105" s="3" t="s">
        <v>2525</v>
      </c>
      <c r="BF105" s="3" t="s">
        <v>2525</v>
      </c>
      <c r="BG105" s="3" t="s">
        <v>2525</v>
      </c>
      <c r="BH105" s="3" t="s">
        <v>2525</v>
      </c>
      <c r="BI105" s="3" t="s">
        <v>2525</v>
      </c>
      <c r="BJ105" s="3" t="s">
        <v>2525</v>
      </c>
      <c r="BL105" s="3" t="s">
        <v>2525</v>
      </c>
      <c r="BM105" s="3" t="s">
        <v>86</v>
      </c>
      <c r="BP105" s="3" t="s">
        <v>1153</v>
      </c>
    </row>
    <row r="106">
      <c r="A106" s="3" t="s">
        <v>1155</v>
      </c>
      <c r="B106" s="3" t="s">
        <v>1156</v>
      </c>
      <c r="C106" s="3" t="s">
        <v>70</v>
      </c>
      <c r="D106" s="3" t="s">
        <v>1157</v>
      </c>
      <c r="E106" s="3" t="s">
        <v>1158</v>
      </c>
      <c r="I106" s="3">
        <v>13.0</v>
      </c>
      <c r="J106" s="3" t="s">
        <v>94</v>
      </c>
      <c r="K106" s="3" t="s">
        <v>72</v>
      </c>
      <c r="L106" s="3" t="s">
        <v>73</v>
      </c>
      <c r="M106" s="3" t="s">
        <v>36</v>
      </c>
      <c r="N106" s="3">
        <v>-23.362445414847162</v>
      </c>
      <c r="P106" s="3" t="s">
        <v>75</v>
      </c>
      <c r="Q106" s="32" t="s">
        <v>1155</v>
      </c>
      <c r="R106" s="32" t="s">
        <v>806</v>
      </c>
      <c r="S106" s="32"/>
      <c r="T106" s="32"/>
      <c r="X106" s="3" t="s">
        <v>77</v>
      </c>
      <c r="Y106" s="3" t="s">
        <v>78</v>
      </c>
      <c r="Z106" s="3" t="s">
        <v>1159</v>
      </c>
      <c r="AA106" s="3" t="s">
        <v>1160</v>
      </c>
      <c r="AB106" s="3" t="s">
        <v>1161</v>
      </c>
      <c r="AC106" s="3" t="s">
        <v>1162</v>
      </c>
      <c r="AE106" s="3" t="s">
        <v>83</v>
      </c>
      <c r="AF106" s="3" t="s">
        <v>84</v>
      </c>
      <c r="AG106" s="3" t="s">
        <v>84</v>
      </c>
      <c r="AH106" s="3" t="s">
        <v>2525</v>
      </c>
      <c r="AI106" s="3" t="s">
        <v>2525</v>
      </c>
      <c r="AJ106" s="3" t="s">
        <v>2525</v>
      </c>
      <c r="AK106" s="3" t="s">
        <v>84</v>
      </c>
      <c r="AL106" s="3" t="s">
        <v>2525</v>
      </c>
      <c r="AM106" s="3" t="s">
        <v>2525</v>
      </c>
      <c r="AN106" s="3" t="s">
        <v>2525</v>
      </c>
      <c r="AO106" s="3" t="s">
        <v>2525</v>
      </c>
      <c r="AP106" s="3" t="s">
        <v>2525</v>
      </c>
      <c r="AR106" s="3" t="s">
        <v>2525</v>
      </c>
      <c r="AS106" s="3" t="s">
        <v>2525</v>
      </c>
      <c r="AT106" s="3" t="s">
        <v>2525</v>
      </c>
      <c r="AU106" s="3" t="s">
        <v>2525</v>
      </c>
      <c r="AV106" s="3" t="s">
        <v>2525</v>
      </c>
      <c r="AW106" s="3" t="s">
        <v>2525</v>
      </c>
      <c r="AX106" s="3" t="s">
        <v>2525</v>
      </c>
      <c r="AY106" s="3" t="s">
        <v>2525</v>
      </c>
      <c r="AZ106" s="3" t="s">
        <v>2525</v>
      </c>
      <c r="BA106" s="3" t="s">
        <v>2525</v>
      </c>
      <c r="BB106" s="3" t="s">
        <v>2525</v>
      </c>
      <c r="BC106" s="3" t="s">
        <v>2525</v>
      </c>
      <c r="BD106" s="3" t="s">
        <v>84</v>
      </c>
      <c r="BE106" s="3" t="s">
        <v>2525</v>
      </c>
      <c r="BF106" s="3" t="s">
        <v>2525</v>
      </c>
      <c r="BG106" s="3" t="s">
        <v>2525</v>
      </c>
      <c r="BH106" s="3" t="s">
        <v>2525</v>
      </c>
      <c r="BI106" s="3" t="s">
        <v>2525</v>
      </c>
      <c r="BJ106" s="3" t="s">
        <v>2525</v>
      </c>
      <c r="BK106" s="3" t="s">
        <v>86</v>
      </c>
      <c r="BL106" s="3" t="s">
        <v>86</v>
      </c>
      <c r="BM106" s="3" t="s">
        <v>86</v>
      </c>
      <c r="BN106" s="3" t="s">
        <v>811</v>
      </c>
      <c r="BO106" s="3" t="s">
        <v>517</v>
      </c>
      <c r="BP106" s="3" t="s">
        <v>536</v>
      </c>
    </row>
    <row r="107">
      <c r="A107" s="3" t="s">
        <v>1164</v>
      </c>
      <c r="B107" s="3" t="s">
        <v>1165</v>
      </c>
      <c r="C107" s="3" t="s">
        <v>92</v>
      </c>
      <c r="D107" s="3" t="s">
        <v>1166</v>
      </c>
      <c r="I107" s="3">
        <v>25.0</v>
      </c>
      <c r="J107" s="3" t="s">
        <v>272</v>
      </c>
      <c r="K107" s="3" t="s">
        <v>72</v>
      </c>
      <c r="L107" s="3" t="s">
        <v>108</v>
      </c>
      <c r="M107" s="3" t="s">
        <v>1167</v>
      </c>
      <c r="N107" s="3">
        <v>8.849557522123893</v>
      </c>
      <c r="P107" s="3" t="s">
        <v>149</v>
      </c>
      <c r="Q107" s="32" t="s">
        <v>1164</v>
      </c>
      <c r="R107" s="32" t="s">
        <v>137</v>
      </c>
      <c r="S107" s="32"/>
      <c r="T107" s="32"/>
      <c r="W107" s="3" t="s">
        <v>1168</v>
      </c>
      <c r="X107" s="3" t="s">
        <v>77</v>
      </c>
      <c r="Y107" s="3" t="s">
        <v>138</v>
      </c>
      <c r="Z107" s="3" t="s">
        <v>1169</v>
      </c>
      <c r="AA107" s="3" t="s">
        <v>1170</v>
      </c>
      <c r="AB107" s="3" t="s">
        <v>1171</v>
      </c>
      <c r="AC107" s="3" t="s">
        <v>1172</v>
      </c>
      <c r="AE107" s="3" t="s">
        <v>83</v>
      </c>
      <c r="AF107" s="3" t="s">
        <v>2525</v>
      </c>
      <c r="AG107" s="3" t="s">
        <v>2525</v>
      </c>
      <c r="AH107" s="3" t="s">
        <v>84</v>
      </c>
      <c r="AI107" s="3" t="s">
        <v>84</v>
      </c>
      <c r="AJ107" s="3" t="s">
        <v>85</v>
      </c>
      <c r="AK107" s="3" t="s">
        <v>2525</v>
      </c>
      <c r="AL107" s="3" t="s">
        <v>2525</v>
      </c>
      <c r="AM107" s="3" t="s">
        <v>2525</v>
      </c>
      <c r="AN107" s="3" t="s">
        <v>2525</v>
      </c>
      <c r="AO107" s="3" t="s">
        <v>2525</v>
      </c>
      <c r="AP107" s="3" t="s">
        <v>2525</v>
      </c>
      <c r="AR107" s="3" t="s">
        <v>2525</v>
      </c>
      <c r="AS107" s="3" t="s">
        <v>85</v>
      </c>
      <c r="AT107" s="3" t="s">
        <v>84</v>
      </c>
      <c r="AU107" s="3" t="s">
        <v>2525</v>
      </c>
      <c r="AV107" s="3" t="s">
        <v>2525</v>
      </c>
      <c r="AW107" s="3" t="s">
        <v>2525</v>
      </c>
      <c r="AX107" s="3" t="s">
        <v>2525</v>
      </c>
      <c r="AY107" s="3" t="s">
        <v>2525</v>
      </c>
      <c r="AZ107" s="3" t="s">
        <v>2525</v>
      </c>
      <c r="BA107" s="3" t="s">
        <v>2525</v>
      </c>
      <c r="BB107" s="3" t="s">
        <v>2525</v>
      </c>
      <c r="BC107" s="3" t="s">
        <v>2525</v>
      </c>
      <c r="BD107" s="3" t="s">
        <v>2525</v>
      </c>
      <c r="BE107" s="3" t="s">
        <v>85</v>
      </c>
      <c r="BF107" s="3" t="s">
        <v>2525</v>
      </c>
      <c r="BG107" s="3" t="s">
        <v>2525</v>
      </c>
      <c r="BH107" s="3" t="s">
        <v>2525</v>
      </c>
      <c r="BI107" s="3" t="s">
        <v>2525</v>
      </c>
      <c r="BJ107" s="3" t="s">
        <v>2525</v>
      </c>
      <c r="BK107" s="3" t="s">
        <v>86</v>
      </c>
      <c r="BL107" s="3" t="s">
        <v>2525</v>
      </c>
      <c r="BN107" s="3" t="s">
        <v>137</v>
      </c>
      <c r="BO107" s="3" t="s">
        <v>137</v>
      </c>
      <c r="BP107" s="3" t="s">
        <v>254</v>
      </c>
    </row>
    <row r="108">
      <c r="A108" s="3" t="s">
        <v>1174</v>
      </c>
      <c r="B108" s="3" t="s">
        <v>1175</v>
      </c>
      <c r="C108" s="3" t="s">
        <v>92</v>
      </c>
      <c r="D108" s="3" t="s">
        <v>1176</v>
      </c>
      <c r="E108" s="3" t="s">
        <v>1177</v>
      </c>
      <c r="I108" s="3">
        <v>47.0</v>
      </c>
      <c r="J108" s="3" t="s">
        <v>123</v>
      </c>
      <c r="K108" s="3" t="s">
        <v>72</v>
      </c>
      <c r="L108" s="3" t="s">
        <v>73</v>
      </c>
      <c r="M108" s="3" t="s">
        <v>1178</v>
      </c>
      <c r="N108" s="3">
        <v>-23.362445414847162</v>
      </c>
      <c r="P108" s="3" t="s">
        <v>75</v>
      </c>
      <c r="Q108" s="32" t="s">
        <v>1174</v>
      </c>
      <c r="R108" s="32" t="s">
        <v>1179</v>
      </c>
      <c r="S108" s="32"/>
      <c r="T108" s="32"/>
      <c r="X108" s="3" t="s">
        <v>77</v>
      </c>
      <c r="Y108" s="3" t="s">
        <v>78</v>
      </c>
      <c r="Z108" s="3" t="s">
        <v>1180</v>
      </c>
      <c r="AA108" s="3" t="s">
        <v>1181</v>
      </c>
      <c r="AB108" s="3" t="s">
        <v>1182</v>
      </c>
      <c r="AC108" s="3" t="s">
        <v>1183</v>
      </c>
      <c r="AE108" s="3" t="s">
        <v>83</v>
      </c>
      <c r="AF108" s="3" t="s">
        <v>84</v>
      </c>
      <c r="AG108" s="3" t="s">
        <v>84</v>
      </c>
      <c r="AH108" s="3" t="s">
        <v>2525</v>
      </c>
      <c r="AI108" s="3" t="s">
        <v>2525</v>
      </c>
      <c r="AJ108" s="3" t="s">
        <v>84</v>
      </c>
      <c r="AK108" s="3" t="s">
        <v>2525</v>
      </c>
      <c r="AL108" s="3" t="s">
        <v>2525</v>
      </c>
      <c r="AM108" s="3" t="s">
        <v>84</v>
      </c>
      <c r="AN108" s="3" t="s">
        <v>84</v>
      </c>
      <c r="AO108" s="3" t="s">
        <v>2525</v>
      </c>
      <c r="AP108" s="3" t="s">
        <v>84</v>
      </c>
      <c r="AR108" s="3" t="s">
        <v>2525</v>
      </c>
      <c r="AS108" s="3" t="s">
        <v>84</v>
      </c>
      <c r="AT108" s="3" t="s">
        <v>2525</v>
      </c>
      <c r="AU108" s="3" t="s">
        <v>2525</v>
      </c>
      <c r="AV108" s="3" t="s">
        <v>2525</v>
      </c>
      <c r="AW108" s="3" t="s">
        <v>2525</v>
      </c>
      <c r="AX108" s="3" t="s">
        <v>2525</v>
      </c>
      <c r="AY108" s="3" t="s">
        <v>2525</v>
      </c>
      <c r="AZ108" s="3" t="s">
        <v>84</v>
      </c>
      <c r="BA108" s="3" t="s">
        <v>84</v>
      </c>
      <c r="BB108" s="3" t="s">
        <v>2525</v>
      </c>
      <c r="BC108" s="3" t="s">
        <v>2525</v>
      </c>
      <c r="BD108" s="3" t="s">
        <v>85</v>
      </c>
      <c r="BE108" s="3" t="s">
        <v>2525</v>
      </c>
      <c r="BF108" s="3" t="s">
        <v>2525</v>
      </c>
      <c r="BG108" s="3" t="s">
        <v>2525</v>
      </c>
      <c r="BH108" s="3" t="s">
        <v>2525</v>
      </c>
      <c r="BI108" s="3" t="s">
        <v>84</v>
      </c>
      <c r="BJ108" s="3" t="s">
        <v>2525</v>
      </c>
      <c r="BK108" s="3" t="s">
        <v>86</v>
      </c>
      <c r="BL108" s="3" t="s">
        <v>2525</v>
      </c>
      <c r="BN108" s="3" t="s">
        <v>1184</v>
      </c>
      <c r="BO108" s="3" t="s">
        <v>1185</v>
      </c>
      <c r="BP108" s="3" t="s">
        <v>1186</v>
      </c>
    </row>
    <row r="109">
      <c r="A109" s="3" t="s">
        <v>1188</v>
      </c>
      <c r="B109" s="3" t="s">
        <v>1189</v>
      </c>
      <c r="C109" s="3" t="s">
        <v>92</v>
      </c>
      <c r="D109" s="3" t="s">
        <v>1190</v>
      </c>
      <c r="E109" s="3" t="s">
        <v>1191</v>
      </c>
      <c r="I109" s="3">
        <v>57.0</v>
      </c>
      <c r="J109" s="3" t="s">
        <v>71</v>
      </c>
      <c r="K109" s="3" t="s">
        <v>72</v>
      </c>
      <c r="L109" s="3" t="s">
        <v>73</v>
      </c>
      <c r="M109" s="3" t="s">
        <v>43</v>
      </c>
      <c r="N109" s="3">
        <v>8.849557522123893</v>
      </c>
      <c r="P109" s="3" t="s">
        <v>260</v>
      </c>
      <c r="Q109" s="32" t="s">
        <v>1188</v>
      </c>
      <c r="R109" s="32" t="s">
        <v>137</v>
      </c>
      <c r="S109" s="32"/>
      <c r="T109" s="32"/>
      <c r="W109" s="3" t="s">
        <v>1168</v>
      </c>
      <c r="X109" s="3" t="s">
        <v>77</v>
      </c>
      <c r="Y109" s="3" t="s">
        <v>138</v>
      </c>
      <c r="Z109" s="3" t="s">
        <v>1192</v>
      </c>
      <c r="AA109" s="3" t="s">
        <v>1193</v>
      </c>
      <c r="AB109" s="3" t="s">
        <v>1194</v>
      </c>
      <c r="AC109" s="3" t="s">
        <v>1195</v>
      </c>
      <c r="AE109" s="3" t="s">
        <v>83</v>
      </c>
      <c r="AF109" s="3" t="s">
        <v>85</v>
      </c>
      <c r="AG109" s="3" t="s">
        <v>2525</v>
      </c>
      <c r="AH109" s="3" t="s">
        <v>2525</v>
      </c>
      <c r="AI109" s="3" t="s">
        <v>2525</v>
      </c>
      <c r="AJ109" s="3" t="s">
        <v>2525</v>
      </c>
      <c r="AK109" s="3" t="s">
        <v>2525</v>
      </c>
      <c r="AL109" s="3" t="s">
        <v>2525</v>
      </c>
      <c r="AM109" s="3" t="s">
        <v>2525</v>
      </c>
      <c r="AN109" s="3" t="s">
        <v>85</v>
      </c>
      <c r="AO109" s="3" t="s">
        <v>2525</v>
      </c>
      <c r="AP109" s="3" t="s">
        <v>2525</v>
      </c>
      <c r="AR109" s="3" t="s">
        <v>2525</v>
      </c>
      <c r="AS109" s="3" t="s">
        <v>84</v>
      </c>
      <c r="AT109" s="3" t="s">
        <v>2525</v>
      </c>
      <c r="AU109" s="3" t="s">
        <v>2525</v>
      </c>
      <c r="AV109" s="3" t="s">
        <v>2525</v>
      </c>
      <c r="AW109" s="3" t="s">
        <v>2525</v>
      </c>
      <c r="AX109" s="3" t="s">
        <v>2525</v>
      </c>
      <c r="AY109" s="3" t="s">
        <v>2525</v>
      </c>
      <c r="AZ109" s="3" t="s">
        <v>2525</v>
      </c>
      <c r="BA109" s="3" t="s">
        <v>85</v>
      </c>
      <c r="BB109" s="3" t="s">
        <v>2525</v>
      </c>
      <c r="BC109" s="3" t="s">
        <v>2525</v>
      </c>
      <c r="BD109" s="3" t="s">
        <v>2525</v>
      </c>
      <c r="BE109" s="3" t="s">
        <v>2525</v>
      </c>
      <c r="BF109" s="3" t="s">
        <v>2525</v>
      </c>
      <c r="BG109" s="3" t="s">
        <v>2525</v>
      </c>
      <c r="BH109" s="3" t="s">
        <v>2525</v>
      </c>
      <c r="BI109" s="3" t="s">
        <v>84</v>
      </c>
      <c r="BJ109" s="3" t="s">
        <v>2525</v>
      </c>
      <c r="BK109" s="3" t="s">
        <v>86</v>
      </c>
      <c r="BL109" s="3" t="s">
        <v>2525</v>
      </c>
      <c r="BM109" s="3" t="s">
        <v>86</v>
      </c>
      <c r="BN109" s="3" t="s">
        <v>137</v>
      </c>
      <c r="BO109" s="3" t="s">
        <v>137</v>
      </c>
      <c r="BP109" s="3" t="s">
        <v>254</v>
      </c>
    </row>
    <row r="110">
      <c r="A110" s="3" t="s">
        <v>1197</v>
      </c>
      <c r="B110" s="3" t="s">
        <v>1198</v>
      </c>
      <c r="C110" s="3" t="s">
        <v>70</v>
      </c>
      <c r="D110" s="3" t="s">
        <v>1199</v>
      </c>
      <c r="E110" s="3" t="s">
        <v>1200</v>
      </c>
      <c r="I110" s="3">
        <v>10.0</v>
      </c>
      <c r="J110" s="3" t="s">
        <v>1201</v>
      </c>
      <c r="K110" s="3" t="s">
        <v>72</v>
      </c>
      <c r="L110" s="3" t="s">
        <v>73</v>
      </c>
      <c r="M110" s="3" t="s">
        <v>39</v>
      </c>
      <c r="P110" s="3" t="s">
        <v>75</v>
      </c>
      <c r="Q110" s="32" t="s">
        <v>1197</v>
      </c>
      <c r="R110" s="32" t="s">
        <v>1078</v>
      </c>
      <c r="S110" s="32"/>
      <c r="T110" s="32"/>
      <c r="X110" s="3" t="s">
        <v>77</v>
      </c>
      <c r="Y110" s="3" t="s">
        <v>78</v>
      </c>
      <c r="Z110" s="3" t="s">
        <v>1080</v>
      </c>
      <c r="AA110" s="3" t="s">
        <v>1202</v>
      </c>
      <c r="AB110" s="3" t="s">
        <v>1203</v>
      </c>
      <c r="AC110" s="3" t="s">
        <v>1204</v>
      </c>
      <c r="AE110" s="3" t="s">
        <v>83</v>
      </c>
      <c r="AF110" s="3" t="s">
        <v>84</v>
      </c>
      <c r="AG110" s="3" t="s">
        <v>84</v>
      </c>
      <c r="AH110" s="3" t="s">
        <v>2525</v>
      </c>
      <c r="AI110" s="3" t="s">
        <v>2525</v>
      </c>
      <c r="AJ110" s="3" t="s">
        <v>2525</v>
      </c>
      <c r="AK110" s="3" t="s">
        <v>2525</v>
      </c>
      <c r="AL110" s="3" t="s">
        <v>84</v>
      </c>
      <c r="AM110" s="3" t="s">
        <v>2525</v>
      </c>
      <c r="AN110" s="3" t="s">
        <v>2525</v>
      </c>
      <c r="AO110" s="3" t="s">
        <v>2525</v>
      </c>
      <c r="AP110" s="3" t="s">
        <v>2525</v>
      </c>
      <c r="AR110" s="3" t="s">
        <v>2525</v>
      </c>
      <c r="AS110" s="3" t="s">
        <v>2525</v>
      </c>
      <c r="AT110" s="3" t="s">
        <v>2525</v>
      </c>
      <c r="AU110" s="3" t="s">
        <v>2525</v>
      </c>
      <c r="AV110" s="3" t="s">
        <v>2525</v>
      </c>
      <c r="AW110" s="3" t="s">
        <v>2525</v>
      </c>
      <c r="AX110" s="3" t="s">
        <v>2525</v>
      </c>
      <c r="AY110" s="3" t="s">
        <v>85</v>
      </c>
      <c r="AZ110" s="3" t="s">
        <v>2525</v>
      </c>
      <c r="BA110" s="3" t="s">
        <v>2525</v>
      </c>
      <c r="BB110" s="3" t="s">
        <v>2525</v>
      </c>
      <c r="BC110" s="3" t="s">
        <v>2525</v>
      </c>
      <c r="BD110" s="3" t="s">
        <v>84</v>
      </c>
      <c r="BE110" s="3" t="s">
        <v>2525</v>
      </c>
      <c r="BF110" s="3" t="s">
        <v>2525</v>
      </c>
      <c r="BG110" s="3" t="s">
        <v>2525</v>
      </c>
      <c r="BH110" s="3" t="s">
        <v>2525</v>
      </c>
      <c r="BI110" s="3" t="s">
        <v>2525</v>
      </c>
      <c r="BJ110" s="3" t="s">
        <v>2525</v>
      </c>
      <c r="BK110" s="3" t="s">
        <v>86</v>
      </c>
      <c r="BL110" s="3" t="s">
        <v>86</v>
      </c>
      <c r="BM110" s="3" t="s">
        <v>86</v>
      </c>
      <c r="BN110" s="3" t="s">
        <v>1205</v>
      </c>
      <c r="BO110" s="3" t="s">
        <v>1206</v>
      </c>
      <c r="BP110" s="3" t="s">
        <v>1186</v>
      </c>
    </row>
    <row r="111">
      <c r="A111" s="3" t="s">
        <v>1208</v>
      </c>
      <c r="B111" s="3" t="s">
        <v>1209</v>
      </c>
      <c r="C111" s="3" t="s">
        <v>70</v>
      </c>
      <c r="D111" s="3" t="s">
        <v>1210</v>
      </c>
      <c r="E111" s="3" t="s">
        <v>1191</v>
      </c>
      <c r="I111" s="3">
        <v>16.0</v>
      </c>
      <c r="J111" s="3" t="s">
        <v>71</v>
      </c>
      <c r="K111" s="3" t="s">
        <v>72</v>
      </c>
      <c r="L111" s="3" t="s">
        <v>108</v>
      </c>
      <c r="M111" s="3" t="s">
        <v>109</v>
      </c>
      <c r="P111" s="3" t="s">
        <v>75</v>
      </c>
      <c r="Q111" s="32" t="s">
        <v>1208</v>
      </c>
      <c r="R111" s="32" t="s">
        <v>1067</v>
      </c>
      <c r="S111" s="32"/>
      <c r="T111" s="32"/>
      <c r="X111" s="3" t="s">
        <v>77</v>
      </c>
      <c r="Y111" s="3" t="s">
        <v>78</v>
      </c>
      <c r="Z111" s="3" t="s">
        <v>1211</v>
      </c>
      <c r="AA111" s="3" t="s">
        <v>1212</v>
      </c>
      <c r="AB111" s="3" t="s">
        <v>1213</v>
      </c>
      <c r="AC111" s="3" t="s">
        <v>1214</v>
      </c>
      <c r="AE111" s="3" t="s">
        <v>83</v>
      </c>
      <c r="AF111" s="3" t="s">
        <v>2525</v>
      </c>
      <c r="AG111" s="3" t="s">
        <v>2525</v>
      </c>
      <c r="AH111" s="3" t="s">
        <v>84</v>
      </c>
      <c r="AI111" s="3" t="s">
        <v>84</v>
      </c>
      <c r="AJ111" s="3" t="s">
        <v>84</v>
      </c>
      <c r="AK111" s="3" t="s">
        <v>2525</v>
      </c>
      <c r="AL111" s="3" t="s">
        <v>2525</v>
      </c>
      <c r="AM111" s="3" t="s">
        <v>2525</v>
      </c>
      <c r="AN111" s="3" t="s">
        <v>2525</v>
      </c>
      <c r="AO111" s="3" t="s">
        <v>2525</v>
      </c>
      <c r="AP111" s="3" t="s">
        <v>2525</v>
      </c>
      <c r="AR111" s="3" t="s">
        <v>2525</v>
      </c>
      <c r="AS111" s="3" t="s">
        <v>2525</v>
      </c>
      <c r="AT111" s="3" t="s">
        <v>2525</v>
      </c>
      <c r="AU111" s="3" t="s">
        <v>2525</v>
      </c>
      <c r="AV111" s="3" t="s">
        <v>2525</v>
      </c>
      <c r="AW111" s="3" t="s">
        <v>2525</v>
      </c>
      <c r="AX111" s="3" t="s">
        <v>2525</v>
      </c>
      <c r="AY111" s="3" t="s">
        <v>2525</v>
      </c>
      <c r="AZ111" s="3" t="s">
        <v>2525</v>
      </c>
      <c r="BA111" s="3" t="s">
        <v>2525</v>
      </c>
      <c r="BB111" s="3" t="s">
        <v>2525</v>
      </c>
      <c r="BC111" s="3" t="s">
        <v>2525</v>
      </c>
      <c r="BD111" s="3" t="s">
        <v>2525</v>
      </c>
      <c r="BE111" s="3" t="s">
        <v>84</v>
      </c>
      <c r="BF111" s="3" t="s">
        <v>2525</v>
      </c>
      <c r="BG111" s="3" t="s">
        <v>2525</v>
      </c>
      <c r="BH111" s="3" t="s">
        <v>2525</v>
      </c>
      <c r="BI111" s="3" t="s">
        <v>2525</v>
      </c>
      <c r="BJ111" s="3" t="s">
        <v>2525</v>
      </c>
      <c r="BK111" s="3" t="s">
        <v>86</v>
      </c>
      <c r="BL111" s="3" t="s">
        <v>86</v>
      </c>
      <c r="BM111" s="3" t="s">
        <v>86</v>
      </c>
      <c r="BN111" s="3" t="s">
        <v>1071</v>
      </c>
      <c r="BO111" s="3" t="s">
        <v>1072</v>
      </c>
      <c r="BP111" s="3" t="s">
        <v>1052</v>
      </c>
    </row>
    <row r="112">
      <c r="A112" s="3" t="s">
        <v>1216</v>
      </c>
      <c r="B112" s="3" t="s">
        <v>1217</v>
      </c>
      <c r="C112" s="3" t="s">
        <v>92</v>
      </c>
      <c r="D112" s="3" t="s">
        <v>1218</v>
      </c>
      <c r="I112" s="3">
        <v>30.0</v>
      </c>
      <c r="J112" s="3" t="s">
        <v>630</v>
      </c>
      <c r="K112" s="3" t="s">
        <v>72</v>
      </c>
      <c r="L112" s="3" t="s">
        <v>108</v>
      </c>
      <c r="M112" s="3" t="s">
        <v>1219</v>
      </c>
      <c r="P112" s="3" t="s">
        <v>149</v>
      </c>
      <c r="Q112" s="32" t="s">
        <v>1216</v>
      </c>
      <c r="R112" s="32"/>
      <c r="S112" s="32"/>
      <c r="T112" s="32"/>
      <c r="X112" s="3" t="s">
        <v>77</v>
      </c>
      <c r="Y112" s="3" t="s">
        <v>78</v>
      </c>
      <c r="AA112" s="3" t="s">
        <v>1220</v>
      </c>
      <c r="AB112" s="3" t="s">
        <v>1221</v>
      </c>
      <c r="AC112" s="3" t="s">
        <v>1222</v>
      </c>
      <c r="AE112" s="3" t="s">
        <v>83</v>
      </c>
      <c r="AF112" s="3" t="s">
        <v>2525</v>
      </c>
      <c r="AG112" s="3" t="s">
        <v>2525</v>
      </c>
      <c r="AH112" s="3" t="s">
        <v>84</v>
      </c>
      <c r="AI112" s="3" t="s">
        <v>2525</v>
      </c>
      <c r="AJ112" s="3" t="s">
        <v>84</v>
      </c>
      <c r="AK112" s="3" t="s">
        <v>2525</v>
      </c>
      <c r="AL112" s="3" t="s">
        <v>2525</v>
      </c>
      <c r="AM112" s="3" t="s">
        <v>85</v>
      </c>
      <c r="AN112" s="3" t="s">
        <v>2525</v>
      </c>
      <c r="AO112" s="3" t="s">
        <v>2525</v>
      </c>
      <c r="AP112" s="3" t="s">
        <v>2525</v>
      </c>
      <c r="AR112" s="3" t="s">
        <v>2525</v>
      </c>
      <c r="AS112" s="3" t="s">
        <v>2525</v>
      </c>
      <c r="AT112" s="3" t="s">
        <v>85</v>
      </c>
      <c r="AU112" s="3" t="s">
        <v>2525</v>
      </c>
      <c r="AV112" s="3" t="s">
        <v>2525</v>
      </c>
      <c r="AW112" s="3" t="s">
        <v>2525</v>
      </c>
      <c r="AX112" s="3" t="s">
        <v>2525</v>
      </c>
      <c r="AY112" s="3" t="s">
        <v>2525</v>
      </c>
      <c r="AZ112" s="3" t="s">
        <v>2525</v>
      </c>
      <c r="BA112" s="3" t="s">
        <v>2525</v>
      </c>
      <c r="BB112" s="3" t="s">
        <v>2525</v>
      </c>
      <c r="BC112" s="3" t="s">
        <v>2525</v>
      </c>
      <c r="BD112" s="3" t="s">
        <v>2525</v>
      </c>
      <c r="BE112" s="3" t="s">
        <v>2525</v>
      </c>
      <c r="BF112" s="3" t="s">
        <v>2525</v>
      </c>
      <c r="BG112" s="3" t="s">
        <v>2525</v>
      </c>
      <c r="BH112" s="3" t="s">
        <v>2525</v>
      </c>
      <c r="BI112" s="3" t="s">
        <v>2525</v>
      </c>
      <c r="BJ112" s="3" t="s">
        <v>2525</v>
      </c>
      <c r="BK112" s="3" t="s">
        <v>86</v>
      </c>
      <c r="BL112" s="3" t="s">
        <v>2525</v>
      </c>
      <c r="BM112" s="3" t="s">
        <v>86</v>
      </c>
      <c r="BO112" s="3" t="s">
        <v>1223</v>
      </c>
      <c r="BP112" s="3" t="s">
        <v>1224</v>
      </c>
    </row>
    <row r="113">
      <c r="A113" s="3" t="s">
        <v>1226</v>
      </c>
      <c r="B113" s="3" t="s">
        <v>1227</v>
      </c>
      <c r="C113" s="3" t="s">
        <v>70</v>
      </c>
      <c r="D113" s="3" t="s">
        <v>1228</v>
      </c>
      <c r="E113" s="3" t="s">
        <v>1229</v>
      </c>
      <c r="I113" s="3">
        <v>15.0</v>
      </c>
      <c r="J113" s="3" t="s">
        <v>630</v>
      </c>
      <c r="K113" s="3" t="s">
        <v>72</v>
      </c>
      <c r="L113" s="3" t="s">
        <v>73</v>
      </c>
      <c r="M113" s="3" t="s">
        <v>37</v>
      </c>
      <c r="P113" s="3" t="s">
        <v>149</v>
      </c>
      <c r="Q113" s="32" t="s">
        <v>1226</v>
      </c>
      <c r="R113" s="32"/>
      <c r="S113" s="32"/>
      <c r="T113" s="32"/>
      <c r="X113" s="3" t="s">
        <v>77</v>
      </c>
      <c r="Y113" s="3" t="s">
        <v>138</v>
      </c>
      <c r="Z113" s="3" t="s">
        <v>1230</v>
      </c>
      <c r="AA113" s="3" t="s">
        <v>1231</v>
      </c>
      <c r="AB113" s="3" t="s">
        <v>1232</v>
      </c>
      <c r="AC113" s="3" t="s">
        <v>1233</v>
      </c>
      <c r="AE113" s="3" t="s">
        <v>83</v>
      </c>
      <c r="AF113" s="3" t="s">
        <v>84</v>
      </c>
      <c r="AG113" s="3" t="s">
        <v>84</v>
      </c>
      <c r="AH113" s="3" t="s">
        <v>2525</v>
      </c>
      <c r="AI113" s="3" t="s">
        <v>2525</v>
      </c>
      <c r="AJ113" s="3" t="s">
        <v>2525</v>
      </c>
      <c r="AK113" s="3" t="s">
        <v>2525</v>
      </c>
      <c r="AL113" s="3" t="s">
        <v>84</v>
      </c>
      <c r="AM113" s="3" t="s">
        <v>2525</v>
      </c>
      <c r="AN113" s="3" t="s">
        <v>84</v>
      </c>
      <c r="AO113" s="3" t="s">
        <v>2525</v>
      </c>
      <c r="AP113" s="3" t="s">
        <v>2525</v>
      </c>
      <c r="AR113" s="3" t="s">
        <v>2525</v>
      </c>
      <c r="AS113" s="3" t="s">
        <v>85</v>
      </c>
      <c r="AT113" s="3" t="s">
        <v>2525</v>
      </c>
      <c r="AU113" s="3" t="s">
        <v>85</v>
      </c>
      <c r="AV113" s="3" t="s">
        <v>2525</v>
      </c>
      <c r="AW113" s="3" t="s">
        <v>2525</v>
      </c>
      <c r="AX113" s="3" t="s">
        <v>2525</v>
      </c>
      <c r="AY113" s="3" t="s">
        <v>85</v>
      </c>
      <c r="AZ113" s="3" t="s">
        <v>2525</v>
      </c>
      <c r="BA113" s="3" t="s">
        <v>84</v>
      </c>
      <c r="BB113" s="3" t="s">
        <v>2525</v>
      </c>
      <c r="BC113" s="3" t="s">
        <v>2525</v>
      </c>
      <c r="BD113" s="3" t="s">
        <v>2525</v>
      </c>
      <c r="BE113" s="3" t="s">
        <v>2525</v>
      </c>
      <c r="BF113" s="3" t="s">
        <v>2525</v>
      </c>
      <c r="BG113" s="3" t="s">
        <v>2525</v>
      </c>
      <c r="BH113" s="3" t="s">
        <v>2525</v>
      </c>
      <c r="BI113" s="3" t="s">
        <v>2525</v>
      </c>
      <c r="BJ113" s="3" t="s">
        <v>85</v>
      </c>
      <c r="BK113" s="3" t="s">
        <v>86</v>
      </c>
      <c r="BL113" s="3" t="s">
        <v>86</v>
      </c>
      <c r="BM113" s="3" t="s">
        <v>86</v>
      </c>
      <c r="BN113" s="3" t="s">
        <v>1234</v>
      </c>
      <c r="BO113" s="3" t="s">
        <v>1235</v>
      </c>
      <c r="BP113" s="3" t="s">
        <v>1236</v>
      </c>
    </row>
    <row r="114">
      <c r="A114" s="3" t="s">
        <v>1238</v>
      </c>
      <c r="B114" s="3" t="s">
        <v>1239</v>
      </c>
      <c r="C114" s="3" t="s">
        <v>70</v>
      </c>
      <c r="D114" s="3" t="s">
        <v>1240</v>
      </c>
      <c r="E114" s="3" t="s">
        <v>1241</v>
      </c>
      <c r="I114" s="3">
        <v>13.0</v>
      </c>
      <c r="J114" s="3" t="s">
        <v>630</v>
      </c>
      <c r="K114" s="3" t="s">
        <v>72</v>
      </c>
      <c r="L114" s="3" t="s">
        <v>2525</v>
      </c>
      <c r="M114" s="3" t="s">
        <v>880</v>
      </c>
      <c r="P114" s="3" t="s">
        <v>149</v>
      </c>
      <c r="Q114" s="32" t="s">
        <v>1238</v>
      </c>
      <c r="R114" s="32"/>
      <c r="S114" s="32"/>
      <c r="T114" s="32"/>
      <c r="X114" s="3" t="s">
        <v>77</v>
      </c>
      <c r="Y114" s="3" t="s">
        <v>138</v>
      </c>
      <c r="Z114" s="3" t="s">
        <v>1242</v>
      </c>
      <c r="AA114" s="3" t="s">
        <v>883</v>
      </c>
      <c r="AB114" s="3" t="s">
        <v>1243</v>
      </c>
      <c r="AC114" s="3" t="s">
        <v>1244</v>
      </c>
      <c r="AE114" s="3" t="s">
        <v>83</v>
      </c>
      <c r="BK114" s="3" t="s">
        <v>86</v>
      </c>
      <c r="BL114" s="3" t="s">
        <v>86</v>
      </c>
      <c r="BM114" s="3" t="s">
        <v>86</v>
      </c>
      <c r="BN114" s="3" t="s">
        <v>886</v>
      </c>
      <c r="BO114" s="3" t="s">
        <v>887</v>
      </c>
      <c r="BP114" s="3" t="s">
        <v>1245</v>
      </c>
    </row>
    <row r="115">
      <c r="A115" s="3" t="s">
        <v>1247</v>
      </c>
      <c r="B115" s="3" t="s">
        <v>1248</v>
      </c>
      <c r="C115" s="3" t="s">
        <v>92</v>
      </c>
      <c r="D115" s="3" t="s">
        <v>1249</v>
      </c>
      <c r="I115" s="3">
        <v>20.0</v>
      </c>
      <c r="J115" s="3" t="s">
        <v>71</v>
      </c>
      <c r="K115" s="3" t="s">
        <v>72</v>
      </c>
      <c r="L115" s="3" t="s">
        <v>2525</v>
      </c>
      <c r="M115" s="3" t="s">
        <v>1250</v>
      </c>
      <c r="P115" s="3" t="s">
        <v>110</v>
      </c>
      <c r="Q115" s="32" t="s">
        <v>1247</v>
      </c>
      <c r="R115" s="32" t="s">
        <v>1251</v>
      </c>
      <c r="S115" s="32"/>
      <c r="T115" s="32"/>
      <c r="W115" s="3" t="s">
        <v>1252</v>
      </c>
      <c r="X115" s="3" t="s">
        <v>77</v>
      </c>
      <c r="Y115" s="3" t="s">
        <v>78</v>
      </c>
      <c r="AA115" s="3" t="s">
        <v>1253</v>
      </c>
      <c r="AB115" s="3" t="s">
        <v>1254</v>
      </c>
      <c r="AC115" s="3" t="s">
        <v>1255</v>
      </c>
      <c r="AE115" s="3" t="s">
        <v>83</v>
      </c>
      <c r="AF115" s="3" t="s">
        <v>2525</v>
      </c>
      <c r="AG115" s="3" t="s">
        <v>2525</v>
      </c>
      <c r="AH115" s="3" t="s">
        <v>2525</v>
      </c>
      <c r="AI115" s="3" t="s">
        <v>2525</v>
      </c>
      <c r="AJ115" s="3" t="s">
        <v>2525</v>
      </c>
      <c r="AK115" s="3" t="s">
        <v>2525</v>
      </c>
      <c r="AL115" s="3" t="s">
        <v>2525</v>
      </c>
      <c r="AM115" s="3" t="s">
        <v>2525</v>
      </c>
      <c r="AN115" s="3" t="s">
        <v>2525</v>
      </c>
      <c r="AO115" s="3" t="s">
        <v>2525</v>
      </c>
      <c r="AP115" s="3" t="s">
        <v>2525</v>
      </c>
      <c r="AR115" s="3" t="s">
        <v>85</v>
      </c>
      <c r="AS115" s="3" t="s">
        <v>2525</v>
      </c>
      <c r="AT115" s="3" t="s">
        <v>2525</v>
      </c>
      <c r="AU115" s="3" t="s">
        <v>2525</v>
      </c>
      <c r="AV115" s="3" t="s">
        <v>2525</v>
      </c>
      <c r="AW115" s="3" t="s">
        <v>2525</v>
      </c>
      <c r="AX115" s="3" t="s">
        <v>2525</v>
      </c>
      <c r="AY115" s="3" t="s">
        <v>2525</v>
      </c>
      <c r="AZ115" s="3" t="s">
        <v>2525</v>
      </c>
      <c r="BA115" s="3" t="s">
        <v>2525</v>
      </c>
      <c r="BB115" s="3" t="s">
        <v>2525</v>
      </c>
      <c r="BC115" s="3" t="s">
        <v>2525</v>
      </c>
      <c r="BD115" s="3" t="s">
        <v>2525</v>
      </c>
      <c r="BE115" s="3" t="s">
        <v>2525</v>
      </c>
      <c r="BF115" s="3" t="s">
        <v>84</v>
      </c>
      <c r="BG115" s="3" t="s">
        <v>2525</v>
      </c>
      <c r="BH115" s="3" t="s">
        <v>2525</v>
      </c>
      <c r="BI115" s="3" t="s">
        <v>2525</v>
      </c>
      <c r="BJ115" s="3" t="s">
        <v>2525</v>
      </c>
      <c r="BK115" s="3" t="s">
        <v>86</v>
      </c>
      <c r="BL115" s="3" t="s">
        <v>2525</v>
      </c>
      <c r="BM115" s="3" t="s">
        <v>86</v>
      </c>
      <c r="BN115" s="3" t="s">
        <v>1256</v>
      </c>
      <c r="BO115" s="3" t="s">
        <v>1257</v>
      </c>
      <c r="BP115" s="3" t="s">
        <v>1258</v>
      </c>
    </row>
    <row r="116">
      <c r="A116" s="3" t="s">
        <v>1260</v>
      </c>
      <c r="B116" s="3" t="s">
        <v>1261</v>
      </c>
      <c r="C116" s="3" t="s">
        <v>92</v>
      </c>
      <c r="D116" s="3" t="s">
        <v>1262</v>
      </c>
      <c r="I116" s="3">
        <v>22.0</v>
      </c>
      <c r="J116" s="3" t="s">
        <v>71</v>
      </c>
      <c r="K116" s="3" t="s">
        <v>72</v>
      </c>
      <c r="L116" s="3" t="s">
        <v>108</v>
      </c>
      <c r="M116" s="3" t="s">
        <v>869</v>
      </c>
      <c r="P116" s="3" t="s">
        <v>75</v>
      </c>
      <c r="Q116" s="32" t="s">
        <v>1260</v>
      </c>
      <c r="R116" s="32" t="s">
        <v>1263</v>
      </c>
      <c r="S116" s="32"/>
      <c r="T116" s="32"/>
      <c r="X116" s="3" t="s">
        <v>77</v>
      </c>
      <c r="Y116" s="3" t="s">
        <v>138</v>
      </c>
      <c r="Z116" s="3" t="s">
        <v>1264</v>
      </c>
      <c r="AA116" s="3" t="s">
        <v>1265</v>
      </c>
      <c r="AB116" s="3" t="s">
        <v>1266</v>
      </c>
      <c r="AC116" s="3" t="s">
        <v>1267</v>
      </c>
      <c r="AE116" s="3" t="s">
        <v>83</v>
      </c>
      <c r="AF116" s="3" t="s">
        <v>2525</v>
      </c>
      <c r="AG116" s="3" t="s">
        <v>2525</v>
      </c>
      <c r="AH116" s="3" t="s">
        <v>84</v>
      </c>
      <c r="AI116" s="3" t="s">
        <v>84</v>
      </c>
      <c r="AJ116" s="3" t="s">
        <v>2525</v>
      </c>
      <c r="AK116" s="3" t="s">
        <v>2525</v>
      </c>
      <c r="AL116" s="3" t="s">
        <v>2525</v>
      </c>
      <c r="AM116" s="3" t="s">
        <v>85</v>
      </c>
      <c r="AN116" s="3" t="s">
        <v>2525</v>
      </c>
      <c r="AO116" s="3" t="s">
        <v>2525</v>
      </c>
      <c r="AP116" s="3" t="s">
        <v>2525</v>
      </c>
      <c r="AR116" s="3" t="s">
        <v>2525</v>
      </c>
      <c r="AS116" s="3" t="s">
        <v>2525</v>
      </c>
      <c r="AT116" s="3" t="s">
        <v>84</v>
      </c>
      <c r="AU116" s="3" t="s">
        <v>2525</v>
      </c>
      <c r="AV116" s="3" t="s">
        <v>2525</v>
      </c>
      <c r="AW116" s="3" t="s">
        <v>2525</v>
      </c>
      <c r="AX116" s="3" t="s">
        <v>2525</v>
      </c>
      <c r="AY116" s="3" t="s">
        <v>2525</v>
      </c>
      <c r="AZ116" s="3" t="s">
        <v>2525</v>
      </c>
      <c r="BA116" s="3" t="s">
        <v>2525</v>
      </c>
      <c r="BB116" s="3" t="s">
        <v>2525</v>
      </c>
      <c r="BC116" s="3" t="s">
        <v>2525</v>
      </c>
      <c r="BD116" s="3" t="s">
        <v>2525</v>
      </c>
      <c r="BE116" s="3" t="s">
        <v>84</v>
      </c>
      <c r="BF116" s="3" t="s">
        <v>2525</v>
      </c>
      <c r="BG116" s="3" t="s">
        <v>2525</v>
      </c>
      <c r="BH116" s="3" t="s">
        <v>2525</v>
      </c>
      <c r="BI116" s="3" t="s">
        <v>2525</v>
      </c>
      <c r="BJ116" s="3" t="s">
        <v>2525</v>
      </c>
      <c r="BK116" s="3" t="s">
        <v>86</v>
      </c>
      <c r="BL116" s="3" t="s">
        <v>2525</v>
      </c>
      <c r="BM116" s="3" t="s">
        <v>86</v>
      </c>
      <c r="BN116" s="3" t="s">
        <v>1268</v>
      </c>
      <c r="BP116" s="3" t="s">
        <v>1269</v>
      </c>
    </row>
    <row r="117">
      <c r="A117" s="3" t="s">
        <v>1271</v>
      </c>
      <c r="B117" s="3" t="s">
        <v>1272</v>
      </c>
      <c r="C117" s="3" t="s">
        <v>70</v>
      </c>
      <c r="D117" s="3" t="s">
        <v>1262</v>
      </c>
      <c r="I117" s="3">
        <v>15.0</v>
      </c>
      <c r="J117" s="3" t="s">
        <v>71</v>
      </c>
      <c r="K117" s="3" t="s">
        <v>72</v>
      </c>
      <c r="L117" s="3" t="s">
        <v>73</v>
      </c>
      <c r="M117" s="3" t="s">
        <v>36</v>
      </c>
      <c r="P117" s="3" t="s">
        <v>75</v>
      </c>
      <c r="Q117" s="32" t="s">
        <v>1271</v>
      </c>
      <c r="R117" s="32" t="s">
        <v>137</v>
      </c>
      <c r="S117" s="32"/>
      <c r="T117" s="32"/>
      <c r="X117" s="3" t="s">
        <v>77</v>
      </c>
      <c r="Y117" s="3" t="s">
        <v>78</v>
      </c>
      <c r="Z117" s="3" t="s">
        <v>1264</v>
      </c>
      <c r="AA117" s="3" t="s">
        <v>1273</v>
      </c>
      <c r="AB117" s="3" t="s">
        <v>1274</v>
      </c>
      <c r="AC117" s="3" t="s">
        <v>1275</v>
      </c>
      <c r="AE117" s="3" t="s">
        <v>83</v>
      </c>
      <c r="AF117" s="3" t="s">
        <v>85</v>
      </c>
      <c r="AG117" s="3" t="s">
        <v>85</v>
      </c>
      <c r="AH117" s="3" t="s">
        <v>2525</v>
      </c>
      <c r="AI117" s="3" t="s">
        <v>2525</v>
      </c>
      <c r="AJ117" s="3" t="s">
        <v>2525</v>
      </c>
      <c r="AK117" s="3" t="s">
        <v>84</v>
      </c>
      <c r="AL117" s="3" t="s">
        <v>2525</v>
      </c>
      <c r="AM117" s="3" t="s">
        <v>2525</v>
      </c>
      <c r="AN117" s="3" t="s">
        <v>2525</v>
      </c>
      <c r="AO117" s="3" t="s">
        <v>2525</v>
      </c>
      <c r="AP117" s="3" t="s">
        <v>2525</v>
      </c>
      <c r="AR117" s="3" t="s">
        <v>2525</v>
      </c>
      <c r="AS117" s="3" t="s">
        <v>2525</v>
      </c>
      <c r="AT117" s="3" t="s">
        <v>2525</v>
      </c>
      <c r="AU117" s="3" t="s">
        <v>2525</v>
      </c>
      <c r="AV117" s="3" t="s">
        <v>2525</v>
      </c>
      <c r="AW117" s="3" t="s">
        <v>2525</v>
      </c>
      <c r="AX117" s="3" t="s">
        <v>2525</v>
      </c>
      <c r="AY117" s="3" t="s">
        <v>2525</v>
      </c>
      <c r="AZ117" s="3" t="s">
        <v>2525</v>
      </c>
      <c r="BA117" s="3" t="s">
        <v>85</v>
      </c>
      <c r="BB117" s="3" t="s">
        <v>2525</v>
      </c>
      <c r="BC117" s="3" t="s">
        <v>2525</v>
      </c>
      <c r="BD117" s="3" t="s">
        <v>85</v>
      </c>
      <c r="BE117" s="3" t="s">
        <v>2525</v>
      </c>
      <c r="BF117" s="3" t="s">
        <v>2525</v>
      </c>
      <c r="BG117" s="3" t="s">
        <v>2525</v>
      </c>
      <c r="BH117" s="3" t="s">
        <v>2525</v>
      </c>
      <c r="BI117" s="3" t="s">
        <v>2525</v>
      </c>
      <c r="BJ117" s="3" t="s">
        <v>84</v>
      </c>
      <c r="BK117" s="3" t="s">
        <v>86</v>
      </c>
      <c r="BL117" s="3" t="s">
        <v>86</v>
      </c>
      <c r="BN117" s="3" t="s">
        <v>1276</v>
      </c>
      <c r="BO117" s="3" t="s">
        <v>1277</v>
      </c>
      <c r="BP117" s="3" t="s">
        <v>1269</v>
      </c>
    </row>
    <row r="118">
      <c r="A118" s="3" t="s">
        <v>1279</v>
      </c>
      <c r="B118" s="3" t="s">
        <v>1280</v>
      </c>
      <c r="C118" s="3" t="s">
        <v>70</v>
      </c>
      <c r="I118" s="3">
        <v>25.0</v>
      </c>
      <c r="J118" s="3" t="s">
        <v>71</v>
      </c>
      <c r="K118" s="3" t="s">
        <v>72</v>
      </c>
      <c r="L118" s="3" t="s">
        <v>73</v>
      </c>
      <c r="M118" s="3" t="s">
        <v>1281</v>
      </c>
      <c r="P118" s="3" t="s">
        <v>75</v>
      </c>
      <c r="Q118" s="32" t="s">
        <v>1279</v>
      </c>
      <c r="R118" s="32" t="s">
        <v>137</v>
      </c>
      <c r="S118" s="32"/>
      <c r="T118" s="32"/>
      <c r="X118" s="3" t="s">
        <v>77</v>
      </c>
      <c r="Y118" s="3" t="s">
        <v>138</v>
      </c>
      <c r="Z118" s="3" t="s">
        <v>1180</v>
      </c>
      <c r="AA118" s="3" t="s">
        <v>1282</v>
      </c>
      <c r="AB118" s="3" t="s">
        <v>1283</v>
      </c>
      <c r="AC118" s="3" t="s">
        <v>1284</v>
      </c>
      <c r="AE118" s="3" t="s">
        <v>83</v>
      </c>
      <c r="AF118" s="3" t="s">
        <v>2525</v>
      </c>
      <c r="AG118" s="3" t="s">
        <v>2525</v>
      </c>
      <c r="AH118" s="3" t="s">
        <v>2525</v>
      </c>
      <c r="AI118" s="3" t="s">
        <v>2525</v>
      </c>
      <c r="AJ118" s="3" t="s">
        <v>2525</v>
      </c>
      <c r="AK118" s="3" t="s">
        <v>2525</v>
      </c>
      <c r="AL118" s="3" t="s">
        <v>2525</v>
      </c>
      <c r="AM118" s="3" t="s">
        <v>85</v>
      </c>
      <c r="AN118" s="3" t="s">
        <v>85</v>
      </c>
      <c r="AO118" s="3" t="s">
        <v>2525</v>
      </c>
      <c r="AP118" s="3" t="s">
        <v>2525</v>
      </c>
      <c r="AR118" s="3" t="s">
        <v>2525</v>
      </c>
      <c r="AS118" s="3" t="s">
        <v>85</v>
      </c>
      <c r="AT118" s="3" t="s">
        <v>2525</v>
      </c>
      <c r="AU118" s="3" t="s">
        <v>85</v>
      </c>
      <c r="AV118" s="3" t="s">
        <v>2525</v>
      </c>
      <c r="AW118" s="3" t="s">
        <v>2525</v>
      </c>
      <c r="AX118" s="3" t="s">
        <v>2525</v>
      </c>
      <c r="AY118" s="3" t="s">
        <v>2525</v>
      </c>
      <c r="AZ118" s="3" t="s">
        <v>2525</v>
      </c>
      <c r="BA118" s="3" t="s">
        <v>2525</v>
      </c>
      <c r="BB118" s="3" t="s">
        <v>2525</v>
      </c>
      <c r="BC118" s="3" t="s">
        <v>2525</v>
      </c>
      <c r="BD118" s="3" t="s">
        <v>2525</v>
      </c>
      <c r="BE118" s="3" t="s">
        <v>2525</v>
      </c>
      <c r="BF118" s="3" t="s">
        <v>2525</v>
      </c>
      <c r="BG118" s="3" t="s">
        <v>2525</v>
      </c>
      <c r="BH118" s="3" t="s">
        <v>2525</v>
      </c>
      <c r="BI118" s="3" t="s">
        <v>2525</v>
      </c>
      <c r="BJ118" s="3" t="s">
        <v>2525</v>
      </c>
      <c r="BK118" s="3" t="s">
        <v>86</v>
      </c>
      <c r="BL118" s="3" t="s">
        <v>86</v>
      </c>
      <c r="BM118" s="3" t="s">
        <v>86</v>
      </c>
      <c r="BN118" s="3" t="s">
        <v>1285</v>
      </c>
      <c r="BO118" s="3" t="s">
        <v>137</v>
      </c>
      <c r="BP118" s="3" t="s">
        <v>1286</v>
      </c>
    </row>
    <row r="119">
      <c r="A119" s="3" t="s">
        <v>1288</v>
      </c>
      <c r="B119" s="3" t="s">
        <v>1289</v>
      </c>
      <c r="C119" s="3" t="s">
        <v>70</v>
      </c>
      <c r="I119" s="3">
        <v>25.0</v>
      </c>
      <c r="J119" s="3" t="s">
        <v>71</v>
      </c>
      <c r="K119" s="3" t="s">
        <v>72</v>
      </c>
      <c r="L119" s="3" t="s">
        <v>73</v>
      </c>
      <c r="M119" s="3" t="s">
        <v>39</v>
      </c>
      <c r="P119" s="3" t="s">
        <v>149</v>
      </c>
      <c r="Q119" s="32" t="s">
        <v>1288</v>
      </c>
      <c r="R119" s="32" t="s">
        <v>1290</v>
      </c>
      <c r="S119" s="32"/>
      <c r="T119" s="32"/>
      <c r="X119" s="3" t="s">
        <v>77</v>
      </c>
      <c r="Y119" s="3" t="s">
        <v>78</v>
      </c>
      <c r="Z119" s="3" t="s">
        <v>1291</v>
      </c>
      <c r="AA119" s="3" t="s">
        <v>1292</v>
      </c>
      <c r="AB119" s="3" t="s">
        <v>1293</v>
      </c>
      <c r="AC119" s="3" t="s">
        <v>1294</v>
      </c>
      <c r="AE119" s="3" t="s">
        <v>83</v>
      </c>
      <c r="AF119" s="3" t="s">
        <v>85</v>
      </c>
      <c r="AG119" s="3" t="s">
        <v>85</v>
      </c>
      <c r="AH119" s="3" t="s">
        <v>2525</v>
      </c>
      <c r="AI119" s="3" t="s">
        <v>2525</v>
      </c>
      <c r="AJ119" s="3" t="s">
        <v>2525</v>
      </c>
      <c r="AK119" s="3" t="s">
        <v>85</v>
      </c>
      <c r="AL119" s="3" t="s">
        <v>2525</v>
      </c>
      <c r="AM119" s="3" t="s">
        <v>85</v>
      </c>
      <c r="AN119" s="3" t="s">
        <v>2525</v>
      </c>
      <c r="AO119" s="3" t="s">
        <v>2525</v>
      </c>
      <c r="AP119" s="3" t="s">
        <v>2525</v>
      </c>
      <c r="AR119" s="3" t="s">
        <v>2525</v>
      </c>
      <c r="AS119" s="3" t="s">
        <v>2525</v>
      </c>
      <c r="AT119" s="3" t="s">
        <v>2525</v>
      </c>
      <c r="AU119" s="3" t="s">
        <v>85</v>
      </c>
      <c r="AV119" s="3" t="s">
        <v>2525</v>
      </c>
      <c r="AW119" s="3" t="s">
        <v>2525</v>
      </c>
      <c r="AX119" s="3" t="s">
        <v>2525</v>
      </c>
      <c r="AY119" s="3" t="s">
        <v>2525</v>
      </c>
      <c r="AZ119" s="3" t="s">
        <v>2525</v>
      </c>
      <c r="BA119" s="3" t="s">
        <v>85</v>
      </c>
      <c r="BB119" s="3" t="s">
        <v>2525</v>
      </c>
      <c r="BC119" s="3" t="s">
        <v>2525</v>
      </c>
      <c r="BD119" s="3" t="s">
        <v>85</v>
      </c>
      <c r="BE119" s="3" t="s">
        <v>2525</v>
      </c>
      <c r="BF119" s="3" t="s">
        <v>2525</v>
      </c>
      <c r="BG119" s="3" t="s">
        <v>2525</v>
      </c>
      <c r="BH119" s="3" t="s">
        <v>2525</v>
      </c>
      <c r="BI119" s="3" t="s">
        <v>2525</v>
      </c>
      <c r="BJ119" s="3" t="s">
        <v>2525</v>
      </c>
      <c r="BK119" s="3" t="s">
        <v>86</v>
      </c>
      <c r="BL119" s="3" t="s">
        <v>86</v>
      </c>
      <c r="BN119" s="3" t="s">
        <v>1295</v>
      </c>
      <c r="BO119" s="3" t="s">
        <v>1296</v>
      </c>
      <c r="BP119" s="3" t="s">
        <v>1286</v>
      </c>
    </row>
    <row r="120">
      <c r="A120" s="3" t="s">
        <v>1298</v>
      </c>
      <c r="B120" s="3" t="s">
        <v>1299</v>
      </c>
      <c r="C120" s="3" t="s">
        <v>70</v>
      </c>
      <c r="I120" s="3">
        <v>25.0</v>
      </c>
      <c r="J120" s="3" t="s">
        <v>71</v>
      </c>
      <c r="K120" s="3" t="s">
        <v>72</v>
      </c>
      <c r="L120" s="3" t="s">
        <v>73</v>
      </c>
      <c r="M120" s="3" t="s">
        <v>39</v>
      </c>
      <c r="P120" s="3" t="s">
        <v>149</v>
      </c>
      <c r="Q120" s="32" t="s">
        <v>1298</v>
      </c>
      <c r="R120" s="32" t="s">
        <v>1290</v>
      </c>
      <c r="S120" s="32"/>
      <c r="T120" s="32"/>
      <c r="X120" s="3" t="s">
        <v>77</v>
      </c>
      <c r="Y120" s="3" t="s">
        <v>78</v>
      </c>
      <c r="Z120" s="3" t="s">
        <v>1291</v>
      </c>
      <c r="AA120" s="3" t="s">
        <v>1300</v>
      </c>
      <c r="AB120" s="3" t="s">
        <v>1301</v>
      </c>
      <c r="AC120" s="3" t="s">
        <v>1302</v>
      </c>
      <c r="AE120" s="3" t="s">
        <v>83</v>
      </c>
      <c r="AF120" s="3" t="s">
        <v>84</v>
      </c>
      <c r="AG120" s="3" t="s">
        <v>84</v>
      </c>
      <c r="AH120" s="3" t="s">
        <v>2525</v>
      </c>
      <c r="AI120" s="3" t="s">
        <v>2525</v>
      </c>
      <c r="AJ120" s="3" t="s">
        <v>2525</v>
      </c>
      <c r="AK120" s="3" t="s">
        <v>85</v>
      </c>
      <c r="AL120" s="3" t="s">
        <v>2525</v>
      </c>
      <c r="AM120" s="3" t="s">
        <v>85</v>
      </c>
      <c r="AN120" s="3" t="s">
        <v>2525</v>
      </c>
      <c r="AO120" s="3" t="s">
        <v>2525</v>
      </c>
      <c r="AP120" s="3" t="s">
        <v>2525</v>
      </c>
      <c r="AR120" s="3" t="s">
        <v>2525</v>
      </c>
      <c r="AS120" s="3" t="s">
        <v>2525</v>
      </c>
      <c r="AT120" s="3" t="s">
        <v>2525</v>
      </c>
      <c r="AU120" s="3" t="s">
        <v>2525</v>
      </c>
      <c r="AV120" s="3" t="s">
        <v>2525</v>
      </c>
      <c r="AW120" s="3" t="s">
        <v>2525</v>
      </c>
      <c r="AX120" s="3" t="s">
        <v>2525</v>
      </c>
      <c r="AY120" s="3" t="s">
        <v>2525</v>
      </c>
      <c r="AZ120" s="3" t="s">
        <v>2525</v>
      </c>
      <c r="BA120" s="3" t="s">
        <v>84</v>
      </c>
      <c r="BB120" s="3" t="s">
        <v>2525</v>
      </c>
      <c r="BC120" s="3" t="s">
        <v>2525</v>
      </c>
      <c r="BD120" s="3" t="s">
        <v>85</v>
      </c>
      <c r="BE120" s="3" t="s">
        <v>2525</v>
      </c>
      <c r="BF120" s="3" t="s">
        <v>2525</v>
      </c>
      <c r="BG120" s="3" t="s">
        <v>2525</v>
      </c>
      <c r="BH120" s="3" t="s">
        <v>2525</v>
      </c>
      <c r="BI120" s="3" t="s">
        <v>2525</v>
      </c>
      <c r="BJ120" s="3" t="s">
        <v>85</v>
      </c>
      <c r="BK120" s="3" t="s">
        <v>86</v>
      </c>
      <c r="BL120" s="3" t="s">
        <v>86</v>
      </c>
      <c r="BN120" s="3" t="s">
        <v>1295</v>
      </c>
      <c r="BO120" s="3" t="s">
        <v>1303</v>
      </c>
    </row>
    <row r="121">
      <c r="A121" s="3" t="s">
        <v>1305</v>
      </c>
      <c r="B121" s="3" t="s">
        <v>1306</v>
      </c>
      <c r="C121" s="3" t="s">
        <v>70</v>
      </c>
      <c r="I121" s="3">
        <v>15.0</v>
      </c>
      <c r="J121" s="3" t="s">
        <v>71</v>
      </c>
      <c r="K121" s="3" t="s">
        <v>72</v>
      </c>
      <c r="L121" s="3" t="s">
        <v>73</v>
      </c>
      <c r="M121" s="3" t="s">
        <v>1281</v>
      </c>
      <c r="P121" s="3" t="s">
        <v>75</v>
      </c>
      <c r="Q121" s="32" t="s">
        <v>1305</v>
      </c>
      <c r="R121" s="32" t="s">
        <v>137</v>
      </c>
      <c r="S121" s="32"/>
      <c r="T121" s="32"/>
      <c r="X121" s="3" t="s">
        <v>77</v>
      </c>
      <c r="Y121" s="3" t="s">
        <v>138</v>
      </c>
      <c r="Z121" s="3" t="s">
        <v>1307</v>
      </c>
      <c r="AA121" s="3" t="s">
        <v>1308</v>
      </c>
      <c r="AB121" s="3" t="s">
        <v>1309</v>
      </c>
      <c r="AC121" s="3" t="s">
        <v>1310</v>
      </c>
      <c r="AE121" s="3" t="s">
        <v>83</v>
      </c>
      <c r="AF121" s="3" t="s">
        <v>2525</v>
      </c>
      <c r="AG121" s="3" t="s">
        <v>2525</v>
      </c>
      <c r="AH121" s="3" t="s">
        <v>2525</v>
      </c>
      <c r="AI121" s="3" t="s">
        <v>2525</v>
      </c>
      <c r="AJ121" s="3" t="s">
        <v>2525</v>
      </c>
      <c r="AK121" s="3" t="s">
        <v>2525</v>
      </c>
      <c r="AL121" s="3" t="s">
        <v>2525</v>
      </c>
      <c r="AM121" s="3" t="s">
        <v>85</v>
      </c>
      <c r="AN121" s="3" t="s">
        <v>2525</v>
      </c>
      <c r="AO121" s="3" t="s">
        <v>2525</v>
      </c>
      <c r="AP121" s="3" t="s">
        <v>2525</v>
      </c>
      <c r="AR121" s="3" t="s">
        <v>2525</v>
      </c>
      <c r="AS121" s="3" t="s">
        <v>85</v>
      </c>
      <c r="AT121" s="3" t="s">
        <v>2525</v>
      </c>
      <c r="AU121" s="3" t="s">
        <v>85</v>
      </c>
      <c r="AV121" s="3" t="s">
        <v>2525</v>
      </c>
      <c r="AW121" s="3" t="s">
        <v>2525</v>
      </c>
      <c r="AX121" s="3" t="s">
        <v>2525</v>
      </c>
      <c r="AY121" s="3" t="s">
        <v>2525</v>
      </c>
      <c r="AZ121" s="3" t="s">
        <v>2525</v>
      </c>
      <c r="BA121" s="3" t="s">
        <v>2525</v>
      </c>
      <c r="BB121" s="3" t="s">
        <v>2525</v>
      </c>
      <c r="BC121" s="3" t="s">
        <v>2525</v>
      </c>
      <c r="BD121" s="3" t="s">
        <v>2525</v>
      </c>
      <c r="BE121" s="3" t="s">
        <v>2525</v>
      </c>
      <c r="BF121" s="3" t="s">
        <v>2525</v>
      </c>
      <c r="BG121" s="3" t="s">
        <v>2525</v>
      </c>
      <c r="BH121" s="3" t="s">
        <v>2525</v>
      </c>
      <c r="BI121" s="3" t="s">
        <v>2525</v>
      </c>
      <c r="BJ121" s="3" t="s">
        <v>2525</v>
      </c>
      <c r="BK121" s="3" t="s">
        <v>86</v>
      </c>
      <c r="BL121" s="3" t="s">
        <v>86</v>
      </c>
      <c r="BN121" s="3" t="s">
        <v>137</v>
      </c>
      <c r="BO121" s="3" t="s">
        <v>137</v>
      </c>
    </row>
    <row r="122">
      <c r="A122" s="3" t="s">
        <v>2532</v>
      </c>
      <c r="B122" s="3" t="s">
        <v>1313</v>
      </c>
      <c r="C122" s="3" t="s">
        <v>92</v>
      </c>
      <c r="D122" s="3" t="s">
        <v>1314</v>
      </c>
      <c r="I122" s="3">
        <v>37.0</v>
      </c>
      <c r="J122" s="3" t="s">
        <v>148</v>
      </c>
      <c r="K122" s="3" t="s">
        <v>72</v>
      </c>
      <c r="L122" s="3" t="s">
        <v>73</v>
      </c>
      <c r="M122" s="3" t="s">
        <v>38</v>
      </c>
      <c r="N122" s="3">
        <v>7.91476407914764</v>
      </c>
      <c r="P122" s="3" t="s">
        <v>136</v>
      </c>
      <c r="Q122" s="32" t="s">
        <v>2532</v>
      </c>
      <c r="R122" s="32" t="s">
        <v>137</v>
      </c>
      <c r="S122" s="32"/>
      <c r="T122" s="32"/>
      <c r="W122" s="3" t="s">
        <v>787</v>
      </c>
      <c r="X122" s="3" t="s">
        <v>77</v>
      </c>
      <c r="Y122" s="3" t="s">
        <v>78</v>
      </c>
      <c r="Z122" s="3" t="s">
        <v>1315</v>
      </c>
      <c r="AA122" s="3" t="s">
        <v>1316</v>
      </c>
      <c r="AB122" s="3" t="s">
        <v>1317</v>
      </c>
      <c r="AC122" s="3" t="s">
        <v>1318</v>
      </c>
      <c r="AE122" s="3" t="s">
        <v>83</v>
      </c>
      <c r="AF122" s="3" t="s">
        <v>85</v>
      </c>
      <c r="AG122" s="3" t="s">
        <v>85</v>
      </c>
      <c r="AH122" s="3" t="s">
        <v>2525</v>
      </c>
      <c r="AI122" s="3" t="s">
        <v>2525</v>
      </c>
      <c r="AJ122" s="3" t="s">
        <v>2525</v>
      </c>
      <c r="AK122" s="3" t="s">
        <v>85</v>
      </c>
      <c r="AL122" s="3" t="s">
        <v>2525</v>
      </c>
      <c r="AM122" s="3" t="s">
        <v>84</v>
      </c>
      <c r="AN122" s="3" t="s">
        <v>85</v>
      </c>
      <c r="AO122" s="3" t="s">
        <v>2525</v>
      </c>
      <c r="AP122" s="3" t="s">
        <v>85</v>
      </c>
      <c r="AR122" s="3" t="s">
        <v>2525</v>
      </c>
      <c r="AS122" s="3" t="s">
        <v>84</v>
      </c>
      <c r="AT122" s="3" t="s">
        <v>2525</v>
      </c>
      <c r="AU122" s="3" t="s">
        <v>2525</v>
      </c>
      <c r="AV122" s="3" t="s">
        <v>2525</v>
      </c>
      <c r="AW122" s="3" t="s">
        <v>2525</v>
      </c>
      <c r="AX122" s="3" t="s">
        <v>2525</v>
      </c>
      <c r="AY122" s="3" t="s">
        <v>2525</v>
      </c>
      <c r="AZ122" s="3" t="s">
        <v>85</v>
      </c>
      <c r="BA122" s="3" t="s">
        <v>84</v>
      </c>
      <c r="BB122" s="3" t="s">
        <v>2525</v>
      </c>
      <c r="BC122" s="3" t="s">
        <v>2525</v>
      </c>
      <c r="BD122" s="3" t="s">
        <v>85</v>
      </c>
      <c r="BE122" s="3" t="s">
        <v>2525</v>
      </c>
      <c r="BF122" s="3" t="s">
        <v>2525</v>
      </c>
      <c r="BG122" s="3" t="s">
        <v>2525</v>
      </c>
      <c r="BH122" s="3" t="s">
        <v>2525</v>
      </c>
      <c r="BI122" s="3" t="s">
        <v>84</v>
      </c>
      <c r="BJ122" s="3" t="s">
        <v>84</v>
      </c>
      <c r="BL122" s="3" t="s">
        <v>2525</v>
      </c>
      <c r="BN122" s="3" t="s">
        <v>1319</v>
      </c>
      <c r="BO122" s="3" t="s">
        <v>1320</v>
      </c>
    </row>
    <row r="123">
      <c r="A123" s="3" t="s">
        <v>1322</v>
      </c>
      <c r="B123" s="3" t="s">
        <v>1323</v>
      </c>
      <c r="C123" s="3" t="s">
        <v>70</v>
      </c>
      <c r="D123" s="3" t="s">
        <v>2533</v>
      </c>
      <c r="I123" s="3">
        <v>15.0</v>
      </c>
      <c r="J123" s="3" t="s">
        <v>71</v>
      </c>
      <c r="K123" s="3" t="s">
        <v>72</v>
      </c>
      <c r="L123" s="3" t="s">
        <v>73</v>
      </c>
      <c r="M123" s="3" t="s">
        <v>47</v>
      </c>
      <c r="O123" s="3" t="s">
        <v>77</v>
      </c>
      <c r="P123" s="3" t="s">
        <v>75</v>
      </c>
      <c r="Q123" s="32" t="s">
        <v>1322</v>
      </c>
      <c r="R123" s="32" t="s">
        <v>76</v>
      </c>
      <c r="S123" s="32"/>
      <c r="T123" s="32"/>
      <c r="X123" s="3" t="s">
        <v>77</v>
      </c>
      <c r="Y123" s="3" t="s">
        <v>138</v>
      </c>
      <c r="Z123" s="3" t="s">
        <v>1325</v>
      </c>
      <c r="AA123" s="3" t="s">
        <v>1326</v>
      </c>
      <c r="AB123" s="3" t="s">
        <v>1327</v>
      </c>
      <c r="AC123" s="3" t="s">
        <v>1328</v>
      </c>
      <c r="AE123" s="3" t="s">
        <v>83</v>
      </c>
      <c r="AF123" s="3" t="s">
        <v>84</v>
      </c>
      <c r="AG123" s="3" t="s">
        <v>84</v>
      </c>
      <c r="AH123" s="3" t="s">
        <v>2525</v>
      </c>
      <c r="AI123" s="3" t="s">
        <v>2525</v>
      </c>
      <c r="AJ123" s="3" t="s">
        <v>85</v>
      </c>
      <c r="AK123" s="3" t="s">
        <v>2525</v>
      </c>
      <c r="AL123" s="3" t="s">
        <v>2525</v>
      </c>
      <c r="AM123" s="3" t="s">
        <v>2525</v>
      </c>
      <c r="AN123" s="3" t="s">
        <v>84</v>
      </c>
      <c r="AO123" s="3" t="s">
        <v>2525</v>
      </c>
      <c r="AP123" s="3" t="s">
        <v>85</v>
      </c>
      <c r="AR123" s="3" t="s">
        <v>2525</v>
      </c>
      <c r="AS123" s="3" t="s">
        <v>2525</v>
      </c>
      <c r="AT123" s="3" t="s">
        <v>2525</v>
      </c>
      <c r="AU123" s="3" t="s">
        <v>85</v>
      </c>
      <c r="AV123" s="3" t="s">
        <v>2525</v>
      </c>
      <c r="AW123" s="3" t="s">
        <v>2525</v>
      </c>
      <c r="AX123" s="3" t="s">
        <v>2525</v>
      </c>
      <c r="AY123" s="3" t="s">
        <v>2525</v>
      </c>
      <c r="AZ123" s="3" t="s">
        <v>2525</v>
      </c>
      <c r="BA123" s="3" t="s">
        <v>84</v>
      </c>
      <c r="BB123" s="3" t="s">
        <v>2525</v>
      </c>
      <c r="BC123" s="3" t="s">
        <v>2525</v>
      </c>
      <c r="BD123" s="3" t="s">
        <v>84</v>
      </c>
      <c r="BE123" s="3" t="s">
        <v>2525</v>
      </c>
      <c r="BF123" s="3" t="s">
        <v>2525</v>
      </c>
      <c r="BG123" s="3" t="s">
        <v>2525</v>
      </c>
      <c r="BH123" s="3" t="s">
        <v>2525</v>
      </c>
      <c r="BI123" s="3" t="s">
        <v>2525</v>
      </c>
      <c r="BJ123" s="3" t="s">
        <v>84</v>
      </c>
      <c r="BK123" s="3" t="s">
        <v>86</v>
      </c>
      <c r="BL123" s="3" t="s">
        <v>86</v>
      </c>
      <c r="BN123" s="3" t="s">
        <v>1329</v>
      </c>
      <c r="BO123" s="3" t="s">
        <v>1330</v>
      </c>
    </row>
    <row r="124">
      <c r="A124" s="3" t="s">
        <v>1332</v>
      </c>
      <c r="B124" s="3" t="s">
        <v>1333</v>
      </c>
      <c r="C124" s="3" t="s">
        <v>70</v>
      </c>
      <c r="D124" s="3" t="s">
        <v>1314</v>
      </c>
      <c r="I124" s="3">
        <v>25.0</v>
      </c>
      <c r="J124" s="3" t="s">
        <v>71</v>
      </c>
      <c r="K124" s="3" t="s">
        <v>72</v>
      </c>
      <c r="L124" s="3" t="s">
        <v>73</v>
      </c>
      <c r="M124" s="3" t="s">
        <v>39</v>
      </c>
      <c r="N124" s="3">
        <v>7.91476407914764</v>
      </c>
      <c r="P124" s="3" t="s">
        <v>149</v>
      </c>
      <c r="Q124" s="32" t="s">
        <v>1332</v>
      </c>
      <c r="R124" s="32" t="s">
        <v>137</v>
      </c>
      <c r="S124" s="32"/>
      <c r="T124" s="32"/>
      <c r="W124" s="3" t="s">
        <v>787</v>
      </c>
      <c r="X124" s="3" t="s">
        <v>77</v>
      </c>
      <c r="Y124" s="3" t="s">
        <v>138</v>
      </c>
      <c r="Z124" s="3" t="s">
        <v>150</v>
      </c>
      <c r="AA124" s="3" t="s">
        <v>1334</v>
      </c>
      <c r="AB124" s="3" t="s">
        <v>1335</v>
      </c>
      <c r="AC124" s="3" t="s">
        <v>1336</v>
      </c>
      <c r="AE124" s="3" t="s">
        <v>83</v>
      </c>
      <c r="AF124" s="3" t="s">
        <v>85</v>
      </c>
      <c r="AG124" s="3" t="s">
        <v>85</v>
      </c>
      <c r="AH124" s="3" t="s">
        <v>2525</v>
      </c>
      <c r="AI124" s="3" t="s">
        <v>2525</v>
      </c>
      <c r="AJ124" s="3" t="s">
        <v>2525</v>
      </c>
      <c r="AK124" s="3" t="s">
        <v>85</v>
      </c>
      <c r="AL124" s="3" t="s">
        <v>2525</v>
      </c>
      <c r="AM124" s="3" t="s">
        <v>85</v>
      </c>
      <c r="AN124" s="3" t="s">
        <v>85</v>
      </c>
      <c r="AO124" s="3" t="s">
        <v>2525</v>
      </c>
      <c r="AP124" s="3" t="s">
        <v>2525</v>
      </c>
      <c r="AR124" s="3" t="s">
        <v>2525</v>
      </c>
      <c r="AS124" s="3" t="s">
        <v>85</v>
      </c>
      <c r="AT124" s="3" t="s">
        <v>2525</v>
      </c>
      <c r="AU124" s="3" t="s">
        <v>85</v>
      </c>
      <c r="AV124" s="3" t="s">
        <v>2525</v>
      </c>
      <c r="AW124" s="3" t="s">
        <v>2525</v>
      </c>
      <c r="AX124" s="3" t="s">
        <v>2525</v>
      </c>
      <c r="AY124" s="3" t="s">
        <v>2525</v>
      </c>
      <c r="AZ124" s="3" t="s">
        <v>2525</v>
      </c>
      <c r="BA124" s="3" t="s">
        <v>2525</v>
      </c>
      <c r="BB124" s="3" t="s">
        <v>2525</v>
      </c>
      <c r="BC124" s="3" t="s">
        <v>2525</v>
      </c>
      <c r="BD124" s="3" t="s">
        <v>2525</v>
      </c>
      <c r="BE124" s="3" t="s">
        <v>2525</v>
      </c>
      <c r="BF124" s="3" t="s">
        <v>2525</v>
      </c>
      <c r="BG124" s="3" t="s">
        <v>2525</v>
      </c>
      <c r="BH124" s="3" t="s">
        <v>2525</v>
      </c>
      <c r="BI124" s="3" t="s">
        <v>2525</v>
      </c>
      <c r="BJ124" s="3" t="s">
        <v>2525</v>
      </c>
      <c r="BK124" s="3" t="s">
        <v>86</v>
      </c>
      <c r="BL124" s="3" t="s">
        <v>86</v>
      </c>
      <c r="BN124" s="3" t="s">
        <v>137</v>
      </c>
      <c r="BO124" s="3" t="s">
        <v>1337</v>
      </c>
    </row>
    <row r="125">
      <c r="A125" s="3" t="s">
        <v>1339</v>
      </c>
      <c r="B125" s="3" t="s">
        <v>1340</v>
      </c>
      <c r="C125" s="3" t="s">
        <v>92</v>
      </c>
      <c r="I125" s="3">
        <v>35.0</v>
      </c>
      <c r="J125" s="3" t="s">
        <v>71</v>
      </c>
      <c r="K125" s="3" t="s">
        <v>72</v>
      </c>
      <c r="L125" s="3" t="s">
        <v>108</v>
      </c>
      <c r="M125" s="3" t="s">
        <v>44</v>
      </c>
      <c r="P125" s="3" t="s">
        <v>149</v>
      </c>
      <c r="Q125" s="32" t="s">
        <v>1339</v>
      </c>
      <c r="R125" s="32" t="s">
        <v>286</v>
      </c>
      <c r="S125" s="32"/>
      <c r="T125" s="32"/>
      <c r="X125" s="3" t="s">
        <v>77</v>
      </c>
      <c r="Y125" s="3" t="s">
        <v>138</v>
      </c>
      <c r="Z125" s="3" t="s">
        <v>1341</v>
      </c>
      <c r="AA125" s="3" t="s">
        <v>1342</v>
      </c>
      <c r="AB125" s="3" t="s">
        <v>1343</v>
      </c>
      <c r="AC125" s="3" t="s">
        <v>1344</v>
      </c>
      <c r="AE125" s="3" t="s">
        <v>83</v>
      </c>
      <c r="AF125" s="3" t="s">
        <v>2525</v>
      </c>
      <c r="AG125" s="3" t="s">
        <v>2525</v>
      </c>
      <c r="AH125" s="3" t="s">
        <v>85</v>
      </c>
      <c r="AI125" s="3" t="s">
        <v>85</v>
      </c>
      <c r="AJ125" s="3" t="s">
        <v>84</v>
      </c>
      <c r="AK125" s="3" t="s">
        <v>2525</v>
      </c>
      <c r="AL125" s="3" t="s">
        <v>2525</v>
      </c>
      <c r="AM125" s="3" t="s">
        <v>2525</v>
      </c>
      <c r="AN125" s="3" t="s">
        <v>2525</v>
      </c>
      <c r="AO125" s="3" t="s">
        <v>2525</v>
      </c>
      <c r="AP125" s="3" t="s">
        <v>2525</v>
      </c>
      <c r="AR125" s="3" t="s">
        <v>2525</v>
      </c>
      <c r="AS125" s="3" t="s">
        <v>2525</v>
      </c>
      <c r="AT125" s="3" t="s">
        <v>84</v>
      </c>
      <c r="AU125" s="3" t="s">
        <v>2525</v>
      </c>
      <c r="AV125" s="3" t="s">
        <v>2525</v>
      </c>
      <c r="AW125" s="3" t="s">
        <v>2525</v>
      </c>
      <c r="AX125" s="3" t="s">
        <v>2525</v>
      </c>
      <c r="AY125" s="3" t="s">
        <v>2525</v>
      </c>
      <c r="AZ125" s="3" t="s">
        <v>2525</v>
      </c>
      <c r="BA125" s="3" t="s">
        <v>2525</v>
      </c>
      <c r="BB125" s="3" t="s">
        <v>2525</v>
      </c>
      <c r="BC125" s="3" t="s">
        <v>2525</v>
      </c>
      <c r="BD125" s="3" t="s">
        <v>2525</v>
      </c>
      <c r="BE125" s="3" t="s">
        <v>2525</v>
      </c>
      <c r="BF125" s="3" t="s">
        <v>2525</v>
      </c>
      <c r="BG125" s="3" t="s">
        <v>2525</v>
      </c>
      <c r="BH125" s="3" t="s">
        <v>2525</v>
      </c>
      <c r="BI125" s="3" t="s">
        <v>2525</v>
      </c>
      <c r="BJ125" s="3" t="s">
        <v>2525</v>
      </c>
      <c r="BL125" s="3" t="s">
        <v>2525</v>
      </c>
      <c r="BN125" s="3" t="s">
        <v>286</v>
      </c>
      <c r="BO125" s="3" t="s">
        <v>286</v>
      </c>
    </row>
    <row r="126">
      <c r="A126" s="3" t="s">
        <v>1346</v>
      </c>
      <c r="B126" s="3" t="s">
        <v>1347</v>
      </c>
      <c r="C126" s="3" t="s">
        <v>92</v>
      </c>
      <c r="D126" s="3" t="s">
        <v>1348</v>
      </c>
      <c r="I126" s="3">
        <v>32.0</v>
      </c>
      <c r="J126" s="3" t="s">
        <v>922</v>
      </c>
      <c r="K126" s="3" t="s">
        <v>72</v>
      </c>
      <c r="L126" s="3" t="s">
        <v>73</v>
      </c>
      <c r="M126" s="3" t="s">
        <v>723</v>
      </c>
      <c r="N126" s="3">
        <v>0.7575757575757576</v>
      </c>
      <c r="P126" s="3" t="s">
        <v>75</v>
      </c>
      <c r="Q126" s="32" t="s">
        <v>1346</v>
      </c>
      <c r="R126" s="32" t="s">
        <v>1349</v>
      </c>
      <c r="S126" s="32"/>
      <c r="T126" s="32"/>
      <c r="X126" s="3" t="s">
        <v>77</v>
      </c>
      <c r="Y126" s="3" t="s">
        <v>78</v>
      </c>
      <c r="Z126" s="3" t="s">
        <v>150</v>
      </c>
      <c r="AA126" s="3" t="s">
        <v>1334</v>
      </c>
      <c r="AB126" s="3" t="s">
        <v>1350</v>
      </c>
      <c r="AC126" s="3" t="s">
        <v>1351</v>
      </c>
      <c r="AE126" s="3" t="s">
        <v>83</v>
      </c>
      <c r="AF126" s="3" t="s">
        <v>84</v>
      </c>
      <c r="AG126" s="3" t="s">
        <v>85</v>
      </c>
      <c r="AH126" s="3" t="s">
        <v>2525</v>
      </c>
      <c r="AI126" s="3" t="s">
        <v>2525</v>
      </c>
      <c r="AJ126" s="3" t="s">
        <v>2525</v>
      </c>
      <c r="AK126" s="3" t="s">
        <v>2525</v>
      </c>
      <c r="AL126" s="3" t="s">
        <v>2525</v>
      </c>
      <c r="AM126" s="3" t="s">
        <v>85</v>
      </c>
      <c r="AN126" s="3" t="s">
        <v>84</v>
      </c>
      <c r="AO126" s="3" t="s">
        <v>2525</v>
      </c>
      <c r="AP126" s="3" t="s">
        <v>84</v>
      </c>
      <c r="AR126" s="3" t="s">
        <v>2525</v>
      </c>
      <c r="AS126" s="3" t="s">
        <v>85</v>
      </c>
      <c r="AT126" s="3" t="s">
        <v>2525</v>
      </c>
      <c r="AU126" s="3" t="s">
        <v>2525</v>
      </c>
      <c r="AV126" s="3" t="s">
        <v>2525</v>
      </c>
      <c r="AW126" s="3" t="s">
        <v>2525</v>
      </c>
      <c r="AX126" s="3" t="s">
        <v>2525</v>
      </c>
      <c r="AY126" s="3" t="s">
        <v>2525</v>
      </c>
      <c r="AZ126" s="3" t="s">
        <v>85</v>
      </c>
      <c r="BA126" s="3" t="s">
        <v>84</v>
      </c>
      <c r="BB126" s="3" t="s">
        <v>2525</v>
      </c>
      <c r="BC126" s="3" t="s">
        <v>2525</v>
      </c>
      <c r="BD126" s="3" t="s">
        <v>85</v>
      </c>
      <c r="BE126" s="3" t="s">
        <v>2525</v>
      </c>
      <c r="BF126" s="3" t="s">
        <v>2525</v>
      </c>
      <c r="BG126" s="3" t="s">
        <v>2525</v>
      </c>
      <c r="BH126" s="3" t="s">
        <v>2525</v>
      </c>
      <c r="BI126" s="3" t="s">
        <v>2525</v>
      </c>
      <c r="BJ126" s="3" t="s">
        <v>85</v>
      </c>
      <c r="BL126" s="3" t="s">
        <v>2525</v>
      </c>
      <c r="BN126" s="3" t="s">
        <v>1352</v>
      </c>
      <c r="BO126" s="3" t="s">
        <v>1353</v>
      </c>
    </row>
    <row r="127">
      <c r="A127" s="3" t="s">
        <v>1355</v>
      </c>
      <c r="B127" s="3" t="s">
        <v>1356</v>
      </c>
      <c r="C127" s="3" t="s">
        <v>92</v>
      </c>
      <c r="D127" s="3" t="s">
        <v>1357</v>
      </c>
      <c r="I127" s="3">
        <v>71.0</v>
      </c>
      <c r="J127" s="3" t="s">
        <v>171</v>
      </c>
      <c r="K127" s="3" t="s">
        <v>72</v>
      </c>
      <c r="L127" s="3" t="s">
        <v>73</v>
      </c>
      <c r="M127" s="3" t="s">
        <v>40</v>
      </c>
      <c r="N127" s="3">
        <v>-63.559322033898304</v>
      </c>
      <c r="P127" s="3" t="s">
        <v>149</v>
      </c>
      <c r="Q127" s="32" t="s">
        <v>1355</v>
      </c>
      <c r="R127" s="32" t="s">
        <v>1358</v>
      </c>
      <c r="S127" s="32"/>
      <c r="T127" s="32"/>
      <c r="W127" s="3" t="s">
        <v>858</v>
      </c>
      <c r="X127" s="3" t="s">
        <v>77</v>
      </c>
      <c r="Y127" s="3" t="s">
        <v>78</v>
      </c>
      <c r="Z127" s="3" t="s">
        <v>1359</v>
      </c>
      <c r="AA127" s="3" t="s">
        <v>1360</v>
      </c>
      <c r="AB127" s="3" t="s">
        <v>1361</v>
      </c>
      <c r="AC127" s="3" t="s">
        <v>1362</v>
      </c>
      <c r="AE127" s="3" t="s">
        <v>83</v>
      </c>
      <c r="AF127" s="3" t="s">
        <v>2525</v>
      </c>
      <c r="AG127" s="3" t="s">
        <v>2525</v>
      </c>
      <c r="AH127" s="3" t="s">
        <v>2525</v>
      </c>
      <c r="AI127" s="3" t="s">
        <v>2525</v>
      </c>
      <c r="AJ127" s="3" t="s">
        <v>2525</v>
      </c>
      <c r="AK127" s="3" t="s">
        <v>2525</v>
      </c>
      <c r="AL127" s="3" t="s">
        <v>2525</v>
      </c>
      <c r="AM127" s="3" t="s">
        <v>2525</v>
      </c>
      <c r="AN127" s="3" t="s">
        <v>2525</v>
      </c>
      <c r="AO127" s="3" t="s">
        <v>84</v>
      </c>
      <c r="AP127" s="3" t="s">
        <v>2525</v>
      </c>
      <c r="AR127" s="3" t="s">
        <v>2525</v>
      </c>
      <c r="AS127" s="3" t="s">
        <v>84</v>
      </c>
      <c r="AT127" s="3" t="s">
        <v>2525</v>
      </c>
      <c r="AU127" s="3" t="s">
        <v>84</v>
      </c>
      <c r="AV127" s="3" t="s">
        <v>84</v>
      </c>
      <c r="AW127" s="3" t="s">
        <v>2525</v>
      </c>
      <c r="AX127" s="3" t="s">
        <v>2525</v>
      </c>
      <c r="AY127" s="3" t="s">
        <v>85</v>
      </c>
      <c r="AZ127" s="3" t="s">
        <v>2525</v>
      </c>
      <c r="BA127" s="3" t="s">
        <v>2525</v>
      </c>
      <c r="BB127" s="3" t="s">
        <v>2525</v>
      </c>
      <c r="BC127" s="3" t="s">
        <v>2525</v>
      </c>
      <c r="BD127" s="3" t="s">
        <v>2525</v>
      </c>
      <c r="BE127" s="3" t="s">
        <v>2525</v>
      </c>
      <c r="BF127" s="3" t="s">
        <v>2525</v>
      </c>
      <c r="BG127" s="3" t="s">
        <v>2525</v>
      </c>
      <c r="BH127" s="3" t="s">
        <v>2525</v>
      </c>
      <c r="BI127" s="3" t="s">
        <v>2525</v>
      </c>
      <c r="BJ127" s="3" t="s">
        <v>2525</v>
      </c>
      <c r="BK127" s="3" t="s">
        <v>86</v>
      </c>
      <c r="BL127" s="3" t="s">
        <v>2525</v>
      </c>
      <c r="BN127" s="3" t="s">
        <v>1363</v>
      </c>
      <c r="BO127" s="3" t="s">
        <v>137</v>
      </c>
    </row>
    <row r="128">
      <c r="A128" s="3" t="s">
        <v>1128</v>
      </c>
      <c r="B128" s="3" t="s">
        <v>1365</v>
      </c>
      <c r="C128" s="3" t="s">
        <v>92</v>
      </c>
      <c r="D128" s="3" t="s">
        <v>1366</v>
      </c>
      <c r="I128" s="3">
        <v>35.0</v>
      </c>
      <c r="J128" s="3" t="s">
        <v>94</v>
      </c>
      <c r="K128" s="3" t="s">
        <v>72</v>
      </c>
      <c r="L128" s="3" t="s">
        <v>73</v>
      </c>
      <c r="M128" s="3" t="s">
        <v>723</v>
      </c>
      <c r="N128" s="3">
        <v>0.7575757575757576</v>
      </c>
      <c r="P128" s="3" t="s">
        <v>75</v>
      </c>
      <c r="Q128" s="32" t="s">
        <v>1128</v>
      </c>
      <c r="R128" s="32" t="s">
        <v>724</v>
      </c>
      <c r="S128" s="32"/>
      <c r="T128" s="32"/>
      <c r="W128" s="3" t="s">
        <v>193</v>
      </c>
      <c r="X128" s="3" t="s">
        <v>77</v>
      </c>
      <c r="Y128" s="3" t="s">
        <v>78</v>
      </c>
      <c r="Z128" s="3" t="s">
        <v>1367</v>
      </c>
      <c r="AA128" s="3" t="s">
        <v>1368</v>
      </c>
      <c r="AB128" s="3" t="s">
        <v>1369</v>
      </c>
      <c r="AC128" s="3" t="s">
        <v>1370</v>
      </c>
      <c r="AE128" s="3" t="s">
        <v>83</v>
      </c>
      <c r="AF128" s="3" t="s">
        <v>84</v>
      </c>
      <c r="AG128" s="3" t="s">
        <v>84</v>
      </c>
      <c r="AH128" s="3" t="s">
        <v>2525</v>
      </c>
      <c r="AI128" s="3" t="s">
        <v>2525</v>
      </c>
      <c r="AJ128" s="3" t="s">
        <v>2525</v>
      </c>
      <c r="AK128" s="3" t="s">
        <v>2525</v>
      </c>
      <c r="AL128" s="3" t="s">
        <v>2525</v>
      </c>
      <c r="AM128" s="3" t="s">
        <v>85</v>
      </c>
      <c r="AN128" s="3" t="s">
        <v>84</v>
      </c>
      <c r="AO128" s="3" t="s">
        <v>2525</v>
      </c>
      <c r="AP128" s="3" t="s">
        <v>84</v>
      </c>
      <c r="AR128" s="3" t="s">
        <v>2525</v>
      </c>
      <c r="AS128" s="3" t="s">
        <v>84</v>
      </c>
      <c r="AT128" s="3" t="s">
        <v>2525</v>
      </c>
      <c r="AU128" s="3" t="s">
        <v>2525</v>
      </c>
      <c r="AV128" s="3" t="s">
        <v>2525</v>
      </c>
      <c r="AW128" s="3" t="s">
        <v>2525</v>
      </c>
      <c r="AX128" s="3" t="s">
        <v>2525</v>
      </c>
      <c r="AY128" s="3" t="s">
        <v>2525</v>
      </c>
      <c r="AZ128" s="3" t="s">
        <v>84</v>
      </c>
      <c r="BA128" s="3" t="s">
        <v>84</v>
      </c>
      <c r="BB128" s="3" t="s">
        <v>2525</v>
      </c>
      <c r="BC128" s="3" t="s">
        <v>2525</v>
      </c>
      <c r="BD128" s="3" t="s">
        <v>85</v>
      </c>
      <c r="BE128" s="3" t="s">
        <v>2525</v>
      </c>
      <c r="BF128" s="3" t="s">
        <v>2525</v>
      </c>
      <c r="BG128" s="3" t="s">
        <v>2525</v>
      </c>
      <c r="BH128" s="3" t="s">
        <v>2525</v>
      </c>
      <c r="BI128" s="3" t="s">
        <v>2525</v>
      </c>
      <c r="BJ128" s="3" t="s">
        <v>84</v>
      </c>
      <c r="BK128" s="3" t="s">
        <v>86</v>
      </c>
      <c r="BL128" s="3" t="s">
        <v>2525</v>
      </c>
      <c r="BN128" s="3" t="s">
        <v>1371</v>
      </c>
      <c r="BO128" s="3" t="s">
        <v>1372</v>
      </c>
    </row>
    <row r="129">
      <c r="A129" s="3" t="s">
        <v>1374</v>
      </c>
      <c r="B129" s="3" t="s">
        <v>1375</v>
      </c>
      <c r="C129" s="3" t="s">
        <v>92</v>
      </c>
      <c r="D129" s="3" t="s">
        <v>1376</v>
      </c>
      <c r="I129" s="3">
        <v>34.0</v>
      </c>
      <c r="J129" s="3" t="s">
        <v>94</v>
      </c>
      <c r="K129" s="3" t="s">
        <v>72</v>
      </c>
      <c r="L129" s="3" t="s">
        <v>108</v>
      </c>
      <c r="M129" s="3" t="s">
        <v>109</v>
      </c>
      <c r="N129" s="3">
        <v>10.367892976588628</v>
      </c>
      <c r="P129" s="3" t="s">
        <v>149</v>
      </c>
      <c r="Q129" s="32" t="s">
        <v>1374</v>
      </c>
      <c r="R129" s="32" t="s">
        <v>137</v>
      </c>
      <c r="S129" s="32"/>
      <c r="T129" s="32"/>
      <c r="W129" s="3" t="s">
        <v>858</v>
      </c>
      <c r="X129" s="3" t="s">
        <v>77</v>
      </c>
      <c r="Y129" s="3" t="s">
        <v>78</v>
      </c>
      <c r="Z129" s="3" t="s">
        <v>1359</v>
      </c>
      <c r="AA129" s="3" t="s">
        <v>1377</v>
      </c>
      <c r="AB129" s="3" t="s">
        <v>1378</v>
      </c>
      <c r="AC129" s="3" t="s">
        <v>1379</v>
      </c>
      <c r="AD129" s="3" t="s">
        <v>2534</v>
      </c>
      <c r="AE129" s="3" t="s">
        <v>83</v>
      </c>
      <c r="AF129" s="3" t="s">
        <v>84</v>
      </c>
      <c r="AG129" s="3" t="s">
        <v>85</v>
      </c>
      <c r="AH129" s="3" t="s">
        <v>84</v>
      </c>
      <c r="AI129" s="3" t="s">
        <v>2525</v>
      </c>
      <c r="AJ129" s="3" t="s">
        <v>84</v>
      </c>
      <c r="AK129" s="3" t="s">
        <v>2525</v>
      </c>
      <c r="AL129" s="3" t="s">
        <v>2525</v>
      </c>
      <c r="AM129" s="3" t="s">
        <v>85</v>
      </c>
      <c r="AN129" s="3" t="s">
        <v>2525</v>
      </c>
      <c r="AO129" s="3" t="s">
        <v>2525</v>
      </c>
      <c r="AP129" s="3" t="s">
        <v>2525</v>
      </c>
      <c r="AR129" s="3" t="s">
        <v>2525</v>
      </c>
      <c r="AS129" s="3" t="s">
        <v>2525</v>
      </c>
      <c r="AT129" s="3" t="s">
        <v>85</v>
      </c>
      <c r="AU129" s="3" t="s">
        <v>2525</v>
      </c>
      <c r="AV129" s="3" t="s">
        <v>2525</v>
      </c>
      <c r="AW129" s="3" t="s">
        <v>2525</v>
      </c>
      <c r="AX129" s="3" t="s">
        <v>2525</v>
      </c>
      <c r="AY129" s="3" t="s">
        <v>2525</v>
      </c>
      <c r="AZ129" s="3" t="s">
        <v>85</v>
      </c>
      <c r="BA129" s="3" t="s">
        <v>2525</v>
      </c>
      <c r="BB129" s="3" t="s">
        <v>2525</v>
      </c>
      <c r="BC129" s="3" t="s">
        <v>2525</v>
      </c>
      <c r="BD129" s="3" t="s">
        <v>2525</v>
      </c>
      <c r="BE129" s="3" t="s">
        <v>2525</v>
      </c>
      <c r="BF129" s="3" t="s">
        <v>2525</v>
      </c>
      <c r="BG129" s="3" t="s">
        <v>2525</v>
      </c>
      <c r="BH129" s="3" t="s">
        <v>2525</v>
      </c>
      <c r="BI129" s="3" t="s">
        <v>2525</v>
      </c>
      <c r="BJ129" s="3" t="s">
        <v>2525</v>
      </c>
      <c r="BK129" s="3" t="s">
        <v>86</v>
      </c>
      <c r="BL129" s="3" t="s">
        <v>2525</v>
      </c>
      <c r="BM129" s="3" t="s">
        <v>86</v>
      </c>
      <c r="BN129" s="3" t="s">
        <v>137</v>
      </c>
      <c r="BO129" s="3" t="s">
        <v>1381</v>
      </c>
      <c r="BP129" s="3" t="s">
        <v>1382</v>
      </c>
    </row>
    <row r="130">
      <c r="A130" s="3" t="s">
        <v>1384</v>
      </c>
      <c r="B130" s="3" t="s">
        <v>1385</v>
      </c>
      <c r="C130" s="3" t="s">
        <v>92</v>
      </c>
      <c r="D130" s="3" t="s">
        <v>1386</v>
      </c>
      <c r="I130" s="3">
        <v>21.0</v>
      </c>
      <c r="J130" s="3" t="s">
        <v>159</v>
      </c>
      <c r="K130" s="3" t="s">
        <v>72</v>
      </c>
      <c r="L130" s="3" t="s">
        <v>108</v>
      </c>
      <c r="M130" s="3" t="s">
        <v>109</v>
      </c>
      <c r="N130" s="3">
        <v>-9.40550133096717</v>
      </c>
      <c r="P130" s="3" t="s">
        <v>75</v>
      </c>
      <c r="Q130" s="32" t="s">
        <v>1384</v>
      </c>
      <c r="R130" s="32" t="s">
        <v>1387</v>
      </c>
      <c r="S130" s="32"/>
      <c r="T130" s="32"/>
      <c r="W130" s="3" t="s">
        <v>193</v>
      </c>
      <c r="X130" s="3" t="s">
        <v>77</v>
      </c>
      <c r="Y130" s="3" t="s">
        <v>78</v>
      </c>
      <c r="Z130" s="3" t="s">
        <v>1388</v>
      </c>
      <c r="AA130" s="3" t="s">
        <v>1389</v>
      </c>
      <c r="AB130" s="3" t="s">
        <v>1390</v>
      </c>
      <c r="AC130" s="3" t="s">
        <v>1391</v>
      </c>
      <c r="AE130" s="3" t="s">
        <v>83</v>
      </c>
      <c r="AF130" s="3" t="s">
        <v>2525</v>
      </c>
      <c r="AG130" s="3" t="s">
        <v>2525</v>
      </c>
      <c r="AH130" s="3" t="s">
        <v>84</v>
      </c>
      <c r="AI130" s="3" t="s">
        <v>84</v>
      </c>
      <c r="AJ130" s="3" t="s">
        <v>84</v>
      </c>
      <c r="AK130" s="3" t="s">
        <v>2525</v>
      </c>
      <c r="AL130" s="3" t="s">
        <v>2525</v>
      </c>
      <c r="AM130" s="3" t="s">
        <v>85</v>
      </c>
      <c r="AN130" s="3" t="s">
        <v>2525</v>
      </c>
      <c r="AO130" s="3" t="s">
        <v>2525</v>
      </c>
      <c r="AP130" s="3" t="s">
        <v>2525</v>
      </c>
      <c r="AR130" s="3" t="s">
        <v>2525</v>
      </c>
      <c r="AS130" s="3" t="s">
        <v>84</v>
      </c>
      <c r="AT130" s="3" t="s">
        <v>85</v>
      </c>
      <c r="AU130" s="3" t="s">
        <v>2525</v>
      </c>
      <c r="AV130" s="3" t="s">
        <v>2525</v>
      </c>
      <c r="AW130" s="3" t="s">
        <v>2525</v>
      </c>
      <c r="AX130" s="3" t="s">
        <v>2525</v>
      </c>
      <c r="AY130" s="3" t="s">
        <v>2525</v>
      </c>
      <c r="AZ130" s="3" t="s">
        <v>85</v>
      </c>
      <c r="BA130" s="3" t="s">
        <v>84</v>
      </c>
      <c r="BB130" s="3" t="s">
        <v>2525</v>
      </c>
      <c r="BC130" s="3" t="s">
        <v>2525</v>
      </c>
      <c r="BD130" s="3" t="s">
        <v>2525</v>
      </c>
      <c r="BE130" s="3" t="s">
        <v>84</v>
      </c>
      <c r="BF130" s="3" t="s">
        <v>2525</v>
      </c>
      <c r="BG130" s="3" t="s">
        <v>2525</v>
      </c>
      <c r="BH130" s="3" t="s">
        <v>2525</v>
      </c>
      <c r="BI130" s="3" t="s">
        <v>2525</v>
      </c>
      <c r="BJ130" s="3" t="s">
        <v>2525</v>
      </c>
      <c r="BK130" s="3" t="s">
        <v>86</v>
      </c>
      <c r="BL130" s="3" t="s">
        <v>2525</v>
      </c>
      <c r="BN130" s="3" t="s">
        <v>1392</v>
      </c>
      <c r="BO130" s="3" t="s">
        <v>1393</v>
      </c>
    </row>
    <row r="131">
      <c r="A131" s="3" t="s">
        <v>1395</v>
      </c>
      <c r="B131" s="3" t="s">
        <v>1396</v>
      </c>
      <c r="C131" s="3" t="s">
        <v>70</v>
      </c>
      <c r="D131" s="3" t="s">
        <v>1376</v>
      </c>
      <c r="I131" s="3">
        <v>15.0</v>
      </c>
      <c r="J131" s="3" t="s">
        <v>71</v>
      </c>
      <c r="K131" s="3" t="s">
        <v>72</v>
      </c>
      <c r="L131" s="3" t="s">
        <v>73</v>
      </c>
      <c r="M131" s="3" t="s">
        <v>37</v>
      </c>
      <c r="N131" s="3">
        <v>10.367892976588628</v>
      </c>
      <c r="P131" s="3" t="s">
        <v>75</v>
      </c>
      <c r="Q131" s="32" t="s">
        <v>1395</v>
      </c>
      <c r="R131" s="32" t="s">
        <v>1397</v>
      </c>
      <c r="S131" s="32"/>
      <c r="T131" s="32"/>
      <c r="X131" s="3" t="s">
        <v>77</v>
      </c>
      <c r="Y131" s="3" t="s">
        <v>78</v>
      </c>
      <c r="Z131" s="3" t="s">
        <v>1398</v>
      </c>
      <c r="AA131" s="3" t="s">
        <v>1399</v>
      </c>
      <c r="AB131" s="3" t="s">
        <v>1400</v>
      </c>
      <c r="AC131" s="3" t="s">
        <v>1401</v>
      </c>
      <c r="AE131" s="3" t="s">
        <v>83</v>
      </c>
      <c r="AF131" s="3" t="s">
        <v>84</v>
      </c>
      <c r="AG131" s="3" t="s">
        <v>84</v>
      </c>
      <c r="AH131" s="3" t="s">
        <v>2525</v>
      </c>
      <c r="AI131" s="3" t="s">
        <v>2525</v>
      </c>
      <c r="AJ131" s="3" t="s">
        <v>2525</v>
      </c>
      <c r="AK131" s="3" t="s">
        <v>2525</v>
      </c>
      <c r="AL131" s="3" t="s">
        <v>84</v>
      </c>
      <c r="AM131" s="3" t="s">
        <v>2525</v>
      </c>
      <c r="AN131" s="3" t="s">
        <v>84</v>
      </c>
      <c r="AO131" s="3" t="s">
        <v>2525</v>
      </c>
      <c r="AP131" s="3" t="s">
        <v>2525</v>
      </c>
      <c r="AR131" s="3" t="s">
        <v>2525</v>
      </c>
      <c r="AS131" s="3" t="s">
        <v>2525</v>
      </c>
      <c r="AT131" s="3" t="s">
        <v>2525</v>
      </c>
      <c r="AU131" s="3" t="s">
        <v>2525</v>
      </c>
      <c r="AV131" s="3" t="s">
        <v>2525</v>
      </c>
      <c r="AW131" s="3" t="s">
        <v>85</v>
      </c>
      <c r="AX131" s="3" t="s">
        <v>2525</v>
      </c>
      <c r="AY131" s="3" t="s">
        <v>85</v>
      </c>
      <c r="AZ131" s="3" t="s">
        <v>85</v>
      </c>
      <c r="BA131" s="3" t="s">
        <v>84</v>
      </c>
      <c r="BB131" s="3" t="s">
        <v>2525</v>
      </c>
      <c r="BC131" s="3" t="s">
        <v>2525</v>
      </c>
      <c r="BD131" s="3" t="s">
        <v>84</v>
      </c>
      <c r="BE131" s="3" t="s">
        <v>2525</v>
      </c>
      <c r="BF131" s="3" t="s">
        <v>2525</v>
      </c>
      <c r="BG131" s="3" t="s">
        <v>2525</v>
      </c>
      <c r="BH131" s="3" t="s">
        <v>2525</v>
      </c>
      <c r="BI131" s="3" t="s">
        <v>2525</v>
      </c>
      <c r="BJ131" s="3" t="s">
        <v>2525</v>
      </c>
      <c r="BK131" s="3" t="s">
        <v>86</v>
      </c>
      <c r="BL131" s="3" t="s">
        <v>86</v>
      </c>
      <c r="BN131" s="3" t="s">
        <v>1402</v>
      </c>
      <c r="BO131" s="3" t="s">
        <v>1403</v>
      </c>
      <c r="BP131" s="3" t="s">
        <v>1382</v>
      </c>
    </row>
    <row r="132">
      <c r="A132" s="3" t="s">
        <v>1405</v>
      </c>
      <c r="B132" s="3" t="s">
        <v>1406</v>
      </c>
      <c r="C132" s="3" t="s">
        <v>92</v>
      </c>
      <c r="D132" s="3" t="s">
        <v>1386</v>
      </c>
      <c r="I132" s="3">
        <v>50.0</v>
      </c>
      <c r="J132" s="3" t="s">
        <v>1407</v>
      </c>
      <c r="K132" s="3" t="s">
        <v>72</v>
      </c>
      <c r="L132" s="3" t="s">
        <v>108</v>
      </c>
      <c r="M132" s="3" t="s">
        <v>764</v>
      </c>
      <c r="N132" s="3">
        <v>-9.40550133096717</v>
      </c>
      <c r="P132" s="3" t="s">
        <v>149</v>
      </c>
      <c r="Q132" s="32" t="s">
        <v>1405</v>
      </c>
      <c r="R132" s="32" t="s">
        <v>286</v>
      </c>
      <c r="S132" s="32"/>
      <c r="T132" s="32"/>
      <c r="X132" s="3" t="s">
        <v>77</v>
      </c>
      <c r="Y132" s="3" t="s">
        <v>138</v>
      </c>
      <c r="Z132" s="3" t="s">
        <v>1408</v>
      </c>
      <c r="AA132" s="3" t="s">
        <v>1409</v>
      </c>
      <c r="AB132" s="3" t="s">
        <v>1410</v>
      </c>
      <c r="AC132" s="3" t="s">
        <v>1411</v>
      </c>
      <c r="AE132" s="3" t="s">
        <v>83</v>
      </c>
      <c r="AF132" s="3" t="s">
        <v>2525</v>
      </c>
      <c r="AG132" s="3" t="s">
        <v>2525</v>
      </c>
      <c r="AH132" s="3" t="s">
        <v>85</v>
      </c>
      <c r="AI132" s="3" t="s">
        <v>85</v>
      </c>
      <c r="AJ132" s="3" t="s">
        <v>84</v>
      </c>
      <c r="AK132" s="3" t="s">
        <v>2525</v>
      </c>
      <c r="AL132" s="3" t="s">
        <v>2525</v>
      </c>
      <c r="AM132" s="3" t="s">
        <v>2525</v>
      </c>
      <c r="AN132" s="3" t="s">
        <v>2525</v>
      </c>
      <c r="AO132" s="3" t="s">
        <v>2525</v>
      </c>
      <c r="AP132" s="3" t="s">
        <v>2525</v>
      </c>
      <c r="AR132" s="3" t="s">
        <v>2525</v>
      </c>
      <c r="AS132" s="3" t="s">
        <v>2525</v>
      </c>
      <c r="AT132" s="3" t="s">
        <v>84</v>
      </c>
      <c r="AU132" s="3" t="s">
        <v>2525</v>
      </c>
      <c r="AV132" s="3" t="s">
        <v>2525</v>
      </c>
      <c r="AW132" s="3" t="s">
        <v>2525</v>
      </c>
      <c r="AX132" s="3" t="s">
        <v>2525</v>
      </c>
      <c r="AY132" s="3" t="s">
        <v>2525</v>
      </c>
      <c r="AZ132" s="3" t="s">
        <v>2525</v>
      </c>
      <c r="BA132" s="3" t="s">
        <v>2525</v>
      </c>
      <c r="BB132" s="3" t="s">
        <v>2525</v>
      </c>
      <c r="BC132" s="3" t="s">
        <v>2525</v>
      </c>
      <c r="BD132" s="3" t="s">
        <v>2525</v>
      </c>
      <c r="BE132" s="3" t="s">
        <v>2525</v>
      </c>
      <c r="BF132" s="3" t="s">
        <v>2525</v>
      </c>
      <c r="BG132" s="3" t="s">
        <v>2525</v>
      </c>
      <c r="BH132" s="3" t="s">
        <v>2525</v>
      </c>
      <c r="BI132" s="3" t="s">
        <v>2525</v>
      </c>
      <c r="BJ132" s="3" t="s">
        <v>2525</v>
      </c>
      <c r="BL132" s="3" t="s">
        <v>2525</v>
      </c>
      <c r="BN132" s="3" t="s">
        <v>286</v>
      </c>
      <c r="BO132" s="3" t="s">
        <v>286</v>
      </c>
    </row>
    <row r="133">
      <c r="A133" s="3" t="s">
        <v>1413</v>
      </c>
      <c r="B133" s="3" t="s">
        <v>1414</v>
      </c>
      <c r="C133" s="3" t="s">
        <v>70</v>
      </c>
      <c r="I133" s="3">
        <v>25.0</v>
      </c>
      <c r="J133" s="3" t="s">
        <v>71</v>
      </c>
      <c r="K133" s="3" t="s">
        <v>72</v>
      </c>
      <c r="L133" s="3" t="s">
        <v>108</v>
      </c>
      <c r="M133" s="3" t="s">
        <v>44</v>
      </c>
      <c r="P133" s="3" t="s">
        <v>136</v>
      </c>
      <c r="Q133" s="32" t="s">
        <v>1413</v>
      </c>
      <c r="R133" s="32" t="s">
        <v>286</v>
      </c>
      <c r="S133" s="32"/>
      <c r="T133" s="32"/>
      <c r="X133" s="3" t="s">
        <v>77</v>
      </c>
      <c r="Y133" s="3" t="s">
        <v>138</v>
      </c>
      <c r="Z133" s="3" t="s">
        <v>1415</v>
      </c>
      <c r="AA133" s="3" t="s">
        <v>1416</v>
      </c>
      <c r="AB133" s="3" t="s">
        <v>1417</v>
      </c>
      <c r="AC133" s="3" t="s">
        <v>1418</v>
      </c>
      <c r="AE133" s="3" t="s">
        <v>83</v>
      </c>
      <c r="AF133" s="3" t="s">
        <v>2525</v>
      </c>
      <c r="AG133" s="3" t="s">
        <v>2525</v>
      </c>
      <c r="AH133" s="3" t="s">
        <v>85</v>
      </c>
      <c r="AI133" s="3" t="s">
        <v>85</v>
      </c>
      <c r="AJ133" s="3" t="s">
        <v>84</v>
      </c>
      <c r="AK133" s="3" t="s">
        <v>2525</v>
      </c>
      <c r="AL133" s="3" t="s">
        <v>2525</v>
      </c>
      <c r="AM133" s="3" t="s">
        <v>2525</v>
      </c>
      <c r="AN133" s="3" t="s">
        <v>2525</v>
      </c>
      <c r="AO133" s="3" t="s">
        <v>2525</v>
      </c>
      <c r="AP133" s="3" t="s">
        <v>2525</v>
      </c>
      <c r="AR133" s="3" t="s">
        <v>2525</v>
      </c>
      <c r="AS133" s="3" t="s">
        <v>2525</v>
      </c>
      <c r="AT133" s="3" t="s">
        <v>84</v>
      </c>
      <c r="AU133" s="3" t="s">
        <v>2525</v>
      </c>
      <c r="AV133" s="3" t="s">
        <v>2525</v>
      </c>
      <c r="AW133" s="3" t="s">
        <v>2525</v>
      </c>
      <c r="AX133" s="3" t="s">
        <v>2525</v>
      </c>
      <c r="AY133" s="3" t="s">
        <v>2525</v>
      </c>
      <c r="AZ133" s="3" t="s">
        <v>2525</v>
      </c>
      <c r="BA133" s="3" t="s">
        <v>2525</v>
      </c>
      <c r="BB133" s="3" t="s">
        <v>2525</v>
      </c>
      <c r="BC133" s="3" t="s">
        <v>2525</v>
      </c>
      <c r="BD133" s="3" t="s">
        <v>2525</v>
      </c>
      <c r="BE133" s="3" t="s">
        <v>2525</v>
      </c>
      <c r="BF133" s="3" t="s">
        <v>2525</v>
      </c>
      <c r="BG133" s="3" t="s">
        <v>2525</v>
      </c>
      <c r="BH133" s="3" t="s">
        <v>2525</v>
      </c>
      <c r="BI133" s="3" t="s">
        <v>84</v>
      </c>
      <c r="BJ133" s="3" t="s">
        <v>2525</v>
      </c>
      <c r="BL133" s="3" t="s">
        <v>86</v>
      </c>
      <c r="BN133" s="3" t="s">
        <v>286</v>
      </c>
      <c r="BO133" s="3" t="s">
        <v>286</v>
      </c>
    </row>
    <row r="134">
      <c r="A134" s="3" t="s">
        <v>1420</v>
      </c>
      <c r="B134" s="3" t="s">
        <v>1421</v>
      </c>
      <c r="C134" s="3" t="s">
        <v>92</v>
      </c>
      <c r="I134" s="3">
        <v>25.0</v>
      </c>
      <c r="J134" s="3" t="s">
        <v>71</v>
      </c>
      <c r="K134" s="3" t="s">
        <v>72</v>
      </c>
      <c r="L134" s="3" t="s">
        <v>108</v>
      </c>
      <c r="M134" s="3" t="s">
        <v>44</v>
      </c>
      <c r="P134" s="3" t="s">
        <v>149</v>
      </c>
      <c r="Q134" s="32" t="s">
        <v>1420</v>
      </c>
      <c r="R134" s="32" t="s">
        <v>286</v>
      </c>
      <c r="S134" s="32"/>
      <c r="T134" s="32"/>
      <c r="Y134" s="3" t="s">
        <v>138</v>
      </c>
      <c r="Z134" s="3" t="s">
        <v>1422</v>
      </c>
      <c r="AA134" s="3" t="s">
        <v>1423</v>
      </c>
      <c r="AB134" s="3" t="s">
        <v>1424</v>
      </c>
      <c r="AC134" s="3" t="s">
        <v>1425</v>
      </c>
      <c r="AE134" s="3" t="s">
        <v>83</v>
      </c>
      <c r="AF134" s="3" t="s">
        <v>2525</v>
      </c>
      <c r="AG134" s="3" t="s">
        <v>2525</v>
      </c>
      <c r="AH134" s="3" t="s">
        <v>85</v>
      </c>
      <c r="AI134" s="3" t="s">
        <v>85</v>
      </c>
      <c r="AJ134" s="3" t="s">
        <v>84</v>
      </c>
      <c r="AK134" s="3" t="s">
        <v>2525</v>
      </c>
      <c r="AL134" s="3" t="s">
        <v>2525</v>
      </c>
      <c r="AM134" s="3" t="s">
        <v>2525</v>
      </c>
      <c r="AN134" s="3" t="s">
        <v>2525</v>
      </c>
      <c r="AO134" s="3" t="s">
        <v>2525</v>
      </c>
      <c r="AP134" s="3" t="s">
        <v>2525</v>
      </c>
      <c r="AR134" s="3" t="s">
        <v>2525</v>
      </c>
      <c r="AS134" s="3" t="s">
        <v>2525</v>
      </c>
      <c r="AT134" s="3" t="s">
        <v>84</v>
      </c>
      <c r="AU134" s="3" t="s">
        <v>2525</v>
      </c>
      <c r="AV134" s="3" t="s">
        <v>2525</v>
      </c>
      <c r="AW134" s="3" t="s">
        <v>2525</v>
      </c>
      <c r="AX134" s="3" t="s">
        <v>2525</v>
      </c>
      <c r="AY134" s="3" t="s">
        <v>2525</v>
      </c>
      <c r="AZ134" s="3" t="s">
        <v>2525</v>
      </c>
      <c r="BA134" s="3" t="s">
        <v>2525</v>
      </c>
      <c r="BB134" s="3" t="s">
        <v>2525</v>
      </c>
      <c r="BC134" s="3" t="s">
        <v>2525</v>
      </c>
      <c r="BD134" s="3" t="s">
        <v>2525</v>
      </c>
      <c r="BE134" s="3" t="s">
        <v>2525</v>
      </c>
      <c r="BF134" s="3" t="s">
        <v>2525</v>
      </c>
      <c r="BG134" s="3" t="s">
        <v>2525</v>
      </c>
      <c r="BH134" s="3" t="s">
        <v>2525</v>
      </c>
      <c r="BI134" s="3" t="s">
        <v>2525</v>
      </c>
      <c r="BJ134" s="3" t="s">
        <v>2525</v>
      </c>
      <c r="BL134" s="3" t="s">
        <v>2525</v>
      </c>
      <c r="BN134" s="3" t="s">
        <v>286</v>
      </c>
      <c r="BO134" s="3" t="s">
        <v>286</v>
      </c>
    </row>
    <row r="135">
      <c r="A135" s="3" t="s">
        <v>1427</v>
      </c>
      <c r="B135" s="3" t="s">
        <v>1428</v>
      </c>
      <c r="C135" s="3" t="s">
        <v>70</v>
      </c>
      <c r="I135" s="3">
        <v>25.0</v>
      </c>
      <c r="J135" s="3" t="s">
        <v>922</v>
      </c>
      <c r="K135" s="3" t="s">
        <v>72</v>
      </c>
      <c r="L135" s="3" t="s">
        <v>108</v>
      </c>
      <c r="M135" s="3" t="s">
        <v>44</v>
      </c>
      <c r="P135" s="3" t="s">
        <v>75</v>
      </c>
      <c r="Q135" s="32" t="s">
        <v>1427</v>
      </c>
      <c r="R135" s="32" t="s">
        <v>1429</v>
      </c>
      <c r="S135" s="32"/>
      <c r="T135" s="32"/>
      <c r="Y135" s="3" t="s">
        <v>78</v>
      </c>
      <c r="Z135" s="3" t="s">
        <v>1415</v>
      </c>
      <c r="AA135" s="3" t="s">
        <v>1430</v>
      </c>
      <c r="AB135" s="3" t="s">
        <v>1431</v>
      </c>
      <c r="AC135" s="3" t="s">
        <v>1432</v>
      </c>
      <c r="AE135" s="3" t="s">
        <v>83</v>
      </c>
      <c r="AF135" s="3" t="s">
        <v>84</v>
      </c>
      <c r="AG135" s="3" t="s">
        <v>84</v>
      </c>
      <c r="AH135" s="3" t="s">
        <v>85</v>
      </c>
      <c r="AI135" s="3" t="s">
        <v>85</v>
      </c>
      <c r="AJ135" s="3" t="s">
        <v>84</v>
      </c>
      <c r="AK135" s="3" t="s">
        <v>2525</v>
      </c>
      <c r="AL135" s="3" t="s">
        <v>2525</v>
      </c>
      <c r="AM135" s="3" t="s">
        <v>84</v>
      </c>
      <c r="AN135" s="3" t="s">
        <v>85</v>
      </c>
      <c r="AO135" s="3" t="s">
        <v>2525</v>
      </c>
      <c r="AP135" s="3" t="s">
        <v>2525</v>
      </c>
      <c r="AR135" s="3" t="s">
        <v>2525</v>
      </c>
      <c r="AS135" s="3" t="s">
        <v>85</v>
      </c>
      <c r="AT135" s="3" t="s">
        <v>84</v>
      </c>
      <c r="AU135" s="3" t="s">
        <v>85</v>
      </c>
      <c r="AV135" s="3" t="s">
        <v>2525</v>
      </c>
      <c r="AW135" s="3" t="s">
        <v>2525</v>
      </c>
      <c r="AX135" s="3" t="s">
        <v>2525</v>
      </c>
      <c r="AY135" s="3" t="s">
        <v>2525</v>
      </c>
      <c r="AZ135" s="3" t="s">
        <v>85</v>
      </c>
      <c r="BA135" s="3" t="s">
        <v>2525</v>
      </c>
      <c r="BB135" s="3" t="s">
        <v>2525</v>
      </c>
      <c r="BC135" s="3" t="s">
        <v>2525</v>
      </c>
      <c r="BD135" s="3" t="s">
        <v>2525</v>
      </c>
      <c r="BE135" s="3" t="s">
        <v>85</v>
      </c>
      <c r="BF135" s="3" t="s">
        <v>2525</v>
      </c>
      <c r="BG135" s="3" t="s">
        <v>2525</v>
      </c>
      <c r="BH135" s="3" t="s">
        <v>2525</v>
      </c>
      <c r="BI135" s="3" t="s">
        <v>2525</v>
      </c>
      <c r="BJ135" s="3" t="s">
        <v>2525</v>
      </c>
      <c r="BL135" s="3" t="s">
        <v>86</v>
      </c>
      <c r="BN135" s="3" t="s">
        <v>209</v>
      </c>
      <c r="BO135" s="3" t="s">
        <v>210</v>
      </c>
    </row>
    <row r="136">
      <c r="A136" s="3" t="s">
        <v>1434</v>
      </c>
      <c r="B136" s="3" t="s">
        <v>1435</v>
      </c>
      <c r="C136" s="3" t="s">
        <v>70</v>
      </c>
      <c r="I136" s="3">
        <v>15.0</v>
      </c>
      <c r="J136" s="3" t="s">
        <v>71</v>
      </c>
      <c r="K136" s="3" t="s">
        <v>72</v>
      </c>
      <c r="L136" s="3" t="s">
        <v>73</v>
      </c>
      <c r="M136" s="3" t="s">
        <v>37</v>
      </c>
      <c r="P136" s="3" t="s">
        <v>75</v>
      </c>
      <c r="Q136" s="32" t="s">
        <v>1434</v>
      </c>
      <c r="R136" s="32" t="s">
        <v>1436</v>
      </c>
      <c r="S136" s="32"/>
      <c r="T136" s="32"/>
      <c r="X136" s="3" t="s">
        <v>77</v>
      </c>
      <c r="Y136" s="3" t="s">
        <v>78</v>
      </c>
      <c r="Z136" s="3" t="s">
        <v>1422</v>
      </c>
      <c r="AA136" s="3" t="s">
        <v>1437</v>
      </c>
      <c r="AB136" s="3" t="s">
        <v>1438</v>
      </c>
      <c r="AC136" s="3" t="s">
        <v>1439</v>
      </c>
      <c r="AE136" s="3" t="s">
        <v>83</v>
      </c>
      <c r="AF136" s="3" t="s">
        <v>84</v>
      </c>
      <c r="AG136" s="3" t="s">
        <v>84</v>
      </c>
      <c r="AH136" s="3" t="s">
        <v>2525</v>
      </c>
      <c r="AI136" s="3" t="s">
        <v>2525</v>
      </c>
      <c r="AJ136" s="3" t="s">
        <v>2525</v>
      </c>
      <c r="AK136" s="3" t="s">
        <v>2525</v>
      </c>
      <c r="AL136" s="3" t="s">
        <v>84</v>
      </c>
      <c r="AM136" s="3" t="s">
        <v>2525</v>
      </c>
      <c r="AN136" s="3" t="s">
        <v>84</v>
      </c>
      <c r="AO136" s="3" t="s">
        <v>2525</v>
      </c>
      <c r="AP136" s="3" t="s">
        <v>2525</v>
      </c>
      <c r="AR136" s="3" t="s">
        <v>2525</v>
      </c>
      <c r="AS136" s="3" t="s">
        <v>2525</v>
      </c>
      <c r="AT136" s="3" t="s">
        <v>2525</v>
      </c>
      <c r="AU136" s="3" t="s">
        <v>2525</v>
      </c>
      <c r="AV136" s="3" t="s">
        <v>2525</v>
      </c>
      <c r="AW136" s="3" t="s">
        <v>2525</v>
      </c>
      <c r="AX136" s="3" t="s">
        <v>2525</v>
      </c>
      <c r="AY136" s="3" t="s">
        <v>85</v>
      </c>
      <c r="AZ136" s="3" t="s">
        <v>85</v>
      </c>
      <c r="BA136" s="3" t="s">
        <v>84</v>
      </c>
      <c r="BB136" s="3" t="s">
        <v>2525</v>
      </c>
      <c r="BC136" s="3" t="s">
        <v>2525</v>
      </c>
      <c r="BD136" s="3" t="s">
        <v>84</v>
      </c>
      <c r="BE136" s="3" t="s">
        <v>2525</v>
      </c>
      <c r="BF136" s="3" t="s">
        <v>2525</v>
      </c>
      <c r="BG136" s="3" t="s">
        <v>2525</v>
      </c>
      <c r="BH136" s="3" t="s">
        <v>2525</v>
      </c>
      <c r="BI136" s="3" t="s">
        <v>2525</v>
      </c>
      <c r="BJ136" s="3" t="s">
        <v>2525</v>
      </c>
      <c r="BK136" s="3" t="s">
        <v>86</v>
      </c>
      <c r="BL136" s="3" t="s">
        <v>86</v>
      </c>
      <c r="BN136" s="3" t="s">
        <v>1402</v>
      </c>
      <c r="BO136" s="3" t="s">
        <v>1440</v>
      </c>
    </row>
    <row r="137">
      <c r="A137" s="3" t="s">
        <v>1442</v>
      </c>
      <c r="B137" s="3" t="s">
        <v>1443</v>
      </c>
      <c r="C137" s="3" t="s">
        <v>70</v>
      </c>
      <c r="I137" s="3">
        <v>15.0</v>
      </c>
      <c r="J137" s="3" t="s">
        <v>71</v>
      </c>
      <c r="K137" s="3" t="s">
        <v>72</v>
      </c>
      <c r="L137" s="3" t="s">
        <v>73</v>
      </c>
      <c r="M137" s="3" t="s">
        <v>37</v>
      </c>
      <c r="P137" s="3" t="s">
        <v>75</v>
      </c>
      <c r="Q137" s="32" t="s">
        <v>1442</v>
      </c>
      <c r="R137" s="32" t="s">
        <v>1397</v>
      </c>
      <c r="S137" s="32"/>
      <c r="T137" s="32"/>
      <c r="X137" s="3" t="s">
        <v>77</v>
      </c>
      <c r="Y137" s="3" t="s">
        <v>78</v>
      </c>
      <c r="Z137" s="3" t="s">
        <v>1444</v>
      </c>
      <c r="AA137" s="3" t="s">
        <v>1445</v>
      </c>
      <c r="AB137" s="3" t="s">
        <v>1446</v>
      </c>
      <c r="AC137" s="3" t="s">
        <v>1447</v>
      </c>
      <c r="AE137" s="3" t="s">
        <v>83</v>
      </c>
      <c r="AF137" s="3" t="s">
        <v>84</v>
      </c>
      <c r="AG137" s="3" t="s">
        <v>84</v>
      </c>
      <c r="AH137" s="3" t="s">
        <v>2525</v>
      </c>
      <c r="AI137" s="3" t="s">
        <v>2525</v>
      </c>
      <c r="AJ137" s="3" t="s">
        <v>2525</v>
      </c>
      <c r="AK137" s="3" t="s">
        <v>2525</v>
      </c>
      <c r="AL137" s="3" t="s">
        <v>84</v>
      </c>
      <c r="AM137" s="3" t="s">
        <v>2525</v>
      </c>
      <c r="AN137" s="3" t="s">
        <v>84</v>
      </c>
      <c r="AO137" s="3" t="s">
        <v>2525</v>
      </c>
      <c r="AP137" s="3" t="s">
        <v>2525</v>
      </c>
      <c r="AR137" s="3" t="s">
        <v>2525</v>
      </c>
      <c r="AS137" s="3" t="s">
        <v>2525</v>
      </c>
      <c r="AT137" s="3" t="s">
        <v>2525</v>
      </c>
      <c r="AU137" s="3" t="s">
        <v>2525</v>
      </c>
      <c r="AV137" s="3" t="s">
        <v>2525</v>
      </c>
      <c r="AW137" s="3" t="s">
        <v>85</v>
      </c>
      <c r="AX137" s="3" t="s">
        <v>2525</v>
      </c>
      <c r="AY137" s="3" t="s">
        <v>85</v>
      </c>
      <c r="AZ137" s="3" t="s">
        <v>85</v>
      </c>
      <c r="BA137" s="3" t="s">
        <v>84</v>
      </c>
      <c r="BB137" s="3" t="s">
        <v>2525</v>
      </c>
      <c r="BC137" s="3" t="s">
        <v>2525</v>
      </c>
      <c r="BD137" s="3" t="s">
        <v>84</v>
      </c>
      <c r="BE137" s="3" t="s">
        <v>2525</v>
      </c>
      <c r="BF137" s="3" t="s">
        <v>2525</v>
      </c>
      <c r="BG137" s="3" t="s">
        <v>2525</v>
      </c>
      <c r="BH137" s="3" t="s">
        <v>2525</v>
      </c>
      <c r="BI137" s="3" t="s">
        <v>2525</v>
      </c>
      <c r="BJ137" s="3" t="s">
        <v>2525</v>
      </c>
      <c r="BK137" s="3" t="s">
        <v>86</v>
      </c>
      <c r="BL137" s="3" t="s">
        <v>86</v>
      </c>
      <c r="BN137" s="3" t="s">
        <v>1402</v>
      </c>
      <c r="BO137" s="3" t="s">
        <v>1403</v>
      </c>
    </row>
    <row r="138">
      <c r="A138" s="3" t="s">
        <v>1449</v>
      </c>
      <c r="B138" s="3" t="s">
        <v>1450</v>
      </c>
      <c r="C138" s="3" t="s">
        <v>92</v>
      </c>
      <c r="I138" s="3">
        <v>25.0</v>
      </c>
      <c r="J138" s="3" t="s">
        <v>1201</v>
      </c>
      <c r="K138" s="3" t="s">
        <v>72</v>
      </c>
      <c r="L138" s="3" t="s">
        <v>73</v>
      </c>
      <c r="M138" s="3" t="s">
        <v>43</v>
      </c>
      <c r="P138" s="3" t="s">
        <v>149</v>
      </c>
      <c r="Q138" s="32" t="s">
        <v>1449</v>
      </c>
      <c r="R138" s="32" t="s">
        <v>286</v>
      </c>
      <c r="S138" s="32"/>
      <c r="T138" s="32"/>
      <c r="X138" s="3" t="s">
        <v>77</v>
      </c>
      <c r="Y138" s="3" t="s">
        <v>138</v>
      </c>
      <c r="Z138" s="3" t="s">
        <v>1451</v>
      </c>
      <c r="AA138" s="3" t="s">
        <v>1452</v>
      </c>
      <c r="AB138" s="3" t="s">
        <v>1453</v>
      </c>
      <c r="AC138" s="3" t="s">
        <v>1454</v>
      </c>
      <c r="AE138" s="3" t="s">
        <v>83</v>
      </c>
      <c r="AF138" s="3" t="s">
        <v>2525</v>
      </c>
      <c r="AG138" s="3" t="s">
        <v>2525</v>
      </c>
      <c r="AH138" s="3" t="s">
        <v>2525</v>
      </c>
      <c r="AI138" s="3" t="s">
        <v>2525</v>
      </c>
      <c r="AJ138" s="3" t="s">
        <v>2525</v>
      </c>
      <c r="AK138" s="3" t="s">
        <v>2525</v>
      </c>
      <c r="AL138" s="3" t="s">
        <v>2525</v>
      </c>
      <c r="AM138" s="3" t="s">
        <v>2525</v>
      </c>
      <c r="AN138" s="3" t="s">
        <v>2525</v>
      </c>
      <c r="AO138" s="3" t="s">
        <v>2525</v>
      </c>
      <c r="AP138" s="3" t="s">
        <v>2525</v>
      </c>
      <c r="AR138" s="3" t="s">
        <v>2525</v>
      </c>
      <c r="AS138" s="3" t="s">
        <v>84</v>
      </c>
      <c r="AT138" s="3" t="s">
        <v>2525</v>
      </c>
      <c r="AU138" s="3" t="s">
        <v>2525</v>
      </c>
      <c r="AV138" s="3" t="s">
        <v>2525</v>
      </c>
      <c r="AW138" s="3" t="s">
        <v>2525</v>
      </c>
      <c r="AX138" s="3" t="s">
        <v>2525</v>
      </c>
      <c r="AY138" s="3" t="s">
        <v>2525</v>
      </c>
      <c r="AZ138" s="3" t="s">
        <v>2525</v>
      </c>
      <c r="BA138" s="3" t="s">
        <v>84</v>
      </c>
      <c r="BB138" s="3" t="s">
        <v>2525</v>
      </c>
      <c r="BC138" s="3" t="s">
        <v>2525</v>
      </c>
      <c r="BD138" s="3" t="s">
        <v>2525</v>
      </c>
      <c r="BE138" s="3" t="s">
        <v>2525</v>
      </c>
      <c r="BF138" s="3" t="s">
        <v>2525</v>
      </c>
      <c r="BG138" s="3" t="s">
        <v>2525</v>
      </c>
      <c r="BH138" s="3" t="s">
        <v>2525</v>
      </c>
      <c r="BI138" s="3" t="s">
        <v>2525</v>
      </c>
      <c r="BJ138" s="3" t="s">
        <v>2525</v>
      </c>
      <c r="BL138" s="3" t="s">
        <v>2525</v>
      </c>
      <c r="BN138" s="3" t="s">
        <v>286</v>
      </c>
      <c r="BO138" s="3" t="s">
        <v>286</v>
      </c>
    </row>
    <row r="139">
      <c r="A139" s="3" t="s">
        <v>1456</v>
      </c>
      <c r="B139" s="3" t="s">
        <v>1457</v>
      </c>
      <c r="C139" s="3" t="s">
        <v>70</v>
      </c>
      <c r="I139" s="3">
        <v>25.0</v>
      </c>
      <c r="J139" s="3" t="s">
        <v>71</v>
      </c>
      <c r="K139" s="3" t="s">
        <v>72</v>
      </c>
      <c r="L139" s="3" t="s">
        <v>108</v>
      </c>
      <c r="M139" s="3" t="s">
        <v>44</v>
      </c>
      <c r="P139" s="3" t="s">
        <v>136</v>
      </c>
      <c r="Q139" s="32" t="s">
        <v>1456</v>
      </c>
      <c r="R139" s="32" t="s">
        <v>286</v>
      </c>
      <c r="S139" s="32"/>
      <c r="T139" s="32"/>
      <c r="X139" s="3" t="s">
        <v>77</v>
      </c>
      <c r="Y139" s="3" t="s">
        <v>138</v>
      </c>
      <c r="Z139" s="3" t="s">
        <v>1458</v>
      </c>
      <c r="AA139" s="3" t="s">
        <v>1416</v>
      </c>
      <c r="AB139" s="3" t="s">
        <v>1459</v>
      </c>
      <c r="AC139" s="3" t="s">
        <v>1460</v>
      </c>
      <c r="AE139" s="3" t="s">
        <v>83</v>
      </c>
      <c r="AF139" s="3" t="s">
        <v>2525</v>
      </c>
      <c r="AG139" s="3" t="s">
        <v>2525</v>
      </c>
      <c r="AH139" s="3" t="s">
        <v>85</v>
      </c>
      <c r="AI139" s="3" t="s">
        <v>85</v>
      </c>
      <c r="AJ139" s="3" t="s">
        <v>84</v>
      </c>
      <c r="AK139" s="3" t="s">
        <v>2525</v>
      </c>
      <c r="AL139" s="3" t="s">
        <v>2525</v>
      </c>
      <c r="AM139" s="3" t="s">
        <v>2525</v>
      </c>
      <c r="AN139" s="3" t="s">
        <v>2525</v>
      </c>
      <c r="AO139" s="3" t="s">
        <v>2525</v>
      </c>
      <c r="AP139" s="3" t="s">
        <v>2525</v>
      </c>
      <c r="AR139" s="3" t="s">
        <v>2525</v>
      </c>
      <c r="AS139" s="3" t="s">
        <v>2525</v>
      </c>
      <c r="AT139" s="3" t="s">
        <v>84</v>
      </c>
      <c r="AU139" s="3" t="s">
        <v>2525</v>
      </c>
      <c r="AV139" s="3" t="s">
        <v>2525</v>
      </c>
      <c r="AW139" s="3" t="s">
        <v>2525</v>
      </c>
      <c r="AX139" s="3" t="s">
        <v>2525</v>
      </c>
      <c r="AY139" s="3" t="s">
        <v>2525</v>
      </c>
      <c r="AZ139" s="3" t="s">
        <v>2525</v>
      </c>
      <c r="BA139" s="3" t="s">
        <v>2525</v>
      </c>
      <c r="BB139" s="3" t="s">
        <v>2525</v>
      </c>
      <c r="BC139" s="3" t="s">
        <v>2525</v>
      </c>
      <c r="BD139" s="3" t="s">
        <v>2525</v>
      </c>
      <c r="BE139" s="3" t="s">
        <v>2525</v>
      </c>
      <c r="BF139" s="3" t="s">
        <v>2525</v>
      </c>
      <c r="BG139" s="3" t="s">
        <v>2525</v>
      </c>
      <c r="BH139" s="3" t="s">
        <v>2525</v>
      </c>
      <c r="BI139" s="3" t="s">
        <v>84</v>
      </c>
      <c r="BJ139" s="3" t="s">
        <v>2525</v>
      </c>
      <c r="BL139" s="3" t="s">
        <v>86</v>
      </c>
      <c r="BN139" s="3" t="s">
        <v>286</v>
      </c>
      <c r="BO139" s="3" t="s">
        <v>286</v>
      </c>
    </row>
    <row r="140">
      <c r="A140" s="3" t="s">
        <v>1462</v>
      </c>
      <c r="B140" s="3" t="s">
        <v>1463</v>
      </c>
      <c r="C140" s="3" t="s">
        <v>70</v>
      </c>
      <c r="I140" s="3">
        <v>15.0</v>
      </c>
      <c r="J140" s="3" t="s">
        <v>71</v>
      </c>
      <c r="K140" s="3" t="s">
        <v>72</v>
      </c>
      <c r="L140" s="3" t="s">
        <v>108</v>
      </c>
      <c r="M140" s="3" t="s">
        <v>109</v>
      </c>
      <c r="P140" s="3" t="s">
        <v>75</v>
      </c>
      <c r="Q140" s="32" t="s">
        <v>1462</v>
      </c>
      <c r="R140" s="32" t="s">
        <v>137</v>
      </c>
      <c r="S140" s="32"/>
      <c r="T140" s="32"/>
      <c r="X140" s="3" t="s">
        <v>77</v>
      </c>
      <c r="Y140" s="3" t="s">
        <v>78</v>
      </c>
      <c r="Z140" s="3" t="s">
        <v>1464</v>
      </c>
      <c r="AA140" s="3" t="s">
        <v>1465</v>
      </c>
      <c r="AB140" s="3" t="s">
        <v>1466</v>
      </c>
      <c r="AC140" s="3" t="s">
        <v>1467</v>
      </c>
      <c r="AE140" s="3" t="s">
        <v>83</v>
      </c>
      <c r="AF140" s="3" t="s">
        <v>2525</v>
      </c>
      <c r="AG140" s="3" t="s">
        <v>2525</v>
      </c>
      <c r="AH140" s="3" t="s">
        <v>2525</v>
      </c>
      <c r="AI140" s="3" t="s">
        <v>2525</v>
      </c>
      <c r="AJ140" s="3" t="s">
        <v>2525</v>
      </c>
      <c r="AK140" s="3" t="s">
        <v>2525</v>
      </c>
      <c r="AL140" s="3" t="s">
        <v>2525</v>
      </c>
      <c r="AM140" s="3" t="s">
        <v>2525</v>
      </c>
      <c r="AN140" s="3" t="s">
        <v>2525</v>
      </c>
      <c r="AO140" s="3" t="s">
        <v>2525</v>
      </c>
      <c r="AP140" s="3" t="s">
        <v>2525</v>
      </c>
      <c r="AR140" s="3" t="s">
        <v>84</v>
      </c>
      <c r="AS140" s="3" t="s">
        <v>2525</v>
      </c>
      <c r="AT140" s="3" t="s">
        <v>2525</v>
      </c>
      <c r="AU140" s="3" t="s">
        <v>2525</v>
      </c>
      <c r="AV140" s="3" t="s">
        <v>2525</v>
      </c>
      <c r="AW140" s="3" t="s">
        <v>2525</v>
      </c>
      <c r="AX140" s="3" t="s">
        <v>2525</v>
      </c>
      <c r="AY140" s="3" t="s">
        <v>2525</v>
      </c>
      <c r="AZ140" s="3" t="s">
        <v>2525</v>
      </c>
      <c r="BA140" s="3" t="s">
        <v>2525</v>
      </c>
      <c r="BB140" s="3" t="s">
        <v>2525</v>
      </c>
      <c r="BC140" s="3" t="s">
        <v>2525</v>
      </c>
      <c r="BD140" s="3" t="s">
        <v>2525</v>
      </c>
      <c r="BE140" s="3" t="s">
        <v>2525</v>
      </c>
      <c r="BF140" s="3" t="s">
        <v>85</v>
      </c>
      <c r="BG140" s="3" t="s">
        <v>2525</v>
      </c>
      <c r="BH140" s="3" t="s">
        <v>2525</v>
      </c>
      <c r="BI140" s="3" t="s">
        <v>2525</v>
      </c>
      <c r="BJ140" s="3" t="s">
        <v>2525</v>
      </c>
      <c r="BK140" s="3" t="s">
        <v>86</v>
      </c>
      <c r="BL140" s="3" t="s">
        <v>86</v>
      </c>
      <c r="BN140" s="3" t="s">
        <v>137</v>
      </c>
      <c r="BO140" s="3" t="s">
        <v>1468</v>
      </c>
    </row>
    <row r="141">
      <c r="A141" s="3" t="s">
        <v>1470</v>
      </c>
      <c r="B141" s="3" t="s">
        <v>1471</v>
      </c>
      <c r="C141" s="3" t="s">
        <v>70</v>
      </c>
      <c r="I141" s="3">
        <v>15.0</v>
      </c>
      <c r="J141" s="3" t="s">
        <v>71</v>
      </c>
      <c r="K141" s="3" t="s">
        <v>72</v>
      </c>
      <c r="L141" s="3" t="s">
        <v>108</v>
      </c>
      <c r="M141" s="3" t="s">
        <v>109</v>
      </c>
      <c r="P141" s="3" t="s">
        <v>75</v>
      </c>
      <c r="Q141" s="32" t="s">
        <v>1470</v>
      </c>
      <c r="R141" s="32" t="s">
        <v>137</v>
      </c>
      <c r="S141" s="32"/>
      <c r="T141" s="32"/>
      <c r="X141" s="3" t="s">
        <v>77</v>
      </c>
      <c r="Y141" s="3" t="s">
        <v>138</v>
      </c>
      <c r="Z141" s="3" t="s">
        <v>1472</v>
      </c>
      <c r="AA141" s="3" t="s">
        <v>1473</v>
      </c>
      <c r="AB141" s="3" t="s">
        <v>1474</v>
      </c>
      <c r="AC141" s="3" t="s">
        <v>1475</v>
      </c>
      <c r="AE141" s="3" t="s">
        <v>83</v>
      </c>
      <c r="AF141" s="3" t="s">
        <v>2525</v>
      </c>
      <c r="AG141" s="3" t="s">
        <v>2525</v>
      </c>
      <c r="AH141" s="3" t="s">
        <v>2525</v>
      </c>
      <c r="AI141" s="3" t="s">
        <v>2525</v>
      </c>
      <c r="AJ141" s="3" t="s">
        <v>2525</v>
      </c>
      <c r="AK141" s="3" t="s">
        <v>2525</v>
      </c>
      <c r="AL141" s="3" t="s">
        <v>2525</v>
      </c>
      <c r="AM141" s="3" t="s">
        <v>2525</v>
      </c>
      <c r="AN141" s="3" t="s">
        <v>2525</v>
      </c>
      <c r="AO141" s="3" t="s">
        <v>2525</v>
      </c>
      <c r="AP141" s="3" t="s">
        <v>2525</v>
      </c>
      <c r="AR141" s="3" t="s">
        <v>84</v>
      </c>
      <c r="AS141" s="3" t="s">
        <v>2525</v>
      </c>
      <c r="AT141" s="3" t="s">
        <v>2525</v>
      </c>
      <c r="AU141" s="3" t="s">
        <v>2525</v>
      </c>
      <c r="AV141" s="3" t="s">
        <v>2525</v>
      </c>
      <c r="AW141" s="3" t="s">
        <v>2525</v>
      </c>
      <c r="AX141" s="3" t="s">
        <v>2525</v>
      </c>
      <c r="AY141" s="3" t="s">
        <v>2525</v>
      </c>
      <c r="AZ141" s="3" t="s">
        <v>2525</v>
      </c>
      <c r="BA141" s="3" t="s">
        <v>2525</v>
      </c>
      <c r="BB141" s="3" t="s">
        <v>2525</v>
      </c>
      <c r="BC141" s="3" t="s">
        <v>2525</v>
      </c>
      <c r="BD141" s="3" t="s">
        <v>2525</v>
      </c>
      <c r="BE141" s="3" t="s">
        <v>2525</v>
      </c>
      <c r="BF141" s="3" t="s">
        <v>85</v>
      </c>
      <c r="BG141" s="3" t="s">
        <v>2525</v>
      </c>
      <c r="BH141" s="3" t="s">
        <v>2525</v>
      </c>
      <c r="BI141" s="3" t="s">
        <v>2525</v>
      </c>
      <c r="BJ141" s="3" t="s">
        <v>2525</v>
      </c>
      <c r="BK141" s="3" t="s">
        <v>86</v>
      </c>
      <c r="BL141" s="3" t="s">
        <v>86</v>
      </c>
      <c r="BN141" s="3" t="s">
        <v>137</v>
      </c>
      <c r="BO141" s="3" t="s">
        <v>1468</v>
      </c>
    </row>
    <row r="142">
      <c r="A142" s="3" t="s">
        <v>1477</v>
      </c>
      <c r="B142" s="3" t="s">
        <v>1478</v>
      </c>
      <c r="C142" s="3" t="s">
        <v>70</v>
      </c>
      <c r="I142" s="3">
        <v>15.0</v>
      </c>
      <c r="J142" s="3" t="s">
        <v>71</v>
      </c>
      <c r="K142" s="3" t="s">
        <v>72</v>
      </c>
      <c r="L142" s="3" t="s">
        <v>108</v>
      </c>
      <c r="M142" s="3" t="s">
        <v>109</v>
      </c>
      <c r="P142" s="3" t="s">
        <v>75</v>
      </c>
      <c r="Q142" s="32" t="s">
        <v>1477</v>
      </c>
      <c r="R142" s="32" t="s">
        <v>1479</v>
      </c>
      <c r="S142" s="32"/>
      <c r="T142" s="32"/>
      <c r="X142" s="3" t="s">
        <v>77</v>
      </c>
      <c r="Y142" s="3" t="s">
        <v>78</v>
      </c>
      <c r="Z142" s="3" t="s">
        <v>1464</v>
      </c>
      <c r="AA142" s="3" t="s">
        <v>1480</v>
      </c>
      <c r="AB142" s="3" t="s">
        <v>1481</v>
      </c>
      <c r="AC142" s="3" t="s">
        <v>1482</v>
      </c>
      <c r="AE142" s="3" t="s">
        <v>83</v>
      </c>
      <c r="AF142" s="3" t="s">
        <v>2525</v>
      </c>
      <c r="AG142" s="3" t="s">
        <v>2525</v>
      </c>
      <c r="AH142" s="3" t="s">
        <v>84</v>
      </c>
      <c r="AI142" s="3" t="s">
        <v>84</v>
      </c>
      <c r="AJ142" s="3" t="s">
        <v>2525</v>
      </c>
      <c r="AK142" s="3" t="s">
        <v>2525</v>
      </c>
      <c r="AL142" s="3" t="s">
        <v>2525</v>
      </c>
      <c r="AM142" s="3" t="s">
        <v>2525</v>
      </c>
      <c r="AN142" s="3" t="s">
        <v>2525</v>
      </c>
      <c r="AO142" s="3" t="s">
        <v>2525</v>
      </c>
      <c r="AP142" s="3" t="s">
        <v>2525</v>
      </c>
      <c r="AR142" s="3" t="s">
        <v>2525</v>
      </c>
      <c r="AS142" s="3" t="s">
        <v>2525</v>
      </c>
      <c r="AT142" s="3" t="s">
        <v>2525</v>
      </c>
      <c r="AU142" s="3" t="s">
        <v>2525</v>
      </c>
      <c r="AV142" s="3" t="s">
        <v>2525</v>
      </c>
      <c r="AW142" s="3" t="s">
        <v>2525</v>
      </c>
      <c r="AX142" s="3" t="s">
        <v>2525</v>
      </c>
      <c r="AY142" s="3" t="s">
        <v>2525</v>
      </c>
      <c r="AZ142" s="3" t="s">
        <v>2525</v>
      </c>
      <c r="BA142" s="3" t="s">
        <v>2525</v>
      </c>
      <c r="BB142" s="3" t="s">
        <v>2525</v>
      </c>
      <c r="BC142" s="3" t="s">
        <v>2525</v>
      </c>
      <c r="BD142" s="3" t="s">
        <v>2525</v>
      </c>
      <c r="BE142" s="3" t="s">
        <v>85</v>
      </c>
      <c r="BF142" s="3" t="s">
        <v>2525</v>
      </c>
      <c r="BG142" s="3" t="s">
        <v>2525</v>
      </c>
      <c r="BH142" s="3" t="s">
        <v>2525</v>
      </c>
      <c r="BI142" s="3" t="s">
        <v>2525</v>
      </c>
      <c r="BJ142" s="3" t="s">
        <v>2525</v>
      </c>
      <c r="BK142" s="3" t="s">
        <v>86</v>
      </c>
      <c r="BL142" s="3" t="s">
        <v>86</v>
      </c>
      <c r="BN142" s="3" t="s">
        <v>1483</v>
      </c>
      <c r="BO142" s="3" t="s">
        <v>1484</v>
      </c>
    </row>
    <row r="143">
      <c r="A143" s="3" t="s">
        <v>1486</v>
      </c>
      <c r="B143" s="3" t="s">
        <v>1487</v>
      </c>
      <c r="C143" s="3" t="s">
        <v>70</v>
      </c>
      <c r="I143" s="3">
        <v>15.0</v>
      </c>
      <c r="J143" s="3" t="s">
        <v>452</v>
      </c>
      <c r="K143" s="3" t="s">
        <v>72</v>
      </c>
      <c r="L143" s="3" t="s">
        <v>108</v>
      </c>
      <c r="M143" s="3" t="s">
        <v>109</v>
      </c>
      <c r="P143" s="3" t="s">
        <v>149</v>
      </c>
      <c r="Q143" s="32" t="s">
        <v>1486</v>
      </c>
      <c r="R143" s="32" t="s">
        <v>670</v>
      </c>
      <c r="S143" s="32"/>
      <c r="T143" s="32"/>
      <c r="X143" s="3" t="s">
        <v>77</v>
      </c>
      <c r="Y143" s="3" t="s">
        <v>138</v>
      </c>
      <c r="Z143" s="3" t="s">
        <v>1488</v>
      </c>
      <c r="AA143" s="3" t="s">
        <v>1489</v>
      </c>
      <c r="AB143" s="3" t="s">
        <v>1490</v>
      </c>
      <c r="AC143" s="3" t="s">
        <v>1491</v>
      </c>
      <c r="AE143" s="3" t="s">
        <v>83</v>
      </c>
      <c r="AF143" s="3" t="s">
        <v>2525</v>
      </c>
      <c r="AG143" s="3" t="s">
        <v>2525</v>
      </c>
      <c r="AH143" s="3" t="s">
        <v>84</v>
      </c>
      <c r="AI143" s="3" t="s">
        <v>84</v>
      </c>
      <c r="AJ143" s="3" t="s">
        <v>84</v>
      </c>
      <c r="AK143" s="3" t="s">
        <v>2525</v>
      </c>
      <c r="AL143" s="3" t="s">
        <v>2525</v>
      </c>
      <c r="AM143" s="3" t="s">
        <v>84</v>
      </c>
      <c r="AN143" s="3" t="s">
        <v>84</v>
      </c>
      <c r="AO143" s="3" t="s">
        <v>2525</v>
      </c>
      <c r="AP143" s="3" t="s">
        <v>2525</v>
      </c>
      <c r="AR143" s="3" t="s">
        <v>2525</v>
      </c>
      <c r="AS143" s="3" t="s">
        <v>84</v>
      </c>
      <c r="AT143" s="3" t="s">
        <v>84</v>
      </c>
      <c r="AU143" s="3" t="s">
        <v>2525</v>
      </c>
      <c r="AV143" s="3" t="s">
        <v>2525</v>
      </c>
      <c r="AW143" s="3" t="s">
        <v>2525</v>
      </c>
      <c r="AX143" s="3" t="s">
        <v>2525</v>
      </c>
      <c r="AY143" s="3" t="s">
        <v>2525</v>
      </c>
      <c r="AZ143" s="3" t="s">
        <v>2525</v>
      </c>
      <c r="BA143" s="3" t="s">
        <v>2525</v>
      </c>
      <c r="BB143" s="3" t="s">
        <v>2525</v>
      </c>
      <c r="BC143" s="3" t="s">
        <v>2525</v>
      </c>
      <c r="BD143" s="3" t="s">
        <v>2525</v>
      </c>
      <c r="BE143" s="3" t="s">
        <v>84</v>
      </c>
      <c r="BF143" s="3" t="s">
        <v>2525</v>
      </c>
      <c r="BG143" s="3" t="s">
        <v>2525</v>
      </c>
      <c r="BH143" s="3" t="s">
        <v>84</v>
      </c>
      <c r="BI143" s="3" t="s">
        <v>2525</v>
      </c>
      <c r="BJ143" s="3" t="s">
        <v>2525</v>
      </c>
      <c r="BK143" s="3" t="s">
        <v>86</v>
      </c>
      <c r="BL143" s="3" t="s">
        <v>86</v>
      </c>
      <c r="BN143" s="3" t="s">
        <v>675</v>
      </c>
      <c r="BO143" s="3" t="s">
        <v>1039</v>
      </c>
    </row>
    <row r="144">
      <c r="A144" s="3" t="s">
        <v>1493</v>
      </c>
      <c r="B144" s="3" t="s">
        <v>1494</v>
      </c>
      <c r="C144" s="3" t="s">
        <v>70</v>
      </c>
      <c r="I144" s="3">
        <v>14.0</v>
      </c>
      <c r="J144" s="3" t="s">
        <v>71</v>
      </c>
      <c r="K144" s="3" t="s">
        <v>72</v>
      </c>
      <c r="L144" s="3" t="s">
        <v>108</v>
      </c>
      <c r="M144" s="3" t="s">
        <v>109</v>
      </c>
      <c r="P144" s="3" t="s">
        <v>149</v>
      </c>
      <c r="Q144" s="32" t="s">
        <v>1493</v>
      </c>
      <c r="R144" s="32" t="s">
        <v>670</v>
      </c>
      <c r="S144" s="32"/>
      <c r="T144" s="32"/>
      <c r="X144" s="3" t="s">
        <v>77</v>
      </c>
      <c r="Y144" s="3" t="s">
        <v>138</v>
      </c>
      <c r="Z144" s="3" t="s">
        <v>1495</v>
      </c>
      <c r="AA144" s="3" t="s">
        <v>1496</v>
      </c>
      <c r="AB144" s="3" t="s">
        <v>1497</v>
      </c>
      <c r="AC144" s="3" t="s">
        <v>1498</v>
      </c>
      <c r="AE144" s="3" t="s">
        <v>83</v>
      </c>
      <c r="AF144" s="3" t="s">
        <v>2525</v>
      </c>
      <c r="AG144" s="3" t="s">
        <v>2525</v>
      </c>
      <c r="AH144" s="3" t="s">
        <v>84</v>
      </c>
      <c r="AI144" s="3" t="s">
        <v>84</v>
      </c>
      <c r="AJ144" s="3" t="s">
        <v>84</v>
      </c>
      <c r="AK144" s="3" t="s">
        <v>2525</v>
      </c>
      <c r="AL144" s="3" t="s">
        <v>2525</v>
      </c>
      <c r="AM144" s="3" t="s">
        <v>2525</v>
      </c>
      <c r="AN144" s="3" t="s">
        <v>85</v>
      </c>
      <c r="AO144" s="3" t="s">
        <v>2525</v>
      </c>
      <c r="AP144" s="3" t="s">
        <v>2525</v>
      </c>
      <c r="AR144" s="3" t="s">
        <v>2525</v>
      </c>
      <c r="AS144" s="3" t="s">
        <v>85</v>
      </c>
      <c r="AT144" s="3" t="s">
        <v>84</v>
      </c>
      <c r="AU144" s="3" t="s">
        <v>2525</v>
      </c>
      <c r="AV144" s="3" t="s">
        <v>2525</v>
      </c>
      <c r="AW144" s="3" t="s">
        <v>2525</v>
      </c>
      <c r="AX144" s="3" t="s">
        <v>2525</v>
      </c>
      <c r="AY144" s="3" t="s">
        <v>2525</v>
      </c>
      <c r="AZ144" s="3" t="s">
        <v>2525</v>
      </c>
      <c r="BA144" s="3" t="s">
        <v>2525</v>
      </c>
      <c r="BB144" s="3" t="s">
        <v>2525</v>
      </c>
      <c r="BC144" s="3" t="s">
        <v>2525</v>
      </c>
      <c r="BD144" s="3" t="s">
        <v>2525</v>
      </c>
      <c r="BE144" s="3" t="s">
        <v>85</v>
      </c>
      <c r="BF144" s="3" t="s">
        <v>2525</v>
      </c>
      <c r="BG144" s="3" t="s">
        <v>2525</v>
      </c>
      <c r="BH144" s="3" t="s">
        <v>84</v>
      </c>
      <c r="BI144" s="3" t="s">
        <v>2525</v>
      </c>
      <c r="BJ144" s="3" t="s">
        <v>2525</v>
      </c>
      <c r="BK144" s="3" t="s">
        <v>86</v>
      </c>
      <c r="BL144" s="3" t="s">
        <v>86</v>
      </c>
      <c r="BN144" s="3" t="s">
        <v>675</v>
      </c>
      <c r="BO144" s="3" t="s">
        <v>1039</v>
      </c>
    </row>
    <row r="145">
      <c r="A145" s="3" t="s">
        <v>1500</v>
      </c>
      <c r="B145" s="3" t="s">
        <v>1501</v>
      </c>
      <c r="C145" s="3" t="s">
        <v>70</v>
      </c>
      <c r="I145" s="3">
        <v>15.0</v>
      </c>
      <c r="J145" s="3" t="s">
        <v>71</v>
      </c>
      <c r="K145" s="3" t="s">
        <v>72</v>
      </c>
      <c r="L145" s="3" t="s">
        <v>108</v>
      </c>
      <c r="M145" s="3" t="s">
        <v>109</v>
      </c>
      <c r="P145" s="3" t="s">
        <v>75</v>
      </c>
      <c r="Q145" s="32" t="s">
        <v>1500</v>
      </c>
      <c r="R145" s="32" t="s">
        <v>1502</v>
      </c>
      <c r="S145" s="32"/>
      <c r="T145" s="32"/>
      <c r="X145" s="3" t="s">
        <v>77</v>
      </c>
      <c r="Y145" s="3" t="s">
        <v>138</v>
      </c>
      <c r="Z145" s="3" t="s">
        <v>1503</v>
      </c>
      <c r="AA145" s="3" t="s">
        <v>1504</v>
      </c>
      <c r="AB145" s="3" t="s">
        <v>1505</v>
      </c>
      <c r="AC145" s="3" t="s">
        <v>1506</v>
      </c>
      <c r="AE145" s="3" t="s">
        <v>83</v>
      </c>
      <c r="AF145" s="3" t="s">
        <v>2525</v>
      </c>
      <c r="AG145" s="3" t="s">
        <v>2525</v>
      </c>
      <c r="AH145" s="3" t="s">
        <v>84</v>
      </c>
      <c r="AI145" s="3" t="s">
        <v>84</v>
      </c>
      <c r="AJ145" s="3" t="s">
        <v>85</v>
      </c>
      <c r="AK145" s="3" t="s">
        <v>2525</v>
      </c>
      <c r="AL145" s="3" t="s">
        <v>2525</v>
      </c>
      <c r="AM145" s="3" t="s">
        <v>2525</v>
      </c>
      <c r="AN145" s="3" t="s">
        <v>2525</v>
      </c>
      <c r="AO145" s="3" t="s">
        <v>2525</v>
      </c>
      <c r="AP145" s="3" t="s">
        <v>2525</v>
      </c>
      <c r="AR145" s="3" t="s">
        <v>2525</v>
      </c>
      <c r="AS145" s="3" t="s">
        <v>2525</v>
      </c>
      <c r="AT145" s="3" t="s">
        <v>2525</v>
      </c>
      <c r="AU145" s="3" t="s">
        <v>2525</v>
      </c>
      <c r="AV145" s="3" t="s">
        <v>2525</v>
      </c>
      <c r="AW145" s="3" t="s">
        <v>2525</v>
      </c>
      <c r="AX145" s="3" t="s">
        <v>2525</v>
      </c>
      <c r="AY145" s="3" t="s">
        <v>2525</v>
      </c>
      <c r="AZ145" s="3" t="s">
        <v>2525</v>
      </c>
      <c r="BA145" s="3" t="s">
        <v>2525</v>
      </c>
      <c r="BB145" s="3" t="s">
        <v>2525</v>
      </c>
      <c r="BC145" s="3" t="s">
        <v>2525</v>
      </c>
      <c r="BD145" s="3" t="s">
        <v>2525</v>
      </c>
      <c r="BE145" s="3" t="s">
        <v>84</v>
      </c>
      <c r="BF145" s="3" t="s">
        <v>2525</v>
      </c>
      <c r="BG145" s="3" t="s">
        <v>2525</v>
      </c>
      <c r="BH145" s="3" t="s">
        <v>2525</v>
      </c>
      <c r="BI145" s="3" t="s">
        <v>2525</v>
      </c>
      <c r="BJ145" s="3" t="s">
        <v>2525</v>
      </c>
      <c r="BK145" s="3" t="s">
        <v>86</v>
      </c>
      <c r="BL145" s="3" t="s">
        <v>86</v>
      </c>
      <c r="BN145" s="3" t="s">
        <v>1507</v>
      </c>
      <c r="BO145" s="3" t="s">
        <v>1508</v>
      </c>
    </row>
    <row r="146">
      <c r="A146" s="3" t="s">
        <v>1510</v>
      </c>
      <c r="B146" s="3" t="s">
        <v>1511</v>
      </c>
      <c r="C146" s="3" t="s">
        <v>92</v>
      </c>
      <c r="D146" s="3" t="s">
        <v>1512</v>
      </c>
      <c r="I146" s="3">
        <v>26.0</v>
      </c>
      <c r="J146" s="3" t="s">
        <v>1513</v>
      </c>
      <c r="K146" s="3" t="s">
        <v>72</v>
      </c>
      <c r="L146" s="3" t="s">
        <v>108</v>
      </c>
      <c r="M146" s="3" t="s">
        <v>109</v>
      </c>
      <c r="N146" s="3">
        <v>-3.912363067292645</v>
      </c>
      <c r="P146" s="3" t="s">
        <v>260</v>
      </c>
      <c r="Q146" s="32" t="s">
        <v>1510</v>
      </c>
      <c r="R146" s="32" t="s">
        <v>824</v>
      </c>
      <c r="S146" s="32"/>
      <c r="T146" s="32"/>
      <c r="X146" s="3" t="s">
        <v>77</v>
      </c>
      <c r="Y146" s="3" t="s">
        <v>78</v>
      </c>
      <c r="Z146" s="3" t="s">
        <v>825</v>
      </c>
      <c r="AA146" s="3" t="s">
        <v>1514</v>
      </c>
      <c r="AB146" s="3" t="s">
        <v>1515</v>
      </c>
      <c r="AC146" s="3" t="s">
        <v>1516</v>
      </c>
      <c r="AE146" s="3" t="s">
        <v>83</v>
      </c>
      <c r="AF146" s="3" t="s">
        <v>84</v>
      </c>
      <c r="AG146" s="3" t="s">
        <v>2525</v>
      </c>
      <c r="AH146" s="3" t="s">
        <v>84</v>
      </c>
      <c r="AI146" s="3" t="s">
        <v>84</v>
      </c>
      <c r="AJ146" s="3" t="s">
        <v>84</v>
      </c>
      <c r="AK146" s="3" t="s">
        <v>2525</v>
      </c>
      <c r="AL146" s="3" t="s">
        <v>2525</v>
      </c>
      <c r="AM146" s="3" t="s">
        <v>85</v>
      </c>
      <c r="AN146" s="3" t="s">
        <v>2525</v>
      </c>
      <c r="AO146" s="3" t="s">
        <v>2525</v>
      </c>
      <c r="AP146" s="3" t="s">
        <v>85</v>
      </c>
      <c r="AR146" s="3" t="s">
        <v>2525</v>
      </c>
      <c r="AS146" s="3" t="s">
        <v>85</v>
      </c>
      <c r="AT146" s="3" t="s">
        <v>85</v>
      </c>
      <c r="AU146" s="3" t="s">
        <v>2525</v>
      </c>
      <c r="AV146" s="3" t="s">
        <v>2525</v>
      </c>
      <c r="AW146" s="3" t="s">
        <v>2525</v>
      </c>
      <c r="AX146" s="3" t="s">
        <v>2525</v>
      </c>
      <c r="AY146" s="3" t="s">
        <v>2525</v>
      </c>
      <c r="AZ146" s="3" t="s">
        <v>85</v>
      </c>
      <c r="BA146" s="3" t="s">
        <v>85</v>
      </c>
      <c r="BB146" s="3" t="s">
        <v>2525</v>
      </c>
      <c r="BC146" s="3" t="s">
        <v>2525</v>
      </c>
      <c r="BD146" s="3" t="s">
        <v>2525</v>
      </c>
      <c r="BE146" s="3" t="s">
        <v>2525</v>
      </c>
      <c r="BF146" s="3" t="s">
        <v>2525</v>
      </c>
      <c r="BG146" s="3" t="s">
        <v>2525</v>
      </c>
      <c r="BH146" s="3" t="s">
        <v>2525</v>
      </c>
      <c r="BI146" s="3" t="s">
        <v>84</v>
      </c>
      <c r="BJ146" s="3" t="s">
        <v>2525</v>
      </c>
      <c r="BK146" s="3" t="s">
        <v>86</v>
      </c>
      <c r="BL146" s="3" t="s">
        <v>2525</v>
      </c>
      <c r="BN146" s="3" t="s">
        <v>829</v>
      </c>
      <c r="BO146" s="3" t="s">
        <v>1517</v>
      </c>
    </row>
    <row r="147">
      <c r="A147" s="3" t="s">
        <v>1519</v>
      </c>
      <c r="B147" s="3" t="s">
        <v>1520</v>
      </c>
      <c r="C147" s="3" t="s">
        <v>70</v>
      </c>
      <c r="I147" s="3">
        <v>15.0</v>
      </c>
      <c r="J147" s="3" t="s">
        <v>71</v>
      </c>
      <c r="K147" s="3" t="s">
        <v>72</v>
      </c>
      <c r="L147" s="3" t="s">
        <v>73</v>
      </c>
      <c r="M147" s="3" t="s">
        <v>36</v>
      </c>
      <c r="P147" s="3" t="s">
        <v>75</v>
      </c>
      <c r="Q147" s="32" t="s">
        <v>1519</v>
      </c>
      <c r="R147" s="32" t="s">
        <v>1521</v>
      </c>
      <c r="S147" s="32"/>
      <c r="T147" s="32"/>
      <c r="X147" s="3" t="s">
        <v>77</v>
      </c>
      <c r="Y147" s="3" t="s">
        <v>78</v>
      </c>
      <c r="Z147" s="3" t="s">
        <v>1522</v>
      </c>
      <c r="AA147" s="3" t="s">
        <v>1523</v>
      </c>
      <c r="AB147" s="3" t="s">
        <v>1524</v>
      </c>
      <c r="AC147" s="3" t="s">
        <v>1525</v>
      </c>
      <c r="AE147" s="3" t="s">
        <v>83</v>
      </c>
      <c r="AF147" s="3" t="s">
        <v>85</v>
      </c>
      <c r="AG147" s="3" t="s">
        <v>85</v>
      </c>
      <c r="AH147" s="3" t="s">
        <v>2525</v>
      </c>
      <c r="AI147" s="3" t="s">
        <v>2525</v>
      </c>
      <c r="AJ147" s="3" t="s">
        <v>2525</v>
      </c>
      <c r="AK147" s="3" t="s">
        <v>84</v>
      </c>
      <c r="AL147" s="3" t="s">
        <v>2525</v>
      </c>
      <c r="AM147" s="3" t="s">
        <v>2525</v>
      </c>
      <c r="AN147" s="3" t="s">
        <v>2525</v>
      </c>
      <c r="AO147" s="3" t="s">
        <v>2525</v>
      </c>
      <c r="AP147" s="3" t="s">
        <v>2525</v>
      </c>
      <c r="AR147" s="3" t="s">
        <v>2525</v>
      </c>
      <c r="AS147" s="3" t="s">
        <v>2525</v>
      </c>
      <c r="AT147" s="3" t="s">
        <v>2525</v>
      </c>
      <c r="AU147" s="3" t="s">
        <v>2525</v>
      </c>
      <c r="AV147" s="3" t="s">
        <v>2525</v>
      </c>
      <c r="AW147" s="3" t="s">
        <v>2525</v>
      </c>
      <c r="AX147" s="3" t="s">
        <v>2525</v>
      </c>
      <c r="AY147" s="3" t="s">
        <v>2525</v>
      </c>
      <c r="AZ147" s="3" t="s">
        <v>2525</v>
      </c>
      <c r="BA147" s="3" t="s">
        <v>85</v>
      </c>
      <c r="BB147" s="3" t="s">
        <v>2525</v>
      </c>
      <c r="BC147" s="3" t="s">
        <v>2525</v>
      </c>
      <c r="BD147" s="3" t="s">
        <v>85</v>
      </c>
      <c r="BE147" s="3" t="s">
        <v>2525</v>
      </c>
      <c r="BF147" s="3" t="s">
        <v>2525</v>
      </c>
      <c r="BG147" s="3" t="s">
        <v>2525</v>
      </c>
      <c r="BH147" s="3" t="s">
        <v>2525</v>
      </c>
      <c r="BI147" s="3" t="s">
        <v>2525</v>
      </c>
      <c r="BJ147" s="3" t="s">
        <v>84</v>
      </c>
      <c r="BK147" s="3" t="s">
        <v>86</v>
      </c>
      <c r="BL147" s="3" t="s">
        <v>86</v>
      </c>
      <c r="BN147" s="3" t="s">
        <v>137</v>
      </c>
      <c r="BO147" s="3" t="s">
        <v>1277</v>
      </c>
    </row>
    <row r="148">
      <c r="A148" s="3" t="s">
        <v>1527</v>
      </c>
      <c r="B148" s="3" t="s">
        <v>1528</v>
      </c>
      <c r="C148" s="3" t="s">
        <v>70</v>
      </c>
      <c r="D148" s="3" t="s">
        <v>1512</v>
      </c>
      <c r="I148" s="3">
        <v>15.0</v>
      </c>
      <c r="J148" s="3" t="s">
        <v>71</v>
      </c>
      <c r="K148" s="3" t="s">
        <v>72</v>
      </c>
      <c r="L148" s="3" t="s">
        <v>73</v>
      </c>
      <c r="M148" s="3" t="s">
        <v>47</v>
      </c>
      <c r="N148" s="3">
        <v>-3.912363067292645</v>
      </c>
      <c r="P148" s="3" t="s">
        <v>75</v>
      </c>
      <c r="Q148" s="32" t="s">
        <v>1527</v>
      </c>
      <c r="R148" s="32" t="s">
        <v>137</v>
      </c>
      <c r="S148" s="32"/>
      <c r="T148" s="32"/>
      <c r="X148" s="3" t="s">
        <v>77</v>
      </c>
      <c r="Y148" s="3" t="s">
        <v>138</v>
      </c>
      <c r="Z148" s="3" t="s">
        <v>1529</v>
      </c>
      <c r="AA148" s="3" t="s">
        <v>1530</v>
      </c>
      <c r="AB148" s="3" t="s">
        <v>1531</v>
      </c>
      <c r="AC148" s="3" t="s">
        <v>1532</v>
      </c>
      <c r="AE148" s="3" t="s">
        <v>83</v>
      </c>
      <c r="AF148" s="3" t="s">
        <v>2525</v>
      </c>
      <c r="AG148" s="3" t="s">
        <v>2525</v>
      </c>
      <c r="AH148" s="3" t="s">
        <v>2525</v>
      </c>
      <c r="AI148" s="3" t="s">
        <v>2525</v>
      </c>
      <c r="AJ148" s="3" t="s">
        <v>2525</v>
      </c>
      <c r="AK148" s="3" t="s">
        <v>2525</v>
      </c>
      <c r="AL148" s="3" t="s">
        <v>2525</v>
      </c>
      <c r="AM148" s="3" t="s">
        <v>2525</v>
      </c>
      <c r="AN148" s="3" t="s">
        <v>2525</v>
      </c>
      <c r="AO148" s="3" t="s">
        <v>84</v>
      </c>
      <c r="AP148" s="3" t="s">
        <v>2525</v>
      </c>
      <c r="AR148" s="3" t="s">
        <v>2525</v>
      </c>
      <c r="AS148" s="3" t="s">
        <v>2525</v>
      </c>
      <c r="AT148" s="3" t="s">
        <v>2525</v>
      </c>
      <c r="AU148" s="3" t="s">
        <v>2525</v>
      </c>
      <c r="AV148" s="3" t="s">
        <v>84</v>
      </c>
      <c r="AW148" s="3" t="s">
        <v>2525</v>
      </c>
      <c r="AX148" s="3" t="s">
        <v>2525</v>
      </c>
      <c r="AY148" s="3" t="s">
        <v>2525</v>
      </c>
      <c r="AZ148" s="3" t="s">
        <v>2525</v>
      </c>
      <c r="BA148" s="3" t="s">
        <v>2525</v>
      </c>
      <c r="BB148" s="3" t="s">
        <v>2525</v>
      </c>
      <c r="BC148" s="3" t="s">
        <v>2525</v>
      </c>
      <c r="BD148" s="3" t="s">
        <v>2525</v>
      </c>
      <c r="BE148" s="3" t="s">
        <v>2525</v>
      </c>
      <c r="BF148" s="3" t="s">
        <v>2525</v>
      </c>
      <c r="BG148" s="3" t="s">
        <v>2525</v>
      </c>
      <c r="BH148" s="3" t="s">
        <v>2525</v>
      </c>
      <c r="BI148" s="3" t="s">
        <v>2525</v>
      </c>
      <c r="BJ148" s="3" t="s">
        <v>2525</v>
      </c>
      <c r="BK148" s="3" t="s">
        <v>86</v>
      </c>
      <c r="BL148" s="3" t="s">
        <v>86</v>
      </c>
      <c r="BN148" s="3" t="s">
        <v>398</v>
      </c>
      <c r="BO148" s="3" t="s">
        <v>1533</v>
      </c>
    </row>
    <row r="149">
      <c r="A149" s="3" t="s">
        <v>1535</v>
      </c>
      <c r="B149" s="3" t="s">
        <v>1536</v>
      </c>
      <c r="C149" s="3" t="s">
        <v>70</v>
      </c>
      <c r="I149" s="3">
        <v>15.0</v>
      </c>
      <c r="J149" s="3" t="s">
        <v>94</v>
      </c>
      <c r="K149" s="3" t="s">
        <v>72</v>
      </c>
      <c r="L149" s="3" t="s">
        <v>108</v>
      </c>
      <c r="M149" s="3" t="s">
        <v>109</v>
      </c>
      <c r="P149" s="3" t="s">
        <v>75</v>
      </c>
      <c r="Q149" s="32" t="s">
        <v>1535</v>
      </c>
      <c r="R149" s="32" t="s">
        <v>1537</v>
      </c>
      <c r="S149" s="32"/>
      <c r="T149" s="32"/>
      <c r="X149" s="3" t="s">
        <v>77</v>
      </c>
      <c r="Y149" s="3" t="s">
        <v>78</v>
      </c>
      <c r="Z149" s="3" t="s">
        <v>1522</v>
      </c>
      <c r="AA149" s="3" t="s">
        <v>1538</v>
      </c>
      <c r="AB149" s="3" t="s">
        <v>1539</v>
      </c>
      <c r="AC149" s="3" t="s">
        <v>1540</v>
      </c>
      <c r="AE149" s="3" t="s">
        <v>83</v>
      </c>
      <c r="AF149" s="3" t="s">
        <v>2525</v>
      </c>
      <c r="AG149" s="3" t="s">
        <v>2525</v>
      </c>
      <c r="AH149" s="3" t="s">
        <v>84</v>
      </c>
      <c r="AI149" s="3" t="s">
        <v>84</v>
      </c>
      <c r="AJ149" s="3" t="s">
        <v>2525</v>
      </c>
      <c r="AK149" s="3" t="s">
        <v>2525</v>
      </c>
      <c r="AL149" s="3" t="s">
        <v>2525</v>
      </c>
      <c r="AM149" s="3" t="s">
        <v>2525</v>
      </c>
      <c r="AN149" s="3" t="s">
        <v>2525</v>
      </c>
      <c r="AO149" s="3" t="s">
        <v>84</v>
      </c>
      <c r="AP149" s="3" t="s">
        <v>2525</v>
      </c>
      <c r="AR149" s="3" t="s">
        <v>2525</v>
      </c>
      <c r="AS149" s="3" t="s">
        <v>2525</v>
      </c>
      <c r="AT149" s="3" t="s">
        <v>2525</v>
      </c>
      <c r="AU149" s="3" t="s">
        <v>2525</v>
      </c>
      <c r="AV149" s="3" t="s">
        <v>84</v>
      </c>
      <c r="AW149" s="3" t="s">
        <v>2525</v>
      </c>
      <c r="AX149" s="3" t="s">
        <v>2525</v>
      </c>
      <c r="AY149" s="3" t="s">
        <v>2525</v>
      </c>
      <c r="AZ149" s="3" t="s">
        <v>2525</v>
      </c>
      <c r="BA149" s="3" t="s">
        <v>2525</v>
      </c>
      <c r="BB149" s="3" t="s">
        <v>2525</v>
      </c>
      <c r="BC149" s="3" t="s">
        <v>2525</v>
      </c>
      <c r="BD149" s="3" t="s">
        <v>84</v>
      </c>
      <c r="BE149" s="3" t="s">
        <v>84</v>
      </c>
      <c r="BF149" s="3" t="s">
        <v>2525</v>
      </c>
      <c r="BG149" s="3" t="s">
        <v>2525</v>
      </c>
      <c r="BH149" s="3" t="s">
        <v>2525</v>
      </c>
      <c r="BI149" s="3" t="s">
        <v>2525</v>
      </c>
      <c r="BJ149" s="3" t="s">
        <v>2525</v>
      </c>
      <c r="BK149" s="3" t="s">
        <v>86</v>
      </c>
      <c r="BL149" s="3" t="s">
        <v>86</v>
      </c>
      <c r="BN149" s="3" t="s">
        <v>1541</v>
      </c>
      <c r="BO149" s="3" t="s">
        <v>1542</v>
      </c>
    </row>
    <row r="150">
      <c r="A150" s="3" t="s">
        <v>1544</v>
      </c>
      <c r="B150" s="3" t="s">
        <v>1545</v>
      </c>
      <c r="C150" s="3" t="s">
        <v>92</v>
      </c>
      <c r="D150" s="3" t="s">
        <v>1546</v>
      </c>
      <c r="I150" s="3">
        <v>43.0</v>
      </c>
      <c r="J150" s="3" t="s">
        <v>190</v>
      </c>
      <c r="K150" s="3" t="s">
        <v>72</v>
      </c>
      <c r="L150" s="3" t="s">
        <v>73</v>
      </c>
      <c r="M150" s="3" t="s">
        <v>39</v>
      </c>
      <c r="N150" s="3">
        <v>-23.618090452261306</v>
      </c>
      <c r="P150" s="3" t="s">
        <v>75</v>
      </c>
      <c r="Q150" s="32" t="s">
        <v>1544</v>
      </c>
      <c r="R150" s="32" t="s">
        <v>1547</v>
      </c>
      <c r="S150" s="32"/>
      <c r="T150" s="32"/>
      <c r="W150" s="3" t="s">
        <v>858</v>
      </c>
      <c r="X150" s="3" t="s">
        <v>77</v>
      </c>
      <c r="Y150" s="3" t="s">
        <v>78</v>
      </c>
      <c r="Z150" s="3" t="s">
        <v>1548</v>
      </c>
      <c r="AA150" s="3" t="s">
        <v>1549</v>
      </c>
      <c r="AB150" s="3" t="s">
        <v>1550</v>
      </c>
      <c r="AC150" s="3" t="s">
        <v>1551</v>
      </c>
      <c r="AE150" s="3" t="s">
        <v>83</v>
      </c>
      <c r="AF150" s="3" t="s">
        <v>84</v>
      </c>
      <c r="AG150" s="3" t="s">
        <v>84</v>
      </c>
      <c r="AH150" s="3" t="s">
        <v>2525</v>
      </c>
      <c r="AI150" s="3" t="s">
        <v>2525</v>
      </c>
      <c r="AJ150" s="3" t="s">
        <v>84</v>
      </c>
      <c r="AK150" s="3" t="s">
        <v>2525</v>
      </c>
      <c r="AL150" s="3" t="s">
        <v>2525</v>
      </c>
      <c r="AM150" s="3" t="s">
        <v>84</v>
      </c>
      <c r="AN150" s="3" t="s">
        <v>84</v>
      </c>
      <c r="AO150" s="3" t="s">
        <v>2525</v>
      </c>
      <c r="AP150" s="3" t="s">
        <v>2525</v>
      </c>
      <c r="AR150" s="3" t="s">
        <v>2525</v>
      </c>
      <c r="AS150" s="3" t="s">
        <v>85</v>
      </c>
      <c r="AT150" s="3" t="s">
        <v>2525</v>
      </c>
      <c r="AU150" s="3" t="s">
        <v>129</v>
      </c>
      <c r="AV150" s="3" t="s">
        <v>2525</v>
      </c>
      <c r="AW150" s="3" t="s">
        <v>2525</v>
      </c>
      <c r="AX150" s="3" t="s">
        <v>2525</v>
      </c>
      <c r="AY150" s="3" t="s">
        <v>2525</v>
      </c>
      <c r="AZ150" s="3" t="s">
        <v>85</v>
      </c>
      <c r="BA150" s="3" t="s">
        <v>2525</v>
      </c>
      <c r="BB150" s="3" t="s">
        <v>2525</v>
      </c>
      <c r="BC150" s="3" t="s">
        <v>2525</v>
      </c>
      <c r="BD150" s="3" t="s">
        <v>85</v>
      </c>
      <c r="BE150" s="3" t="s">
        <v>2525</v>
      </c>
      <c r="BF150" s="3" t="s">
        <v>2525</v>
      </c>
      <c r="BG150" s="3" t="s">
        <v>2525</v>
      </c>
      <c r="BH150" s="3" t="s">
        <v>2525</v>
      </c>
      <c r="BI150" s="3" t="s">
        <v>2525</v>
      </c>
      <c r="BJ150" s="3" t="s">
        <v>2525</v>
      </c>
      <c r="BK150" s="3" t="s">
        <v>86</v>
      </c>
      <c r="BL150" s="3" t="s">
        <v>2525</v>
      </c>
      <c r="BN150" s="3" t="s">
        <v>1552</v>
      </c>
      <c r="BO150" s="3" t="s">
        <v>1553</v>
      </c>
    </row>
    <row r="151">
      <c r="A151" s="3" t="s">
        <v>1555</v>
      </c>
      <c r="B151" s="3" t="s">
        <v>1556</v>
      </c>
      <c r="C151" s="3" t="s">
        <v>92</v>
      </c>
      <c r="D151" s="3" t="s">
        <v>1557</v>
      </c>
      <c r="I151" s="3">
        <v>27.0</v>
      </c>
      <c r="J151" s="3" t="s">
        <v>1558</v>
      </c>
      <c r="K151" s="3" t="s">
        <v>72</v>
      </c>
      <c r="L151" s="3" t="s">
        <v>48</v>
      </c>
      <c r="M151" s="3" t="s">
        <v>1559</v>
      </c>
      <c r="N151" s="3">
        <v>-4.166666666666666</v>
      </c>
      <c r="P151" s="3" t="s">
        <v>260</v>
      </c>
      <c r="Q151" s="32" t="s">
        <v>1555</v>
      </c>
      <c r="R151" s="32" t="s">
        <v>1537</v>
      </c>
      <c r="S151" s="32"/>
      <c r="T151" s="32"/>
      <c r="W151" s="3" t="s">
        <v>316</v>
      </c>
      <c r="X151" s="3" t="s">
        <v>77</v>
      </c>
      <c r="Y151" s="3" t="s">
        <v>138</v>
      </c>
      <c r="Z151" s="3" t="s">
        <v>1560</v>
      </c>
      <c r="AA151" s="3" t="s">
        <v>1561</v>
      </c>
      <c r="AB151" s="3" t="s">
        <v>1562</v>
      </c>
      <c r="AC151" s="3" t="s">
        <v>1563</v>
      </c>
      <c r="AE151" s="3" t="s">
        <v>83</v>
      </c>
      <c r="AF151" s="3" t="s">
        <v>2525</v>
      </c>
      <c r="AG151" s="3" t="s">
        <v>2525</v>
      </c>
      <c r="AH151" s="3" t="s">
        <v>2525</v>
      </c>
      <c r="AI151" s="3" t="s">
        <v>2525</v>
      </c>
      <c r="AJ151" s="3" t="s">
        <v>2525</v>
      </c>
      <c r="AK151" s="3" t="s">
        <v>2525</v>
      </c>
      <c r="AL151" s="3" t="s">
        <v>2525</v>
      </c>
      <c r="AM151" s="3" t="s">
        <v>2525</v>
      </c>
      <c r="AN151" s="3" t="s">
        <v>2525</v>
      </c>
      <c r="AO151" s="3" t="s">
        <v>2525</v>
      </c>
      <c r="AP151" s="3" t="s">
        <v>2525</v>
      </c>
      <c r="AR151" s="3" t="s">
        <v>2525</v>
      </c>
      <c r="AS151" s="3" t="s">
        <v>2525</v>
      </c>
      <c r="AT151" s="3" t="s">
        <v>2525</v>
      </c>
      <c r="AU151" s="3" t="s">
        <v>2525</v>
      </c>
      <c r="AV151" s="3" t="s">
        <v>84</v>
      </c>
      <c r="AW151" s="3" t="s">
        <v>2525</v>
      </c>
      <c r="AX151" s="3" t="s">
        <v>129</v>
      </c>
      <c r="AY151" s="3" t="s">
        <v>2525</v>
      </c>
      <c r="AZ151" s="3" t="s">
        <v>2525</v>
      </c>
      <c r="BA151" s="3" t="s">
        <v>2525</v>
      </c>
      <c r="BB151" s="3" t="s">
        <v>2525</v>
      </c>
      <c r="BC151" s="3" t="s">
        <v>2525</v>
      </c>
      <c r="BD151" s="3" t="s">
        <v>2525</v>
      </c>
      <c r="BE151" s="3" t="s">
        <v>2525</v>
      </c>
      <c r="BF151" s="3" t="s">
        <v>2525</v>
      </c>
      <c r="BG151" s="3" t="s">
        <v>2525</v>
      </c>
      <c r="BH151" s="3" t="s">
        <v>2525</v>
      </c>
      <c r="BI151" s="3" t="s">
        <v>84</v>
      </c>
      <c r="BJ151" s="3" t="s">
        <v>2525</v>
      </c>
      <c r="BL151" s="3" t="s">
        <v>2525</v>
      </c>
      <c r="BN151" s="3" t="s">
        <v>1541</v>
      </c>
      <c r="BO151" s="3" t="s">
        <v>1542</v>
      </c>
    </row>
    <row r="152">
      <c r="A152" s="3" t="s">
        <v>1565</v>
      </c>
      <c r="B152" s="3" t="s">
        <v>1566</v>
      </c>
      <c r="C152" s="3" t="s">
        <v>92</v>
      </c>
      <c r="D152" s="3" t="s">
        <v>1567</v>
      </c>
      <c r="I152" s="3">
        <v>39.0</v>
      </c>
      <c r="J152" s="3" t="s">
        <v>562</v>
      </c>
      <c r="K152" s="3" t="s">
        <v>72</v>
      </c>
      <c r="L152" s="3" t="s">
        <v>2525</v>
      </c>
      <c r="M152" s="3" t="s">
        <v>235</v>
      </c>
      <c r="N152" s="3">
        <v>-13.740458015267176</v>
      </c>
      <c r="P152" s="3" t="s">
        <v>75</v>
      </c>
      <c r="Q152" s="32" t="s">
        <v>1565</v>
      </c>
      <c r="R152" s="32" t="s">
        <v>1568</v>
      </c>
      <c r="S152" s="32"/>
      <c r="T152" s="32"/>
      <c r="W152" s="3" t="s">
        <v>858</v>
      </c>
      <c r="X152" s="3" t="s">
        <v>77</v>
      </c>
      <c r="Y152" s="3" t="s">
        <v>78</v>
      </c>
      <c r="Z152" s="3" t="s">
        <v>1548</v>
      </c>
      <c r="AA152" s="3" t="s">
        <v>1569</v>
      </c>
      <c r="AB152" s="3" t="s">
        <v>1570</v>
      </c>
      <c r="AC152" s="3" t="s">
        <v>1571</v>
      </c>
      <c r="AE152" s="3" t="s">
        <v>83</v>
      </c>
      <c r="AF152" s="3" t="s">
        <v>2525</v>
      </c>
      <c r="AG152" s="3" t="s">
        <v>2525</v>
      </c>
      <c r="AH152" s="3" t="s">
        <v>85</v>
      </c>
      <c r="AI152" s="3" t="s">
        <v>2525</v>
      </c>
      <c r="AJ152" s="3" t="s">
        <v>2525</v>
      </c>
      <c r="AK152" s="3" t="s">
        <v>2525</v>
      </c>
      <c r="AL152" s="3" t="s">
        <v>2525</v>
      </c>
      <c r="AM152" s="3" t="s">
        <v>2525</v>
      </c>
      <c r="AN152" s="3" t="s">
        <v>2525</v>
      </c>
      <c r="AO152" s="3" t="s">
        <v>2525</v>
      </c>
      <c r="AP152" s="3" t="s">
        <v>2525</v>
      </c>
      <c r="AR152" s="3" t="s">
        <v>85</v>
      </c>
      <c r="AS152" s="3" t="s">
        <v>2525</v>
      </c>
      <c r="AT152" s="3" t="s">
        <v>2525</v>
      </c>
      <c r="AU152" s="3" t="s">
        <v>2525</v>
      </c>
      <c r="AV152" s="3" t="s">
        <v>2525</v>
      </c>
      <c r="AW152" s="3" t="s">
        <v>2525</v>
      </c>
      <c r="AX152" s="3" t="s">
        <v>2525</v>
      </c>
      <c r="AY152" s="3" t="s">
        <v>2525</v>
      </c>
      <c r="AZ152" s="3" t="s">
        <v>2525</v>
      </c>
      <c r="BA152" s="3" t="s">
        <v>2525</v>
      </c>
      <c r="BB152" s="3" t="s">
        <v>2525</v>
      </c>
      <c r="BC152" s="3" t="s">
        <v>2525</v>
      </c>
      <c r="BD152" s="3" t="s">
        <v>2525</v>
      </c>
      <c r="BE152" s="3" t="s">
        <v>2525</v>
      </c>
      <c r="BF152" s="3" t="s">
        <v>84</v>
      </c>
      <c r="BG152" s="3" t="s">
        <v>2525</v>
      </c>
      <c r="BH152" s="3" t="s">
        <v>2525</v>
      </c>
      <c r="BI152" s="3" t="s">
        <v>2525</v>
      </c>
      <c r="BJ152" s="3" t="s">
        <v>2525</v>
      </c>
      <c r="BL152" s="3" t="s">
        <v>2525</v>
      </c>
      <c r="BN152" s="3" t="s">
        <v>1572</v>
      </c>
      <c r="BO152" s="3" t="s">
        <v>1573</v>
      </c>
    </row>
    <row r="153">
      <c r="A153" s="3" t="s">
        <v>1575</v>
      </c>
      <c r="B153" s="3" t="s">
        <v>1576</v>
      </c>
      <c r="C153" s="3" t="s">
        <v>92</v>
      </c>
      <c r="D153" s="3" t="s">
        <v>1577</v>
      </c>
      <c r="I153" s="3">
        <v>33.0</v>
      </c>
      <c r="J153" s="3" t="s">
        <v>71</v>
      </c>
      <c r="K153" s="3" t="s">
        <v>72</v>
      </c>
      <c r="L153" s="3" t="s">
        <v>73</v>
      </c>
      <c r="M153" s="3" t="s">
        <v>43</v>
      </c>
      <c r="N153" s="3">
        <v>-4.166666666666666</v>
      </c>
      <c r="P153" s="3" t="s">
        <v>149</v>
      </c>
      <c r="Q153" s="32" t="s">
        <v>1575</v>
      </c>
      <c r="R153" s="32"/>
      <c r="S153" s="32"/>
      <c r="T153" s="32"/>
      <c r="W153" s="3" t="s">
        <v>1578</v>
      </c>
      <c r="Y153" s="3" t="s">
        <v>138</v>
      </c>
      <c r="Z153" s="3" t="s">
        <v>1579</v>
      </c>
      <c r="AA153" s="3" t="s">
        <v>1580</v>
      </c>
      <c r="AB153" s="3" t="s">
        <v>1581</v>
      </c>
      <c r="AC153" s="3" t="s">
        <v>1582</v>
      </c>
      <c r="AE153" s="3" t="s">
        <v>83</v>
      </c>
      <c r="AF153" s="3" t="s">
        <v>2525</v>
      </c>
      <c r="AG153" s="3" t="s">
        <v>2525</v>
      </c>
      <c r="AH153" s="3" t="s">
        <v>2525</v>
      </c>
      <c r="AI153" s="3" t="s">
        <v>2525</v>
      </c>
      <c r="AJ153" s="3" t="s">
        <v>2525</v>
      </c>
      <c r="AK153" s="3" t="s">
        <v>2525</v>
      </c>
      <c r="AL153" s="3" t="s">
        <v>2525</v>
      </c>
      <c r="AM153" s="3" t="s">
        <v>2525</v>
      </c>
      <c r="AN153" s="3" t="s">
        <v>2525</v>
      </c>
      <c r="AO153" s="3" t="s">
        <v>2525</v>
      </c>
      <c r="AP153" s="3" t="s">
        <v>2525</v>
      </c>
      <c r="AR153" s="3" t="s">
        <v>2525</v>
      </c>
      <c r="AS153" s="3" t="s">
        <v>85</v>
      </c>
      <c r="AT153" s="3" t="s">
        <v>2525</v>
      </c>
      <c r="AU153" s="3" t="s">
        <v>2525</v>
      </c>
      <c r="AV153" s="3" t="s">
        <v>2525</v>
      </c>
      <c r="AW153" s="3" t="s">
        <v>2525</v>
      </c>
      <c r="AX153" s="3" t="s">
        <v>2525</v>
      </c>
      <c r="AY153" s="3" t="s">
        <v>2525</v>
      </c>
      <c r="AZ153" s="3" t="s">
        <v>2525</v>
      </c>
      <c r="BA153" s="3" t="s">
        <v>2525</v>
      </c>
      <c r="BB153" s="3" t="s">
        <v>2525</v>
      </c>
      <c r="BC153" s="3" t="s">
        <v>2525</v>
      </c>
      <c r="BD153" s="3" t="s">
        <v>2525</v>
      </c>
      <c r="BE153" s="3" t="s">
        <v>2525</v>
      </c>
      <c r="BF153" s="3" t="s">
        <v>2525</v>
      </c>
      <c r="BG153" s="3" t="s">
        <v>2525</v>
      </c>
      <c r="BH153" s="3" t="s">
        <v>2525</v>
      </c>
      <c r="BI153" s="3" t="s">
        <v>85</v>
      </c>
      <c r="BJ153" s="3" t="s">
        <v>2525</v>
      </c>
      <c r="BL153" s="3" t="s">
        <v>2525</v>
      </c>
    </row>
    <row r="154">
      <c r="A154" s="3" t="s">
        <v>1584</v>
      </c>
      <c r="B154" s="3" t="s">
        <v>1585</v>
      </c>
      <c r="C154" s="3" t="s">
        <v>92</v>
      </c>
      <c r="D154" s="3" t="s">
        <v>1586</v>
      </c>
      <c r="I154" s="3">
        <v>50.0</v>
      </c>
      <c r="J154" s="3" t="s">
        <v>71</v>
      </c>
      <c r="K154" s="3" t="s">
        <v>72</v>
      </c>
      <c r="L154" s="3" t="s">
        <v>73</v>
      </c>
      <c r="M154" s="3" t="s">
        <v>1281</v>
      </c>
      <c r="N154" s="3">
        <v>-13.740458015267176</v>
      </c>
      <c r="P154" s="3" t="s">
        <v>149</v>
      </c>
      <c r="Q154" s="32" t="s">
        <v>1584</v>
      </c>
      <c r="R154" s="32" t="s">
        <v>1568</v>
      </c>
      <c r="S154" s="32"/>
      <c r="T154" s="32"/>
      <c r="Y154" s="3" t="s">
        <v>138</v>
      </c>
      <c r="Z154" s="3" t="s">
        <v>1587</v>
      </c>
      <c r="AA154" s="3" t="s">
        <v>1588</v>
      </c>
      <c r="AB154" s="3" t="s">
        <v>1589</v>
      </c>
      <c r="AC154" s="3" t="s">
        <v>1590</v>
      </c>
      <c r="AE154" s="3" t="s">
        <v>83</v>
      </c>
      <c r="AF154" s="3" t="s">
        <v>2525</v>
      </c>
      <c r="AG154" s="3" t="s">
        <v>2525</v>
      </c>
      <c r="AH154" s="3" t="s">
        <v>2525</v>
      </c>
      <c r="AI154" s="3" t="s">
        <v>2525</v>
      </c>
      <c r="AJ154" s="3" t="s">
        <v>2525</v>
      </c>
      <c r="AK154" s="3" t="s">
        <v>2525</v>
      </c>
      <c r="AL154" s="3" t="s">
        <v>2525</v>
      </c>
      <c r="AM154" s="3" t="s">
        <v>2525</v>
      </c>
      <c r="AN154" s="3" t="s">
        <v>2525</v>
      </c>
      <c r="AO154" s="3" t="s">
        <v>2525</v>
      </c>
      <c r="AP154" s="3" t="s">
        <v>85</v>
      </c>
      <c r="AR154" s="3" t="s">
        <v>2525</v>
      </c>
      <c r="AS154" s="3" t="s">
        <v>2525</v>
      </c>
      <c r="AT154" s="3" t="s">
        <v>2525</v>
      </c>
      <c r="AU154" s="3" t="s">
        <v>2525</v>
      </c>
      <c r="AV154" s="3" t="s">
        <v>2525</v>
      </c>
      <c r="AW154" s="3" t="s">
        <v>2525</v>
      </c>
      <c r="AX154" s="3" t="s">
        <v>2525</v>
      </c>
      <c r="AY154" s="3" t="s">
        <v>2525</v>
      </c>
      <c r="AZ154" s="3" t="s">
        <v>2525</v>
      </c>
      <c r="BA154" s="3" t="s">
        <v>85</v>
      </c>
      <c r="BB154" s="3" t="s">
        <v>2525</v>
      </c>
      <c r="BC154" s="3" t="s">
        <v>2525</v>
      </c>
      <c r="BD154" s="3" t="s">
        <v>2525</v>
      </c>
      <c r="BE154" s="3" t="s">
        <v>2525</v>
      </c>
      <c r="BF154" s="3" t="s">
        <v>2525</v>
      </c>
      <c r="BG154" s="3" t="s">
        <v>2525</v>
      </c>
      <c r="BH154" s="3" t="s">
        <v>2525</v>
      </c>
      <c r="BI154" s="3" t="s">
        <v>2525</v>
      </c>
      <c r="BJ154" s="3" t="s">
        <v>85</v>
      </c>
      <c r="BL154" s="3" t="s">
        <v>2525</v>
      </c>
      <c r="BN154" s="3" t="s">
        <v>1591</v>
      </c>
      <c r="BO154" s="3" t="s">
        <v>1573</v>
      </c>
    </row>
    <row r="155">
      <c r="A155" s="3" t="s">
        <v>1593</v>
      </c>
      <c r="B155" s="3" t="s">
        <v>1594</v>
      </c>
      <c r="C155" s="3" t="s">
        <v>92</v>
      </c>
      <c r="D155" s="3" t="s">
        <v>1595</v>
      </c>
      <c r="I155" s="3">
        <v>38.0</v>
      </c>
      <c r="J155" s="3" t="s">
        <v>71</v>
      </c>
      <c r="K155" s="3" t="s">
        <v>72</v>
      </c>
      <c r="L155" s="3" t="s">
        <v>73</v>
      </c>
      <c r="M155" s="3" t="s">
        <v>43</v>
      </c>
      <c r="P155" s="3" t="s">
        <v>149</v>
      </c>
      <c r="Q155" s="32" t="s">
        <v>1593</v>
      </c>
      <c r="R155" s="32" t="s">
        <v>137</v>
      </c>
      <c r="S155" s="32"/>
      <c r="T155" s="32"/>
      <c r="W155" s="3" t="s">
        <v>858</v>
      </c>
      <c r="Y155" s="3" t="s">
        <v>78</v>
      </c>
      <c r="Z155" s="3" t="s">
        <v>1596</v>
      </c>
      <c r="AA155" s="3" t="s">
        <v>1597</v>
      </c>
      <c r="AB155" s="3" t="s">
        <v>1598</v>
      </c>
      <c r="AC155" s="3" t="s">
        <v>1599</v>
      </c>
      <c r="AE155" s="3" t="s">
        <v>83</v>
      </c>
      <c r="AF155" s="3" t="s">
        <v>2525</v>
      </c>
      <c r="AG155" s="3" t="s">
        <v>2525</v>
      </c>
      <c r="AH155" s="3" t="s">
        <v>2525</v>
      </c>
      <c r="AI155" s="3" t="s">
        <v>2525</v>
      </c>
      <c r="AJ155" s="3" t="s">
        <v>2525</v>
      </c>
      <c r="AK155" s="3" t="s">
        <v>2525</v>
      </c>
      <c r="AL155" s="3" t="s">
        <v>2525</v>
      </c>
      <c r="AM155" s="3" t="s">
        <v>2525</v>
      </c>
      <c r="AN155" s="3" t="s">
        <v>2525</v>
      </c>
      <c r="AO155" s="3" t="s">
        <v>2525</v>
      </c>
      <c r="AP155" s="3" t="s">
        <v>2525</v>
      </c>
      <c r="AR155" s="3" t="s">
        <v>2525</v>
      </c>
      <c r="AS155" s="3" t="s">
        <v>2525</v>
      </c>
      <c r="AT155" s="3" t="s">
        <v>85</v>
      </c>
      <c r="AU155" s="3" t="s">
        <v>2525</v>
      </c>
      <c r="AV155" s="3" t="s">
        <v>2525</v>
      </c>
      <c r="AW155" s="3" t="s">
        <v>84</v>
      </c>
      <c r="AX155" s="3" t="s">
        <v>2525</v>
      </c>
      <c r="AY155" s="3" t="s">
        <v>2525</v>
      </c>
      <c r="AZ155" s="3" t="s">
        <v>2525</v>
      </c>
      <c r="BA155" s="3" t="s">
        <v>2525</v>
      </c>
      <c r="BB155" s="3" t="s">
        <v>2525</v>
      </c>
      <c r="BC155" s="3" t="s">
        <v>2525</v>
      </c>
      <c r="BD155" s="3" t="s">
        <v>2525</v>
      </c>
      <c r="BE155" s="3" t="s">
        <v>2525</v>
      </c>
      <c r="BF155" s="3" t="s">
        <v>2525</v>
      </c>
      <c r="BG155" s="3" t="s">
        <v>2525</v>
      </c>
      <c r="BH155" s="3" t="s">
        <v>2525</v>
      </c>
      <c r="BI155" s="3" t="s">
        <v>2525</v>
      </c>
      <c r="BJ155" s="3" t="s">
        <v>2525</v>
      </c>
      <c r="BL155" s="3" t="s">
        <v>2525</v>
      </c>
      <c r="BN155" s="3" t="s">
        <v>137</v>
      </c>
      <c r="BO155" s="3" t="s">
        <v>137</v>
      </c>
    </row>
    <row r="156">
      <c r="A156" s="3" t="s">
        <v>1601</v>
      </c>
      <c r="B156" s="3" t="s">
        <v>1602</v>
      </c>
      <c r="C156" s="3" t="s">
        <v>92</v>
      </c>
      <c r="D156" s="3" t="s">
        <v>1603</v>
      </c>
      <c r="I156" s="3">
        <v>35.0</v>
      </c>
      <c r="J156" s="3" t="s">
        <v>1604</v>
      </c>
      <c r="K156" s="3" t="s">
        <v>72</v>
      </c>
      <c r="L156" s="3" t="s">
        <v>108</v>
      </c>
      <c r="M156" s="3" t="s">
        <v>109</v>
      </c>
      <c r="N156" s="3">
        <v>-14.85148514851485</v>
      </c>
      <c r="P156" s="3" t="s">
        <v>75</v>
      </c>
      <c r="Q156" s="32" t="s">
        <v>1601</v>
      </c>
      <c r="R156" s="32" t="s">
        <v>1605</v>
      </c>
      <c r="S156" s="32"/>
      <c r="T156" s="32"/>
      <c r="X156" s="3" t="s">
        <v>77</v>
      </c>
      <c r="Y156" s="3" t="s">
        <v>78</v>
      </c>
      <c r="Z156" s="3" t="s">
        <v>1118</v>
      </c>
      <c r="AA156" s="3" t="s">
        <v>1606</v>
      </c>
      <c r="AB156" s="3" t="s">
        <v>1607</v>
      </c>
      <c r="AC156" s="3" t="s">
        <v>1608</v>
      </c>
      <c r="AE156" s="3" t="s">
        <v>83</v>
      </c>
      <c r="AF156" s="3" t="s">
        <v>2525</v>
      </c>
      <c r="AG156" s="3" t="s">
        <v>2525</v>
      </c>
      <c r="AH156" s="3" t="s">
        <v>84</v>
      </c>
      <c r="AI156" s="3" t="s">
        <v>84</v>
      </c>
      <c r="AJ156" s="3" t="s">
        <v>84</v>
      </c>
      <c r="AK156" s="3" t="s">
        <v>2525</v>
      </c>
      <c r="AL156" s="3" t="s">
        <v>2525</v>
      </c>
      <c r="AM156" s="3" t="s">
        <v>85</v>
      </c>
      <c r="AN156" s="3" t="s">
        <v>2525</v>
      </c>
      <c r="AO156" s="3" t="s">
        <v>2525</v>
      </c>
      <c r="AP156" s="3" t="s">
        <v>2525</v>
      </c>
      <c r="AR156" s="3" t="s">
        <v>2525</v>
      </c>
      <c r="AS156" s="3" t="s">
        <v>85</v>
      </c>
      <c r="AT156" s="3" t="s">
        <v>85</v>
      </c>
      <c r="AU156" s="3" t="s">
        <v>2525</v>
      </c>
      <c r="AV156" s="3" t="s">
        <v>2525</v>
      </c>
      <c r="AW156" s="3" t="s">
        <v>2525</v>
      </c>
      <c r="AX156" s="3" t="s">
        <v>2525</v>
      </c>
      <c r="AY156" s="3" t="s">
        <v>2525</v>
      </c>
      <c r="AZ156" s="3" t="s">
        <v>85</v>
      </c>
      <c r="BA156" s="3" t="s">
        <v>2525</v>
      </c>
      <c r="BB156" s="3" t="s">
        <v>2525</v>
      </c>
      <c r="BC156" s="3" t="s">
        <v>2525</v>
      </c>
      <c r="BD156" s="3" t="s">
        <v>2525</v>
      </c>
      <c r="BE156" s="3" t="s">
        <v>84</v>
      </c>
      <c r="BF156" s="3" t="s">
        <v>2525</v>
      </c>
      <c r="BG156" s="3" t="s">
        <v>2525</v>
      </c>
      <c r="BH156" s="3" t="s">
        <v>2525</v>
      </c>
      <c r="BI156" s="3" t="s">
        <v>2525</v>
      </c>
      <c r="BJ156" s="3" t="s">
        <v>2525</v>
      </c>
      <c r="BK156" s="3" t="s">
        <v>86</v>
      </c>
      <c r="BL156" s="3" t="s">
        <v>2525</v>
      </c>
      <c r="BN156" s="3" t="s">
        <v>1609</v>
      </c>
      <c r="BO156" s="3" t="s">
        <v>1610</v>
      </c>
    </row>
    <row r="157">
      <c r="A157" s="3" t="s">
        <v>1612</v>
      </c>
      <c r="B157" s="3" t="s">
        <v>1613</v>
      </c>
      <c r="C157" s="3" t="s">
        <v>92</v>
      </c>
      <c r="D157" s="3" t="s">
        <v>1614</v>
      </c>
      <c r="I157" s="3">
        <v>50.0</v>
      </c>
      <c r="J157" s="3" t="s">
        <v>71</v>
      </c>
      <c r="K157" s="3" t="s">
        <v>72</v>
      </c>
      <c r="L157" s="3" t="s">
        <v>73</v>
      </c>
      <c r="M157" s="3" t="s">
        <v>285</v>
      </c>
      <c r="N157" s="3">
        <v>10.407239819004525</v>
      </c>
      <c r="P157" s="3" t="s">
        <v>149</v>
      </c>
      <c r="Q157" s="32" t="s">
        <v>1612</v>
      </c>
      <c r="R157" s="32" t="s">
        <v>137</v>
      </c>
      <c r="S157" s="32"/>
      <c r="T157" s="32"/>
      <c r="W157" s="3" t="s">
        <v>858</v>
      </c>
      <c r="Y157" s="3" t="s">
        <v>78</v>
      </c>
      <c r="Z157" s="3" t="s">
        <v>1615</v>
      </c>
      <c r="AA157" s="3" t="s">
        <v>1616</v>
      </c>
      <c r="AB157" s="3" t="s">
        <v>1617</v>
      </c>
      <c r="AC157" s="3" t="s">
        <v>1618</v>
      </c>
      <c r="AE157" s="3" t="s">
        <v>83</v>
      </c>
      <c r="AF157" s="3" t="s">
        <v>2525</v>
      </c>
      <c r="AG157" s="3" t="s">
        <v>2525</v>
      </c>
      <c r="AH157" s="3" t="s">
        <v>2525</v>
      </c>
      <c r="AI157" s="3" t="s">
        <v>2525</v>
      </c>
      <c r="AJ157" s="3" t="s">
        <v>2525</v>
      </c>
      <c r="AK157" s="3" t="s">
        <v>2525</v>
      </c>
      <c r="AL157" s="3" t="s">
        <v>2525</v>
      </c>
      <c r="AM157" s="3" t="s">
        <v>2525</v>
      </c>
      <c r="AN157" s="3" t="s">
        <v>2525</v>
      </c>
      <c r="AO157" s="3" t="s">
        <v>2525</v>
      </c>
      <c r="AP157" s="3" t="s">
        <v>84</v>
      </c>
      <c r="AR157" s="3" t="s">
        <v>2525</v>
      </c>
      <c r="AS157" s="3" t="s">
        <v>2525</v>
      </c>
      <c r="AT157" s="3" t="s">
        <v>2525</v>
      </c>
      <c r="AU157" s="3" t="s">
        <v>2525</v>
      </c>
      <c r="AV157" s="3" t="s">
        <v>2525</v>
      </c>
      <c r="AW157" s="3" t="s">
        <v>85</v>
      </c>
      <c r="AX157" s="3" t="s">
        <v>2525</v>
      </c>
      <c r="AY157" s="3" t="s">
        <v>2525</v>
      </c>
      <c r="AZ157" s="3" t="s">
        <v>2525</v>
      </c>
      <c r="BA157" s="3" t="s">
        <v>84</v>
      </c>
      <c r="BB157" s="3" t="s">
        <v>2525</v>
      </c>
      <c r="BC157" s="3" t="s">
        <v>2525</v>
      </c>
      <c r="BD157" s="3" t="s">
        <v>2525</v>
      </c>
      <c r="BE157" s="3" t="s">
        <v>2525</v>
      </c>
      <c r="BF157" s="3" t="s">
        <v>2525</v>
      </c>
      <c r="BG157" s="3" t="s">
        <v>2525</v>
      </c>
      <c r="BH157" s="3" t="s">
        <v>2525</v>
      </c>
      <c r="BI157" s="3" t="s">
        <v>2525</v>
      </c>
      <c r="BJ157" s="3" t="s">
        <v>84</v>
      </c>
      <c r="BL157" s="3" t="s">
        <v>2525</v>
      </c>
      <c r="BN157" s="3" t="s">
        <v>1619</v>
      </c>
      <c r="BO157" s="3" t="s">
        <v>137</v>
      </c>
    </row>
    <row r="158">
      <c r="A158" s="3" t="s">
        <v>2535</v>
      </c>
      <c r="B158" s="3" t="s">
        <v>1622</v>
      </c>
      <c r="C158" s="3" t="s">
        <v>92</v>
      </c>
      <c r="D158" s="3" t="s">
        <v>1623</v>
      </c>
      <c r="I158" s="3">
        <v>28.0</v>
      </c>
      <c r="J158" s="3" t="s">
        <v>71</v>
      </c>
      <c r="K158" s="3" t="s">
        <v>72</v>
      </c>
      <c r="L158" s="3" t="s">
        <v>73</v>
      </c>
      <c r="M158" s="3" t="s">
        <v>40</v>
      </c>
      <c r="N158" s="3">
        <v>-23.391812865497073</v>
      </c>
      <c r="P158" s="3" t="s">
        <v>75</v>
      </c>
      <c r="Q158" s="32" t="s">
        <v>2535</v>
      </c>
      <c r="R158" s="32" t="s">
        <v>1624</v>
      </c>
      <c r="S158" s="32"/>
      <c r="T158" s="32"/>
      <c r="W158" s="3" t="s">
        <v>858</v>
      </c>
      <c r="X158" s="3" t="s">
        <v>77</v>
      </c>
      <c r="Y158" s="3" t="s">
        <v>78</v>
      </c>
      <c r="Z158" s="3" t="s">
        <v>1625</v>
      </c>
      <c r="AA158" s="3" t="s">
        <v>1626</v>
      </c>
      <c r="AB158" s="3" t="s">
        <v>1627</v>
      </c>
      <c r="AC158" s="3" t="s">
        <v>1628</v>
      </c>
      <c r="AE158" s="3" t="s">
        <v>83</v>
      </c>
      <c r="AF158" s="3" t="s">
        <v>2525</v>
      </c>
      <c r="AG158" s="3" t="s">
        <v>2525</v>
      </c>
      <c r="AH158" s="3" t="s">
        <v>2525</v>
      </c>
      <c r="AI158" s="3" t="s">
        <v>2525</v>
      </c>
      <c r="AJ158" s="3" t="s">
        <v>2525</v>
      </c>
      <c r="AK158" s="3" t="s">
        <v>2525</v>
      </c>
      <c r="AL158" s="3" t="s">
        <v>2525</v>
      </c>
      <c r="AM158" s="3" t="s">
        <v>2525</v>
      </c>
      <c r="AN158" s="3" t="s">
        <v>2525</v>
      </c>
      <c r="AO158" s="3" t="s">
        <v>84</v>
      </c>
      <c r="AP158" s="3" t="s">
        <v>2525</v>
      </c>
      <c r="AR158" s="3" t="s">
        <v>2525</v>
      </c>
      <c r="AS158" s="3" t="s">
        <v>2525</v>
      </c>
      <c r="AT158" s="3" t="s">
        <v>2525</v>
      </c>
      <c r="AU158" s="3" t="s">
        <v>84</v>
      </c>
      <c r="AV158" s="3" t="s">
        <v>84</v>
      </c>
      <c r="AW158" s="3" t="s">
        <v>2525</v>
      </c>
      <c r="AX158" s="3" t="s">
        <v>2525</v>
      </c>
      <c r="AY158" s="3" t="s">
        <v>2525</v>
      </c>
      <c r="AZ158" s="3" t="s">
        <v>2525</v>
      </c>
      <c r="BA158" s="3" t="s">
        <v>2525</v>
      </c>
      <c r="BB158" s="3" t="s">
        <v>2525</v>
      </c>
      <c r="BC158" s="3" t="s">
        <v>2525</v>
      </c>
      <c r="BD158" s="3" t="s">
        <v>85</v>
      </c>
      <c r="BE158" s="3" t="s">
        <v>2525</v>
      </c>
      <c r="BF158" s="3" t="s">
        <v>2525</v>
      </c>
      <c r="BG158" s="3" t="s">
        <v>2525</v>
      </c>
      <c r="BH158" s="3" t="s">
        <v>2525</v>
      </c>
      <c r="BI158" s="3" t="s">
        <v>2525</v>
      </c>
      <c r="BJ158" s="3" t="s">
        <v>2525</v>
      </c>
      <c r="BL158" s="3" t="s">
        <v>2525</v>
      </c>
      <c r="BN158" s="3" t="s">
        <v>1363</v>
      </c>
      <c r="BO158" s="3" t="s">
        <v>1629</v>
      </c>
    </row>
    <row r="159">
      <c r="A159" s="3" t="s">
        <v>1631</v>
      </c>
      <c r="B159" s="3" t="s">
        <v>1632</v>
      </c>
      <c r="C159" s="3" t="s">
        <v>92</v>
      </c>
      <c r="D159" s="3" t="s">
        <v>1633</v>
      </c>
      <c r="I159" s="3">
        <v>39.0</v>
      </c>
      <c r="J159" s="3" t="s">
        <v>71</v>
      </c>
      <c r="K159" s="3" t="s">
        <v>72</v>
      </c>
      <c r="L159" s="3" t="s">
        <v>108</v>
      </c>
      <c r="M159" s="3" t="s">
        <v>44</v>
      </c>
      <c r="N159" s="3">
        <v>-33.88429752066116</v>
      </c>
      <c r="P159" s="3" t="s">
        <v>149</v>
      </c>
      <c r="Q159" s="32" t="s">
        <v>1631</v>
      </c>
      <c r="R159" s="32" t="s">
        <v>286</v>
      </c>
      <c r="S159" s="32"/>
      <c r="T159" s="32"/>
      <c r="Y159" s="3" t="s">
        <v>78</v>
      </c>
      <c r="Z159" s="3" t="s">
        <v>1634</v>
      </c>
      <c r="AA159" s="3" t="s">
        <v>1635</v>
      </c>
      <c r="AB159" s="3" t="s">
        <v>1636</v>
      </c>
      <c r="AC159" s="3" t="s">
        <v>1637</v>
      </c>
      <c r="AE159" s="3" t="s">
        <v>83</v>
      </c>
      <c r="AF159" s="3" t="s">
        <v>2525</v>
      </c>
      <c r="AG159" s="3" t="s">
        <v>2525</v>
      </c>
      <c r="AH159" s="3" t="s">
        <v>85</v>
      </c>
      <c r="AI159" s="3" t="s">
        <v>85</v>
      </c>
      <c r="AJ159" s="3" t="s">
        <v>84</v>
      </c>
      <c r="AK159" s="3" t="s">
        <v>2525</v>
      </c>
      <c r="AL159" s="3" t="s">
        <v>2525</v>
      </c>
      <c r="AM159" s="3" t="s">
        <v>85</v>
      </c>
      <c r="AN159" s="3" t="s">
        <v>2525</v>
      </c>
      <c r="AO159" s="3" t="s">
        <v>2525</v>
      </c>
      <c r="AP159" s="3" t="s">
        <v>2525</v>
      </c>
      <c r="AR159" s="3" t="s">
        <v>2525</v>
      </c>
      <c r="AS159" s="3" t="s">
        <v>2525</v>
      </c>
      <c r="AT159" s="3" t="s">
        <v>84</v>
      </c>
      <c r="AU159" s="3" t="s">
        <v>2525</v>
      </c>
      <c r="AV159" s="3" t="s">
        <v>2525</v>
      </c>
      <c r="AW159" s="3" t="s">
        <v>2525</v>
      </c>
      <c r="AX159" s="3" t="s">
        <v>2525</v>
      </c>
      <c r="AY159" s="3" t="s">
        <v>2525</v>
      </c>
      <c r="AZ159" s="3" t="s">
        <v>2525</v>
      </c>
      <c r="BA159" s="3" t="s">
        <v>2525</v>
      </c>
      <c r="BB159" s="3" t="s">
        <v>2525</v>
      </c>
      <c r="BC159" s="3" t="s">
        <v>2525</v>
      </c>
      <c r="BD159" s="3" t="s">
        <v>2525</v>
      </c>
      <c r="BE159" s="3" t="s">
        <v>2525</v>
      </c>
      <c r="BF159" s="3" t="s">
        <v>2525</v>
      </c>
      <c r="BG159" s="3" t="s">
        <v>2525</v>
      </c>
      <c r="BH159" s="3" t="s">
        <v>2525</v>
      </c>
      <c r="BI159" s="3" t="s">
        <v>2525</v>
      </c>
      <c r="BJ159" s="3" t="s">
        <v>2525</v>
      </c>
      <c r="BL159" s="3" t="s">
        <v>2525</v>
      </c>
      <c r="BN159" s="3" t="s">
        <v>286</v>
      </c>
      <c r="BO159" s="3" t="s">
        <v>286</v>
      </c>
    </row>
    <row r="160">
      <c r="A160" s="3" t="s">
        <v>1639</v>
      </c>
      <c r="B160" s="3" t="s">
        <v>1640</v>
      </c>
      <c r="C160" s="3" t="s">
        <v>92</v>
      </c>
      <c r="D160" s="3" t="s">
        <v>1641</v>
      </c>
      <c r="I160" s="3">
        <v>35.0</v>
      </c>
      <c r="J160" s="3" t="s">
        <v>71</v>
      </c>
      <c r="K160" s="3" t="s">
        <v>72</v>
      </c>
      <c r="L160" s="3" t="s">
        <v>73</v>
      </c>
      <c r="M160" s="3" t="s">
        <v>285</v>
      </c>
      <c r="N160" s="3">
        <v>-25.862068965517242</v>
      </c>
      <c r="P160" s="3" t="s">
        <v>149</v>
      </c>
      <c r="Q160" s="32" t="s">
        <v>1639</v>
      </c>
      <c r="R160" s="32" t="s">
        <v>1642</v>
      </c>
      <c r="S160" s="32"/>
      <c r="T160" s="32"/>
      <c r="W160" s="3" t="s">
        <v>858</v>
      </c>
      <c r="Y160" s="3" t="s">
        <v>78</v>
      </c>
      <c r="Z160" s="3" t="s">
        <v>1643</v>
      </c>
      <c r="AA160" s="3" t="s">
        <v>1644</v>
      </c>
      <c r="AB160" s="3" t="s">
        <v>1645</v>
      </c>
      <c r="AC160" s="3" t="s">
        <v>1646</v>
      </c>
      <c r="AE160" s="3" t="s">
        <v>83</v>
      </c>
      <c r="AF160" s="3" t="s">
        <v>2525</v>
      </c>
      <c r="AG160" s="3" t="s">
        <v>2525</v>
      </c>
      <c r="AH160" s="3" t="s">
        <v>2525</v>
      </c>
      <c r="AI160" s="3" t="s">
        <v>2525</v>
      </c>
      <c r="AJ160" s="3" t="s">
        <v>2525</v>
      </c>
      <c r="AK160" s="3" t="s">
        <v>2525</v>
      </c>
      <c r="AL160" s="3" t="s">
        <v>2525</v>
      </c>
      <c r="AM160" s="3" t="s">
        <v>2525</v>
      </c>
      <c r="AN160" s="3" t="s">
        <v>2525</v>
      </c>
      <c r="AO160" s="3" t="s">
        <v>2525</v>
      </c>
      <c r="AP160" s="3" t="s">
        <v>84</v>
      </c>
      <c r="AR160" s="3" t="s">
        <v>2525</v>
      </c>
      <c r="AS160" s="3" t="s">
        <v>2525</v>
      </c>
      <c r="AT160" s="3" t="s">
        <v>2525</v>
      </c>
      <c r="AU160" s="3" t="s">
        <v>84</v>
      </c>
      <c r="AV160" s="3" t="s">
        <v>2525</v>
      </c>
      <c r="AW160" s="3" t="s">
        <v>84</v>
      </c>
      <c r="AX160" s="3" t="s">
        <v>2525</v>
      </c>
      <c r="AY160" s="3" t="s">
        <v>2525</v>
      </c>
      <c r="AZ160" s="3" t="s">
        <v>2525</v>
      </c>
      <c r="BA160" s="3" t="s">
        <v>84</v>
      </c>
      <c r="BB160" s="3" t="s">
        <v>2525</v>
      </c>
      <c r="BC160" s="3" t="s">
        <v>2525</v>
      </c>
      <c r="BD160" s="3" t="s">
        <v>2525</v>
      </c>
      <c r="BE160" s="3" t="s">
        <v>2525</v>
      </c>
      <c r="BF160" s="3" t="s">
        <v>2525</v>
      </c>
      <c r="BG160" s="3" t="s">
        <v>2525</v>
      </c>
      <c r="BH160" s="3" t="s">
        <v>2525</v>
      </c>
      <c r="BI160" s="3" t="s">
        <v>2525</v>
      </c>
      <c r="BJ160" s="3" t="s">
        <v>84</v>
      </c>
      <c r="BL160" s="3" t="s">
        <v>2525</v>
      </c>
      <c r="BN160" s="3" t="s">
        <v>1647</v>
      </c>
      <c r="BO160" s="3" t="s">
        <v>137</v>
      </c>
    </row>
    <row r="161">
      <c r="A161" s="3" t="s">
        <v>1649</v>
      </c>
      <c r="B161" s="3" t="s">
        <v>1650</v>
      </c>
      <c r="C161" s="3" t="s">
        <v>92</v>
      </c>
      <c r="D161" s="3" t="s">
        <v>1651</v>
      </c>
      <c r="I161" s="3">
        <v>48.0</v>
      </c>
      <c r="J161" s="3" t="s">
        <v>1201</v>
      </c>
      <c r="K161" s="3" t="s">
        <v>72</v>
      </c>
      <c r="L161" s="3" t="s">
        <v>73</v>
      </c>
      <c r="M161" s="3" t="s">
        <v>285</v>
      </c>
      <c r="N161" s="3">
        <v>-6.756756756756757</v>
      </c>
      <c r="P161" s="3" t="s">
        <v>149</v>
      </c>
      <c r="Q161" s="32" t="s">
        <v>1649</v>
      </c>
      <c r="R161" s="32" t="s">
        <v>1642</v>
      </c>
      <c r="S161" s="32"/>
      <c r="T161" s="32"/>
      <c r="W161" s="3" t="s">
        <v>858</v>
      </c>
      <c r="Y161" s="3" t="s">
        <v>78</v>
      </c>
      <c r="Z161" s="3" t="s">
        <v>1652</v>
      </c>
      <c r="AA161" s="3" t="s">
        <v>1653</v>
      </c>
      <c r="AB161" s="3" t="s">
        <v>1654</v>
      </c>
      <c r="AC161" s="3" t="s">
        <v>1655</v>
      </c>
      <c r="AE161" s="3" t="s">
        <v>83</v>
      </c>
      <c r="AF161" s="3" t="s">
        <v>2525</v>
      </c>
      <c r="AG161" s="3" t="s">
        <v>2525</v>
      </c>
      <c r="AH161" s="3" t="s">
        <v>2525</v>
      </c>
      <c r="AI161" s="3" t="s">
        <v>2525</v>
      </c>
      <c r="AJ161" s="3" t="s">
        <v>2525</v>
      </c>
      <c r="AK161" s="3" t="s">
        <v>2525</v>
      </c>
      <c r="AL161" s="3" t="s">
        <v>2525</v>
      </c>
      <c r="AM161" s="3" t="s">
        <v>2525</v>
      </c>
      <c r="AN161" s="3" t="s">
        <v>2525</v>
      </c>
      <c r="AO161" s="3" t="s">
        <v>2525</v>
      </c>
      <c r="AP161" s="3" t="s">
        <v>84</v>
      </c>
      <c r="AR161" s="3" t="s">
        <v>2525</v>
      </c>
      <c r="AS161" s="3" t="s">
        <v>2525</v>
      </c>
      <c r="AT161" s="3" t="s">
        <v>2525</v>
      </c>
      <c r="AU161" s="3" t="s">
        <v>84</v>
      </c>
      <c r="AV161" s="3" t="s">
        <v>2525</v>
      </c>
      <c r="AW161" s="3" t="s">
        <v>84</v>
      </c>
      <c r="AX161" s="3" t="s">
        <v>2525</v>
      </c>
      <c r="AY161" s="3" t="s">
        <v>2525</v>
      </c>
      <c r="AZ161" s="3" t="s">
        <v>2525</v>
      </c>
      <c r="BA161" s="3" t="s">
        <v>84</v>
      </c>
      <c r="BB161" s="3" t="s">
        <v>2525</v>
      </c>
      <c r="BC161" s="3" t="s">
        <v>2525</v>
      </c>
      <c r="BD161" s="3" t="s">
        <v>2525</v>
      </c>
      <c r="BE161" s="3" t="s">
        <v>2525</v>
      </c>
      <c r="BF161" s="3" t="s">
        <v>2525</v>
      </c>
      <c r="BG161" s="3" t="s">
        <v>2525</v>
      </c>
      <c r="BH161" s="3" t="s">
        <v>2525</v>
      </c>
      <c r="BI161" s="3" t="s">
        <v>2525</v>
      </c>
      <c r="BJ161" s="3" t="s">
        <v>84</v>
      </c>
      <c r="BL161" s="3" t="s">
        <v>2525</v>
      </c>
      <c r="BN161" s="3" t="s">
        <v>1619</v>
      </c>
      <c r="BO161" s="3" t="s">
        <v>137</v>
      </c>
    </row>
    <row r="162">
      <c r="A162" s="3" t="s">
        <v>1657</v>
      </c>
      <c r="B162" s="3" t="s">
        <v>1658</v>
      </c>
      <c r="C162" s="3" t="s">
        <v>92</v>
      </c>
      <c r="D162" s="3" t="s">
        <v>1659</v>
      </c>
      <c r="I162" s="3">
        <v>25.0</v>
      </c>
      <c r="J162" s="3" t="s">
        <v>94</v>
      </c>
      <c r="K162" s="3" t="s">
        <v>72</v>
      </c>
      <c r="L162" s="3" t="s">
        <v>108</v>
      </c>
      <c r="M162" s="3" t="s">
        <v>44</v>
      </c>
      <c r="N162" s="3">
        <v>-6.451612903225806</v>
      </c>
      <c r="P162" s="3" t="s">
        <v>149</v>
      </c>
      <c r="Q162" s="32" t="s">
        <v>1657</v>
      </c>
      <c r="R162" s="32" t="s">
        <v>137</v>
      </c>
      <c r="S162" s="32"/>
      <c r="T162" s="32"/>
      <c r="W162" s="3" t="s">
        <v>858</v>
      </c>
      <c r="Y162" s="3" t="s">
        <v>78</v>
      </c>
      <c r="Z162" s="3" t="s">
        <v>1643</v>
      </c>
      <c r="AA162" s="3" t="s">
        <v>1660</v>
      </c>
      <c r="AB162" s="3" t="s">
        <v>1661</v>
      </c>
      <c r="AC162" s="3" t="s">
        <v>1662</v>
      </c>
      <c r="AE162" s="3" t="s">
        <v>83</v>
      </c>
      <c r="AF162" s="3" t="s">
        <v>2525</v>
      </c>
      <c r="AG162" s="3" t="s">
        <v>2525</v>
      </c>
      <c r="AH162" s="3" t="s">
        <v>2525</v>
      </c>
      <c r="AI162" s="3" t="s">
        <v>2525</v>
      </c>
      <c r="AJ162" s="3" t="s">
        <v>84</v>
      </c>
      <c r="AK162" s="3" t="s">
        <v>2525</v>
      </c>
      <c r="AL162" s="3" t="s">
        <v>2525</v>
      </c>
      <c r="AM162" s="3" t="s">
        <v>2525</v>
      </c>
      <c r="AN162" s="3" t="s">
        <v>2525</v>
      </c>
      <c r="AO162" s="3" t="s">
        <v>2525</v>
      </c>
      <c r="AP162" s="3" t="s">
        <v>2525</v>
      </c>
      <c r="AR162" s="3" t="s">
        <v>2525</v>
      </c>
      <c r="AS162" s="3" t="s">
        <v>2525</v>
      </c>
      <c r="AT162" s="3" t="s">
        <v>84</v>
      </c>
      <c r="AU162" s="3" t="s">
        <v>2525</v>
      </c>
      <c r="AV162" s="3" t="s">
        <v>2525</v>
      </c>
      <c r="AW162" s="3" t="s">
        <v>2525</v>
      </c>
      <c r="AX162" s="3" t="s">
        <v>2525</v>
      </c>
      <c r="AY162" s="3" t="s">
        <v>2525</v>
      </c>
      <c r="AZ162" s="3" t="s">
        <v>2525</v>
      </c>
      <c r="BA162" s="3" t="s">
        <v>2525</v>
      </c>
      <c r="BB162" s="3" t="s">
        <v>2525</v>
      </c>
      <c r="BC162" s="3" t="s">
        <v>2525</v>
      </c>
      <c r="BD162" s="3" t="s">
        <v>2525</v>
      </c>
      <c r="BE162" s="3" t="s">
        <v>2525</v>
      </c>
      <c r="BF162" s="3" t="s">
        <v>2525</v>
      </c>
      <c r="BG162" s="3" t="s">
        <v>2525</v>
      </c>
      <c r="BH162" s="3" t="s">
        <v>2525</v>
      </c>
      <c r="BI162" s="3" t="s">
        <v>2525</v>
      </c>
      <c r="BJ162" s="3" t="s">
        <v>2525</v>
      </c>
      <c r="BL162" s="3" t="s">
        <v>2525</v>
      </c>
      <c r="BN162" s="3" t="s">
        <v>137</v>
      </c>
      <c r="BO162" s="3" t="s">
        <v>137</v>
      </c>
    </row>
    <row r="163">
      <c r="A163" s="3" t="s">
        <v>1664</v>
      </c>
      <c r="B163" s="3" t="s">
        <v>1665</v>
      </c>
      <c r="C163" s="3" t="s">
        <v>92</v>
      </c>
      <c r="D163" s="3" t="s">
        <v>1666</v>
      </c>
      <c r="I163" s="3">
        <v>38.0</v>
      </c>
      <c r="J163" s="3" t="s">
        <v>71</v>
      </c>
      <c r="K163" s="3" t="s">
        <v>72</v>
      </c>
      <c r="L163" s="3" t="s">
        <v>73</v>
      </c>
      <c r="M163" s="3" t="s">
        <v>285</v>
      </c>
      <c r="N163" s="3">
        <v>-6.756756756756757</v>
      </c>
      <c r="P163" s="3" t="s">
        <v>149</v>
      </c>
      <c r="Q163" s="32" t="s">
        <v>1664</v>
      </c>
      <c r="R163" s="32" t="s">
        <v>454</v>
      </c>
      <c r="S163" s="32"/>
      <c r="T163" s="32"/>
      <c r="W163" s="3" t="s">
        <v>858</v>
      </c>
      <c r="Y163" s="3" t="s">
        <v>78</v>
      </c>
      <c r="Z163" s="3" t="s">
        <v>1667</v>
      </c>
      <c r="AA163" s="3" t="s">
        <v>1668</v>
      </c>
      <c r="AB163" s="3" t="s">
        <v>1669</v>
      </c>
      <c r="AC163" s="3" t="s">
        <v>1670</v>
      </c>
      <c r="AE163" s="3" t="s">
        <v>83</v>
      </c>
      <c r="AF163" s="3" t="s">
        <v>2525</v>
      </c>
      <c r="AG163" s="3" t="s">
        <v>2525</v>
      </c>
      <c r="AH163" s="3" t="s">
        <v>2525</v>
      </c>
      <c r="AI163" s="3" t="s">
        <v>2525</v>
      </c>
      <c r="AJ163" s="3" t="s">
        <v>2525</v>
      </c>
      <c r="AK163" s="3" t="s">
        <v>2525</v>
      </c>
      <c r="AL163" s="3" t="s">
        <v>2525</v>
      </c>
      <c r="AM163" s="3" t="s">
        <v>2525</v>
      </c>
      <c r="AN163" s="3" t="s">
        <v>2525</v>
      </c>
      <c r="AO163" s="3" t="s">
        <v>2525</v>
      </c>
      <c r="AP163" s="3" t="s">
        <v>84</v>
      </c>
      <c r="AR163" s="3" t="s">
        <v>2525</v>
      </c>
      <c r="AS163" s="3" t="s">
        <v>2525</v>
      </c>
      <c r="AT163" s="3" t="s">
        <v>2525</v>
      </c>
      <c r="AU163" s="3" t="s">
        <v>84</v>
      </c>
      <c r="AV163" s="3" t="s">
        <v>2525</v>
      </c>
      <c r="AW163" s="3" t="s">
        <v>84</v>
      </c>
      <c r="AX163" s="3" t="s">
        <v>2525</v>
      </c>
      <c r="AY163" s="3" t="s">
        <v>2525</v>
      </c>
      <c r="AZ163" s="3" t="s">
        <v>2525</v>
      </c>
      <c r="BA163" s="3" t="s">
        <v>84</v>
      </c>
      <c r="BB163" s="3" t="s">
        <v>2525</v>
      </c>
      <c r="BC163" s="3" t="s">
        <v>2525</v>
      </c>
      <c r="BD163" s="3" t="s">
        <v>2525</v>
      </c>
      <c r="BE163" s="3" t="s">
        <v>2525</v>
      </c>
      <c r="BF163" s="3" t="s">
        <v>2525</v>
      </c>
      <c r="BG163" s="3" t="s">
        <v>2525</v>
      </c>
      <c r="BH163" s="3" t="s">
        <v>2525</v>
      </c>
      <c r="BI163" s="3" t="s">
        <v>2525</v>
      </c>
      <c r="BJ163" s="3" t="s">
        <v>85</v>
      </c>
      <c r="BL163" s="3" t="s">
        <v>2525</v>
      </c>
      <c r="BM163" s="3" t="s">
        <v>86</v>
      </c>
      <c r="BN163" s="3" t="s">
        <v>1671</v>
      </c>
      <c r="BO163" s="3" t="s">
        <v>137</v>
      </c>
      <c r="BP163" s="3" t="s">
        <v>1672</v>
      </c>
    </row>
    <row r="164">
      <c r="A164" s="3" t="s">
        <v>1674</v>
      </c>
      <c r="B164" s="3" t="s">
        <v>1675</v>
      </c>
      <c r="C164" s="3" t="s">
        <v>92</v>
      </c>
      <c r="D164" s="3" t="s">
        <v>1676</v>
      </c>
      <c r="I164" s="3">
        <v>62.0</v>
      </c>
      <c r="J164" s="3" t="s">
        <v>71</v>
      </c>
      <c r="K164" s="3" t="s">
        <v>72</v>
      </c>
      <c r="L164" s="3" t="s">
        <v>73</v>
      </c>
      <c r="M164" s="3" t="s">
        <v>43</v>
      </c>
      <c r="N164" s="3">
        <v>-21.53846153846154</v>
      </c>
      <c r="P164" s="3" t="s">
        <v>149</v>
      </c>
      <c r="Q164" s="32" t="s">
        <v>1674</v>
      </c>
      <c r="R164" s="32" t="s">
        <v>137</v>
      </c>
      <c r="S164" s="32"/>
      <c r="T164" s="32"/>
      <c r="W164" s="3" t="s">
        <v>1677</v>
      </c>
      <c r="Y164" s="3" t="s">
        <v>78</v>
      </c>
      <c r="Z164" s="3" t="s">
        <v>1678</v>
      </c>
      <c r="AA164" s="3" t="s">
        <v>1679</v>
      </c>
      <c r="AB164" s="3" t="s">
        <v>1680</v>
      </c>
      <c r="AC164" s="3" t="s">
        <v>1681</v>
      </c>
      <c r="AE164" s="3" t="s">
        <v>83</v>
      </c>
      <c r="AF164" s="3" t="s">
        <v>2525</v>
      </c>
      <c r="AG164" s="3" t="s">
        <v>2525</v>
      </c>
      <c r="AH164" s="3" t="s">
        <v>2525</v>
      </c>
      <c r="AI164" s="3" t="s">
        <v>2525</v>
      </c>
      <c r="AJ164" s="3" t="s">
        <v>2525</v>
      </c>
      <c r="AK164" s="3" t="s">
        <v>2525</v>
      </c>
      <c r="AL164" s="3" t="s">
        <v>2525</v>
      </c>
      <c r="AM164" s="3" t="s">
        <v>2525</v>
      </c>
      <c r="AN164" s="3" t="s">
        <v>2525</v>
      </c>
      <c r="AO164" s="3" t="s">
        <v>2525</v>
      </c>
      <c r="AP164" s="3" t="s">
        <v>2525</v>
      </c>
      <c r="AR164" s="3" t="s">
        <v>2525</v>
      </c>
      <c r="AS164" s="3" t="s">
        <v>84</v>
      </c>
      <c r="AT164" s="3" t="s">
        <v>2525</v>
      </c>
      <c r="AU164" s="3" t="s">
        <v>2525</v>
      </c>
      <c r="AV164" s="3" t="s">
        <v>2525</v>
      </c>
      <c r="AW164" s="3" t="s">
        <v>2525</v>
      </c>
      <c r="AX164" s="3" t="s">
        <v>2525</v>
      </c>
      <c r="AY164" s="3" t="s">
        <v>2525</v>
      </c>
      <c r="AZ164" s="3" t="s">
        <v>2525</v>
      </c>
      <c r="BA164" s="3" t="s">
        <v>84</v>
      </c>
      <c r="BB164" s="3" t="s">
        <v>2525</v>
      </c>
      <c r="BC164" s="3" t="s">
        <v>2525</v>
      </c>
      <c r="BD164" s="3" t="s">
        <v>2525</v>
      </c>
      <c r="BE164" s="3" t="s">
        <v>2525</v>
      </c>
      <c r="BF164" s="3" t="s">
        <v>2525</v>
      </c>
      <c r="BG164" s="3" t="s">
        <v>2525</v>
      </c>
      <c r="BH164" s="3" t="s">
        <v>2525</v>
      </c>
      <c r="BI164" s="3" t="s">
        <v>2525</v>
      </c>
      <c r="BJ164" s="3" t="s">
        <v>2525</v>
      </c>
      <c r="BL164" s="3" t="s">
        <v>2525</v>
      </c>
      <c r="BN164" s="3" t="s">
        <v>137</v>
      </c>
      <c r="BO164" s="3" t="s">
        <v>137</v>
      </c>
    </row>
    <row r="165">
      <c r="A165" s="3" t="s">
        <v>1683</v>
      </c>
      <c r="B165" s="3" t="s">
        <v>1684</v>
      </c>
      <c r="C165" s="3" t="s">
        <v>92</v>
      </c>
      <c r="D165" s="3" t="s">
        <v>1685</v>
      </c>
      <c r="I165" s="3">
        <v>39.0</v>
      </c>
      <c r="J165" s="3" t="s">
        <v>123</v>
      </c>
      <c r="K165" s="3" t="s">
        <v>72</v>
      </c>
      <c r="L165" s="3" t="s">
        <v>108</v>
      </c>
      <c r="M165" s="3" t="s">
        <v>44</v>
      </c>
      <c r="N165" s="3">
        <v>-21.768707482993197</v>
      </c>
      <c r="P165" s="3" t="s">
        <v>149</v>
      </c>
      <c r="Q165" s="32" t="s">
        <v>1683</v>
      </c>
      <c r="R165" s="32" t="s">
        <v>137</v>
      </c>
      <c r="S165" s="32"/>
      <c r="T165" s="32"/>
      <c r="W165" s="3" t="s">
        <v>858</v>
      </c>
      <c r="Y165" s="3" t="s">
        <v>78</v>
      </c>
      <c r="Z165" s="3" t="s">
        <v>1686</v>
      </c>
      <c r="AA165" s="3" t="s">
        <v>1687</v>
      </c>
      <c r="AB165" s="3" t="s">
        <v>1688</v>
      </c>
      <c r="AC165" s="3" t="s">
        <v>1689</v>
      </c>
      <c r="AE165" s="3" t="s">
        <v>83</v>
      </c>
      <c r="AF165" s="3" t="s">
        <v>2525</v>
      </c>
      <c r="AG165" s="3" t="s">
        <v>2525</v>
      </c>
      <c r="AH165" s="3" t="s">
        <v>85</v>
      </c>
      <c r="AI165" s="3" t="s">
        <v>85</v>
      </c>
      <c r="AJ165" s="3" t="s">
        <v>84</v>
      </c>
      <c r="AK165" s="3" t="s">
        <v>2525</v>
      </c>
      <c r="AL165" s="3" t="s">
        <v>2525</v>
      </c>
      <c r="AM165" s="3" t="s">
        <v>2525</v>
      </c>
      <c r="AN165" s="3" t="s">
        <v>2525</v>
      </c>
      <c r="AO165" s="3" t="s">
        <v>2525</v>
      </c>
      <c r="AP165" s="3" t="s">
        <v>2525</v>
      </c>
      <c r="AR165" s="3" t="s">
        <v>2525</v>
      </c>
      <c r="AS165" s="3" t="s">
        <v>2525</v>
      </c>
      <c r="AT165" s="3" t="s">
        <v>84</v>
      </c>
      <c r="AU165" s="3" t="s">
        <v>2525</v>
      </c>
      <c r="AV165" s="3" t="s">
        <v>2525</v>
      </c>
      <c r="AW165" s="3" t="s">
        <v>2525</v>
      </c>
      <c r="AX165" s="3" t="s">
        <v>2525</v>
      </c>
      <c r="AY165" s="3" t="s">
        <v>2525</v>
      </c>
      <c r="AZ165" s="3" t="s">
        <v>2525</v>
      </c>
      <c r="BA165" s="3" t="s">
        <v>2525</v>
      </c>
      <c r="BB165" s="3" t="s">
        <v>2525</v>
      </c>
      <c r="BC165" s="3" t="s">
        <v>2525</v>
      </c>
      <c r="BD165" s="3" t="s">
        <v>2525</v>
      </c>
      <c r="BE165" s="3" t="s">
        <v>2525</v>
      </c>
      <c r="BF165" s="3" t="s">
        <v>2525</v>
      </c>
      <c r="BG165" s="3" t="s">
        <v>2525</v>
      </c>
      <c r="BH165" s="3" t="s">
        <v>2525</v>
      </c>
      <c r="BI165" s="3" t="s">
        <v>2525</v>
      </c>
      <c r="BJ165" s="3" t="s">
        <v>2525</v>
      </c>
      <c r="BL165" s="3" t="s">
        <v>2525</v>
      </c>
      <c r="BN165" s="3" t="s">
        <v>137</v>
      </c>
      <c r="BO165" s="3" t="s">
        <v>137</v>
      </c>
      <c r="BP165" s="3" t="s">
        <v>1672</v>
      </c>
    </row>
    <row r="166">
      <c r="A166" s="3" t="s">
        <v>1691</v>
      </c>
      <c r="B166" s="3" t="s">
        <v>1692</v>
      </c>
      <c r="C166" s="3" t="s">
        <v>92</v>
      </c>
      <c r="D166" s="3" t="s">
        <v>1676</v>
      </c>
      <c r="I166" s="3">
        <v>35.0</v>
      </c>
      <c r="J166" s="3" t="s">
        <v>1693</v>
      </c>
      <c r="K166" s="3" t="s">
        <v>72</v>
      </c>
      <c r="L166" s="3" t="s">
        <v>108</v>
      </c>
      <c r="M166" s="3" t="s">
        <v>109</v>
      </c>
      <c r="N166" s="3">
        <v>4.761904761904762</v>
      </c>
      <c r="P166" s="3" t="s">
        <v>75</v>
      </c>
      <c r="Q166" s="32" t="s">
        <v>1691</v>
      </c>
      <c r="R166" s="32" t="s">
        <v>824</v>
      </c>
      <c r="S166" s="32"/>
      <c r="T166" s="32"/>
      <c r="W166" s="3" t="s">
        <v>1694</v>
      </c>
      <c r="Y166" s="3" t="s">
        <v>78</v>
      </c>
      <c r="Z166" s="3" t="s">
        <v>1695</v>
      </c>
      <c r="AA166" s="3" t="s">
        <v>1696</v>
      </c>
      <c r="AB166" s="3" t="s">
        <v>1697</v>
      </c>
      <c r="AC166" s="3" t="s">
        <v>1698</v>
      </c>
      <c r="AE166" s="3" t="s">
        <v>83</v>
      </c>
      <c r="AF166" s="3" t="s">
        <v>2525</v>
      </c>
      <c r="AG166" s="3" t="s">
        <v>2525</v>
      </c>
      <c r="AH166" s="3" t="s">
        <v>84</v>
      </c>
      <c r="AI166" s="3" t="s">
        <v>84</v>
      </c>
      <c r="AJ166" s="3" t="s">
        <v>84</v>
      </c>
      <c r="AK166" s="3" t="s">
        <v>2525</v>
      </c>
      <c r="AL166" s="3" t="s">
        <v>2525</v>
      </c>
      <c r="AM166" s="3" t="s">
        <v>85</v>
      </c>
      <c r="AN166" s="3" t="s">
        <v>2525</v>
      </c>
      <c r="AO166" s="3" t="s">
        <v>2525</v>
      </c>
      <c r="AP166" s="3" t="s">
        <v>2525</v>
      </c>
      <c r="AR166" s="3" t="s">
        <v>2525</v>
      </c>
      <c r="AS166" s="3" t="s">
        <v>85</v>
      </c>
      <c r="AT166" s="3" t="s">
        <v>85</v>
      </c>
      <c r="AU166" s="3" t="s">
        <v>2525</v>
      </c>
      <c r="AV166" s="3" t="s">
        <v>2525</v>
      </c>
      <c r="AW166" s="3" t="s">
        <v>2525</v>
      </c>
      <c r="AX166" s="3" t="s">
        <v>2525</v>
      </c>
      <c r="AY166" s="3" t="s">
        <v>2525</v>
      </c>
      <c r="AZ166" s="3" t="s">
        <v>2525</v>
      </c>
      <c r="BA166" s="3" t="s">
        <v>2525</v>
      </c>
      <c r="BB166" s="3" t="s">
        <v>2525</v>
      </c>
      <c r="BC166" s="3" t="s">
        <v>2525</v>
      </c>
      <c r="BD166" s="3" t="s">
        <v>2525</v>
      </c>
      <c r="BE166" s="3" t="s">
        <v>84</v>
      </c>
      <c r="BF166" s="3" t="s">
        <v>2525</v>
      </c>
      <c r="BG166" s="3" t="s">
        <v>2525</v>
      </c>
      <c r="BH166" s="3" t="s">
        <v>2525</v>
      </c>
      <c r="BI166" s="3" t="s">
        <v>2525</v>
      </c>
      <c r="BJ166" s="3" t="s">
        <v>2525</v>
      </c>
      <c r="BL166" s="3" t="s">
        <v>2525</v>
      </c>
      <c r="BN166" s="3" t="s">
        <v>1699</v>
      </c>
      <c r="BO166" s="3" t="s">
        <v>1700</v>
      </c>
    </row>
    <row r="167">
      <c r="A167" s="3" t="s">
        <v>1702</v>
      </c>
      <c r="B167" s="3" t="s">
        <v>1703</v>
      </c>
      <c r="C167" s="3" t="s">
        <v>92</v>
      </c>
      <c r="D167" s="3" t="s">
        <v>1704</v>
      </c>
      <c r="I167" s="3">
        <v>45.0</v>
      </c>
      <c r="J167" s="3" t="s">
        <v>1705</v>
      </c>
      <c r="K167" s="3" t="s">
        <v>72</v>
      </c>
      <c r="L167" s="3" t="s">
        <v>73</v>
      </c>
      <c r="M167" s="3" t="s">
        <v>259</v>
      </c>
      <c r="N167" s="3">
        <v>-5.714285714285714</v>
      </c>
      <c r="P167" s="3" t="s">
        <v>149</v>
      </c>
      <c r="Q167" s="32" t="s">
        <v>1702</v>
      </c>
      <c r="R167" s="32" t="s">
        <v>137</v>
      </c>
      <c r="S167" s="32"/>
      <c r="T167" s="32"/>
      <c r="Y167" s="3" t="s">
        <v>78</v>
      </c>
      <c r="Z167" s="3" t="s">
        <v>1686</v>
      </c>
      <c r="AA167" s="3" t="s">
        <v>1706</v>
      </c>
      <c r="AB167" s="3" t="s">
        <v>1707</v>
      </c>
      <c r="AC167" s="3" t="s">
        <v>1708</v>
      </c>
      <c r="AE167" s="3" t="s">
        <v>83</v>
      </c>
      <c r="AF167" s="3" t="s">
        <v>2525</v>
      </c>
      <c r="AG167" s="3" t="s">
        <v>2525</v>
      </c>
      <c r="AH167" s="3" t="s">
        <v>2525</v>
      </c>
      <c r="AI167" s="3" t="s">
        <v>2525</v>
      </c>
      <c r="AJ167" s="3" t="s">
        <v>85</v>
      </c>
      <c r="AK167" s="3" t="s">
        <v>2525</v>
      </c>
      <c r="AL167" s="3" t="s">
        <v>2525</v>
      </c>
      <c r="AM167" s="3" t="s">
        <v>2525</v>
      </c>
      <c r="AN167" s="3" t="s">
        <v>2525</v>
      </c>
      <c r="AO167" s="3" t="s">
        <v>2525</v>
      </c>
      <c r="AP167" s="3" t="s">
        <v>2525</v>
      </c>
      <c r="AR167" s="3" t="s">
        <v>2525</v>
      </c>
      <c r="AS167" s="3" t="s">
        <v>2525</v>
      </c>
      <c r="AT167" s="3" t="s">
        <v>85</v>
      </c>
      <c r="AU167" s="3" t="s">
        <v>2525</v>
      </c>
      <c r="AV167" s="3" t="s">
        <v>2525</v>
      </c>
      <c r="AW167" s="3" t="s">
        <v>2525</v>
      </c>
      <c r="AX167" s="3" t="s">
        <v>2525</v>
      </c>
      <c r="AY167" s="3" t="s">
        <v>2525</v>
      </c>
      <c r="AZ167" s="3" t="s">
        <v>2525</v>
      </c>
      <c r="BA167" s="3" t="s">
        <v>2525</v>
      </c>
      <c r="BB167" s="3" t="s">
        <v>2525</v>
      </c>
      <c r="BC167" s="3" t="s">
        <v>84</v>
      </c>
      <c r="BD167" s="3" t="s">
        <v>2525</v>
      </c>
      <c r="BE167" s="3" t="s">
        <v>2525</v>
      </c>
      <c r="BF167" s="3" t="s">
        <v>2525</v>
      </c>
      <c r="BG167" s="3" t="s">
        <v>2525</v>
      </c>
      <c r="BH167" s="3" t="s">
        <v>2525</v>
      </c>
      <c r="BI167" s="3" t="s">
        <v>2525</v>
      </c>
      <c r="BJ167" s="3" t="s">
        <v>2525</v>
      </c>
      <c r="BL167" s="3" t="s">
        <v>2525</v>
      </c>
      <c r="BN167" s="3" t="s">
        <v>1709</v>
      </c>
      <c r="BO167" s="3" t="s">
        <v>137</v>
      </c>
    </row>
    <row r="168">
      <c r="A168" s="3" t="s">
        <v>1711</v>
      </c>
      <c r="B168" s="3" t="s">
        <v>1712</v>
      </c>
      <c r="C168" s="3" t="s">
        <v>92</v>
      </c>
      <c r="D168" s="3" t="s">
        <v>1713</v>
      </c>
      <c r="I168" s="3">
        <v>35.0</v>
      </c>
      <c r="J168" s="3" t="s">
        <v>336</v>
      </c>
      <c r="K168" s="3" t="s">
        <v>72</v>
      </c>
      <c r="L168" s="3" t="s">
        <v>73</v>
      </c>
      <c r="M168" s="3" t="s">
        <v>1281</v>
      </c>
      <c r="N168" s="3">
        <v>-43.125</v>
      </c>
      <c r="P168" s="3" t="s">
        <v>149</v>
      </c>
      <c r="Q168" s="32" t="s">
        <v>1711</v>
      </c>
      <c r="R168" s="32" t="s">
        <v>137</v>
      </c>
      <c r="S168" s="32"/>
      <c r="T168" s="32"/>
      <c r="W168" s="3" t="s">
        <v>858</v>
      </c>
      <c r="Y168" s="3" t="s">
        <v>78</v>
      </c>
      <c r="Z168" s="3" t="s">
        <v>1714</v>
      </c>
      <c r="AA168" s="3" t="s">
        <v>1715</v>
      </c>
      <c r="AB168" s="3" t="s">
        <v>1716</v>
      </c>
      <c r="AC168" s="3" t="s">
        <v>1717</v>
      </c>
      <c r="AE168" s="3" t="s">
        <v>83</v>
      </c>
      <c r="AF168" s="3" t="s">
        <v>2525</v>
      </c>
      <c r="AG168" s="3" t="s">
        <v>2525</v>
      </c>
      <c r="AH168" s="3" t="s">
        <v>2525</v>
      </c>
      <c r="AI168" s="3" t="s">
        <v>2525</v>
      </c>
      <c r="AJ168" s="3" t="s">
        <v>2525</v>
      </c>
      <c r="AK168" s="3" t="s">
        <v>2525</v>
      </c>
      <c r="AL168" s="3" t="s">
        <v>2525</v>
      </c>
      <c r="AM168" s="3" t="s">
        <v>2525</v>
      </c>
      <c r="AN168" s="3" t="s">
        <v>2525</v>
      </c>
      <c r="AO168" s="3" t="s">
        <v>2525</v>
      </c>
      <c r="AP168" s="3" t="s">
        <v>85</v>
      </c>
      <c r="AR168" s="3" t="s">
        <v>2525</v>
      </c>
      <c r="AS168" s="3" t="s">
        <v>2525</v>
      </c>
      <c r="AT168" s="3" t="s">
        <v>2525</v>
      </c>
      <c r="AU168" s="3" t="s">
        <v>84</v>
      </c>
      <c r="AV168" s="3" t="s">
        <v>2525</v>
      </c>
      <c r="AW168" s="3" t="s">
        <v>129</v>
      </c>
      <c r="AX168" s="3" t="s">
        <v>2525</v>
      </c>
      <c r="AY168" s="3" t="s">
        <v>2525</v>
      </c>
      <c r="AZ168" s="3" t="s">
        <v>2525</v>
      </c>
      <c r="BA168" s="3" t="s">
        <v>84</v>
      </c>
      <c r="BB168" s="3" t="s">
        <v>2525</v>
      </c>
      <c r="BC168" s="3" t="s">
        <v>2525</v>
      </c>
      <c r="BD168" s="3" t="s">
        <v>2525</v>
      </c>
      <c r="BE168" s="3" t="s">
        <v>2525</v>
      </c>
      <c r="BF168" s="3" t="s">
        <v>2525</v>
      </c>
      <c r="BG168" s="3" t="s">
        <v>2525</v>
      </c>
      <c r="BH168" s="3" t="s">
        <v>2525</v>
      </c>
      <c r="BI168" s="3" t="s">
        <v>2525</v>
      </c>
      <c r="BJ168" s="3" t="s">
        <v>85</v>
      </c>
      <c r="BL168" s="3" t="s">
        <v>2525</v>
      </c>
      <c r="BN168" s="3" t="s">
        <v>1718</v>
      </c>
      <c r="BO168" s="3" t="s">
        <v>137</v>
      </c>
    </row>
    <row r="169">
      <c r="A169" s="3" t="s">
        <v>1720</v>
      </c>
      <c r="B169" s="3" t="s">
        <v>1721</v>
      </c>
      <c r="C169" s="3" t="s">
        <v>92</v>
      </c>
      <c r="D169" s="3" t="s">
        <v>1722</v>
      </c>
      <c r="I169" s="3">
        <v>30.0</v>
      </c>
      <c r="J169" s="3" t="s">
        <v>71</v>
      </c>
      <c r="K169" s="3" t="s">
        <v>72</v>
      </c>
      <c r="L169" s="3" t="s">
        <v>73</v>
      </c>
      <c r="M169" s="3" t="s">
        <v>40</v>
      </c>
      <c r="N169" s="3">
        <v>-45.794392523364486</v>
      </c>
      <c r="P169" s="3" t="s">
        <v>149</v>
      </c>
      <c r="Q169" s="32" t="s">
        <v>1720</v>
      </c>
      <c r="R169" s="32" t="s">
        <v>1723</v>
      </c>
      <c r="S169" s="32"/>
      <c r="T169" s="32"/>
      <c r="W169" s="3" t="s">
        <v>858</v>
      </c>
      <c r="Y169" s="3" t="s">
        <v>78</v>
      </c>
      <c r="Z169" s="3" t="s">
        <v>1724</v>
      </c>
      <c r="AA169" s="3" t="s">
        <v>1725</v>
      </c>
      <c r="AB169" s="3" t="s">
        <v>1726</v>
      </c>
      <c r="AC169" s="3" t="s">
        <v>1727</v>
      </c>
      <c r="AE169" s="3" t="s">
        <v>83</v>
      </c>
      <c r="AF169" s="3" t="s">
        <v>2525</v>
      </c>
      <c r="AG169" s="3" t="s">
        <v>2525</v>
      </c>
      <c r="AH169" s="3" t="s">
        <v>2525</v>
      </c>
      <c r="AI169" s="3" t="s">
        <v>2525</v>
      </c>
      <c r="AJ169" s="3" t="s">
        <v>2525</v>
      </c>
      <c r="AK169" s="3" t="s">
        <v>2525</v>
      </c>
      <c r="AL169" s="3" t="s">
        <v>2525</v>
      </c>
      <c r="AM169" s="3" t="s">
        <v>2525</v>
      </c>
      <c r="AN169" s="3" t="s">
        <v>2525</v>
      </c>
      <c r="AO169" s="3" t="s">
        <v>84</v>
      </c>
      <c r="AP169" s="3" t="s">
        <v>2525</v>
      </c>
      <c r="AR169" s="3" t="s">
        <v>2525</v>
      </c>
      <c r="AS169" s="3" t="s">
        <v>2525</v>
      </c>
      <c r="AT169" s="3" t="s">
        <v>2525</v>
      </c>
      <c r="AU169" s="3" t="s">
        <v>84</v>
      </c>
      <c r="AV169" s="3" t="s">
        <v>85</v>
      </c>
      <c r="AW169" s="3" t="s">
        <v>2525</v>
      </c>
      <c r="AX169" s="3" t="s">
        <v>2525</v>
      </c>
      <c r="AY169" s="3" t="s">
        <v>2525</v>
      </c>
      <c r="AZ169" s="3" t="s">
        <v>2525</v>
      </c>
      <c r="BA169" s="3" t="s">
        <v>2525</v>
      </c>
      <c r="BB169" s="3" t="s">
        <v>2525</v>
      </c>
      <c r="BC169" s="3" t="s">
        <v>2525</v>
      </c>
      <c r="BD169" s="3" t="s">
        <v>2525</v>
      </c>
      <c r="BE169" s="3" t="s">
        <v>2525</v>
      </c>
      <c r="BF169" s="3" t="s">
        <v>2525</v>
      </c>
      <c r="BG169" s="3" t="s">
        <v>2525</v>
      </c>
      <c r="BH169" s="3" t="s">
        <v>2525</v>
      </c>
      <c r="BI169" s="3" t="s">
        <v>2525</v>
      </c>
      <c r="BJ169" s="3" t="s">
        <v>2525</v>
      </c>
      <c r="BL169" s="3" t="s">
        <v>2525</v>
      </c>
      <c r="BN169" s="3" t="s">
        <v>137</v>
      </c>
      <c r="BO169" s="3" t="s">
        <v>137</v>
      </c>
    </row>
    <row r="170">
      <c r="A170" s="3" t="s">
        <v>1729</v>
      </c>
      <c r="B170" s="3" t="s">
        <v>1730</v>
      </c>
      <c r="C170" s="3" t="s">
        <v>92</v>
      </c>
      <c r="D170" s="3" t="s">
        <v>1731</v>
      </c>
      <c r="I170" s="3">
        <v>25.0</v>
      </c>
      <c r="J170" s="3" t="s">
        <v>71</v>
      </c>
      <c r="K170" s="3" t="s">
        <v>72</v>
      </c>
      <c r="L170" s="3" t="s">
        <v>2525</v>
      </c>
      <c r="M170" s="3" t="s">
        <v>1732</v>
      </c>
      <c r="N170" s="3">
        <v>-43.125</v>
      </c>
      <c r="P170" s="3" t="s">
        <v>110</v>
      </c>
      <c r="Q170" s="32" t="s">
        <v>1729</v>
      </c>
      <c r="R170" s="32" t="s">
        <v>1733</v>
      </c>
      <c r="S170" s="32"/>
      <c r="T170" s="32"/>
      <c r="W170" s="3" t="s">
        <v>858</v>
      </c>
      <c r="Y170" s="3" t="s">
        <v>78</v>
      </c>
      <c r="Z170" s="3" t="s">
        <v>1734</v>
      </c>
      <c r="AA170" s="3" t="s">
        <v>1735</v>
      </c>
      <c r="AB170" s="3" t="s">
        <v>1736</v>
      </c>
      <c r="AC170" s="3" t="s">
        <v>1737</v>
      </c>
      <c r="AE170" s="3" t="s">
        <v>83</v>
      </c>
      <c r="AF170" s="3" t="s">
        <v>2525</v>
      </c>
      <c r="AG170" s="3" t="s">
        <v>2525</v>
      </c>
      <c r="AH170" s="3" t="s">
        <v>2525</v>
      </c>
      <c r="AI170" s="3" t="s">
        <v>2525</v>
      </c>
      <c r="AJ170" s="3" t="s">
        <v>2525</v>
      </c>
      <c r="AK170" s="3" t="s">
        <v>2525</v>
      </c>
      <c r="AL170" s="3" t="s">
        <v>2525</v>
      </c>
      <c r="AM170" s="3" t="s">
        <v>2525</v>
      </c>
      <c r="AN170" s="3" t="s">
        <v>2525</v>
      </c>
      <c r="AO170" s="3" t="s">
        <v>2525</v>
      </c>
      <c r="AP170" s="3" t="s">
        <v>2525</v>
      </c>
      <c r="AR170" s="3" t="s">
        <v>2525</v>
      </c>
      <c r="AS170" s="3" t="s">
        <v>2525</v>
      </c>
      <c r="AT170" s="3" t="s">
        <v>2525</v>
      </c>
      <c r="AU170" s="3" t="s">
        <v>2525</v>
      </c>
      <c r="AV170" s="3" t="s">
        <v>2525</v>
      </c>
      <c r="AW170" s="3" t="s">
        <v>2525</v>
      </c>
      <c r="AX170" s="3" t="s">
        <v>2525</v>
      </c>
      <c r="AY170" s="3" t="s">
        <v>2525</v>
      </c>
      <c r="AZ170" s="3" t="s">
        <v>2525</v>
      </c>
      <c r="BA170" s="3" t="s">
        <v>2525</v>
      </c>
      <c r="BB170" s="3" t="s">
        <v>2525</v>
      </c>
      <c r="BC170" s="3" t="s">
        <v>2525</v>
      </c>
      <c r="BD170" s="3" t="s">
        <v>2525</v>
      </c>
      <c r="BE170" s="3" t="s">
        <v>2525</v>
      </c>
      <c r="BF170" s="3" t="s">
        <v>84</v>
      </c>
      <c r="BG170" s="3" t="s">
        <v>2525</v>
      </c>
      <c r="BH170" s="3" t="s">
        <v>2525</v>
      </c>
      <c r="BI170" s="3" t="s">
        <v>2525</v>
      </c>
      <c r="BJ170" s="3" t="s">
        <v>2525</v>
      </c>
      <c r="BL170" s="3" t="s">
        <v>2525</v>
      </c>
      <c r="BN170" s="3" t="s">
        <v>1738</v>
      </c>
      <c r="BO170" s="3" t="s">
        <v>1739</v>
      </c>
    </row>
    <row r="171">
      <c r="A171" s="3" t="s">
        <v>1741</v>
      </c>
      <c r="B171" s="3" t="s">
        <v>1742</v>
      </c>
      <c r="C171" s="3" t="s">
        <v>92</v>
      </c>
      <c r="D171" s="3" t="s">
        <v>1743</v>
      </c>
      <c r="I171" s="3">
        <v>30.0</v>
      </c>
      <c r="J171" s="3" t="s">
        <v>1407</v>
      </c>
      <c r="K171" s="3" t="s">
        <v>72</v>
      </c>
      <c r="L171" s="3" t="s">
        <v>108</v>
      </c>
      <c r="M171" s="3" t="s">
        <v>109</v>
      </c>
      <c r="N171" s="3">
        <v>-19.75</v>
      </c>
      <c r="P171" s="3" t="s">
        <v>149</v>
      </c>
      <c r="Q171" s="32" t="s">
        <v>1741</v>
      </c>
      <c r="R171" s="32" t="s">
        <v>137</v>
      </c>
      <c r="S171" s="32"/>
      <c r="T171" s="32"/>
      <c r="W171" s="3" t="s">
        <v>858</v>
      </c>
      <c r="X171" s="3" t="s">
        <v>77</v>
      </c>
      <c r="Y171" s="3" t="s">
        <v>78</v>
      </c>
      <c r="Z171" s="3" t="s">
        <v>1744</v>
      </c>
      <c r="AA171" s="3" t="s">
        <v>1745</v>
      </c>
      <c r="AB171" s="3" t="s">
        <v>1746</v>
      </c>
      <c r="AC171" s="3" t="s">
        <v>1747</v>
      </c>
      <c r="AE171" s="3" t="s">
        <v>83</v>
      </c>
      <c r="AF171" s="3" t="s">
        <v>2525</v>
      </c>
      <c r="AG171" s="3" t="s">
        <v>2525</v>
      </c>
      <c r="AH171" s="3" t="s">
        <v>84</v>
      </c>
      <c r="AI171" s="3" t="s">
        <v>2525</v>
      </c>
      <c r="AJ171" s="3" t="s">
        <v>84</v>
      </c>
      <c r="AK171" s="3" t="s">
        <v>2525</v>
      </c>
      <c r="AL171" s="3" t="s">
        <v>2525</v>
      </c>
      <c r="AM171" s="3" t="s">
        <v>85</v>
      </c>
      <c r="AN171" s="3" t="s">
        <v>2525</v>
      </c>
      <c r="AO171" s="3" t="s">
        <v>2525</v>
      </c>
      <c r="AP171" s="3" t="s">
        <v>2525</v>
      </c>
      <c r="AR171" s="3" t="s">
        <v>2525</v>
      </c>
      <c r="AS171" s="3" t="s">
        <v>85</v>
      </c>
      <c r="AT171" s="3" t="s">
        <v>85</v>
      </c>
      <c r="AU171" s="3" t="s">
        <v>2525</v>
      </c>
      <c r="AV171" s="3" t="s">
        <v>2525</v>
      </c>
      <c r="AW171" s="3" t="s">
        <v>2525</v>
      </c>
      <c r="AX171" s="3" t="s">
        <v>2525</v>
      </c>
      <c r="AY171" s="3" t="s">
        <v>2525</v>
      </c>
      <c r="AZ171" s="3" t="s">
        <v>85</v>
      </c>
      <c r="BA171" s="3" t="s">
        <v>2525</v>
      </c>
      <c r="BB171" s="3" t="s">
        <v>2525</v>
      </c>
      <c r="BC171" s="3" t="s">
        <v>2525</v>
      </c>
      <c r="BD171" s="3" t="s">
        <v>2525</v>
      </c>
      <c r="BE171" s="3" t="s">
        <v>2525</v>
      </c>
      <c r="BF171" s="3" t="s">
        <v>2525</v>
      </c>
      <c r="BG171" s="3" t="s">
        <v>2525</v>
      </c>
      <c r="BH171" s="3" t="s">
        <v>2525</v>
      </c>
      <c r="BI171" s="3" t="s">
        <v>2525</v>
      </c>
      <c r="BJ171" s="3" t="s">
        <v>2525</v>
      </c>
      <c r="BK171" s="3" t="s">
        <v>86</v>
      </c>
      <c r="BL171" s="3" t="s">
        <v>2525</v>
      </c>
      <c r="BN171" s="3" t="s">
        <v>137</v>
      </c>
      <c r="BO171" s="3" t="s">
        <v>137</v>
      </c>
    </row>
    <row r="172">
      <c r="A172" s="3" t="s">
        <v>1749</v>
      </c>
      <c r="B172" s="3" t="s">
        <v>1750</v>
      </c>
      <c r="C172" s="3" t="s">
        <v>92</v>
      </c>
      <c r="D172" s="3" t="s">
        <v>1751</v>
      </c>
      <c r="I172" s="3">
        <v>30.0</v>
      </c>
      <c r="J172" s="3" t="s">
        <v>159</v>
      </c>
      <c r="K172" s="3" t="s">
        <v>72</v>
      </c>
      <c r="L172" s="3" t="s">
        <v>2525</v>
      </c>
      <c r="M172" s="3" t="s">
        <v>1732</v>
      </c>
      <c r="N172" s="3">
        <v>1.639344262295082</v>
      </c>
      <c r="P172" s="3" t="s">
        <v>149</v>
      </c>
      <c r="Q172" s="32" t="s">
        <v>1749</v>
      </c>
      <c r="R172" s="32" t="s">
        <v>137</v>
      </c>
      <c r="S172" s="32"/>
      <c r="T172" s="32"/>
      <c r="Y172" s="3" t="s">
        <v>78</v>
      </c>
      <c r="Z172" s="3" t="s">
        <v>1734</v>
      </c>
      <c r="AA172" s="3" t="s">
        <v>1752</v>
      </c>
      <c r="AB172" s="3" t="s">
        <v>1736</v>
      </c>
      <c r="AC172" s="3" t="s">
        <v>1753</v>
      </c>
      <c r="AE172" s="3" t="s">
        <v>83</v>
      </c>
      <c r="AF172" s="3" t="s">
        <v>2525</v>
      </c>
      <c r="AG172" s="3" t="s">
        <v>2525</v>
      </c>
      <c r="AH172" s="3" t="s">
        <v>2525</v>
      </c>
      <c r="AI172" s="3" t="s">
        <v>2525</v>
      </c>
      <c r="AJ172" s="3" t="s">
        <v>2525</v>
      </c>
      <c r="AK172" s="3" t="s">
        <v>2525</v>
      </c>
      <c r="AL172" s="3" t="s">
        <v>2525</v>
      </c>
      <c r="AM172" s="3" t="s">
        <v>2525</v>
      </c>
      <c r="AN172" s="3" t="s">
        <v>2525</v>
      </c>
      <c r="AO172" s="3" t="s">
        <v>2525</v>
      </c>
      <c r="AP172" s="3" t="s">
        <v>2525</v>
      </c>
      <c r="AR172" s="3" t="s">
        <v>84</v>
      </c>
      <c r="AS172" s="3" t="s">
        <v>2525</v>
      </c>
      <c r="AT172" s="3" t="s">
        <v>2525</v>
      </c>
      <c r="AU172" s="3" t="s">
        <v>2525</v>
      </c>
      <c r="AV172" s="3" t="s">
        <v>2525</v>
      </c>
      <c r="AW172" s="3" t="s">
        <v>2525</v>
      </c>
      <c r="AX172" s="3" t="s">
        <v>2525</v>
      </c>
      <c r="AY172" s="3" t="s">
        <v>2525</v>
      </c>
      <c r="AZ172" s="3" t="s">
        <v>2525</v>
      </c>
      <c r="BA172" s="3" t="s">
        <v>2525</v>
      </c>
      <c r="BB172" s="3" t="s">
        <v>2525</v>
      </c>
      <c r="BC172" s="3" t="s">
        <v>2525</v>
      </c>
      <c r="BD172" s="3" t="s">
        <v>2525</v>
      </c>
      <c r="BE172" s="3" t="s">
        <v>2525</v>
      </c>
      <c r="BF172" s="3" t="s">
        <v>2525</v>
      </c>
      <c r="BG172" s="3" t="s">
        <v>2525</v>
      </c>
      <c r="BH172" s="3" t="s">
        <v>2525</v>
      </c>
      <c r="BI172" s="3" t="s">
        <v>2525</v>
      </c>
      <c r="BJ172" s="3" t="s">
        <v>2525</v>
      </c>
      <c r="BL172" s="3" t="s">
        <v>2525</v>
      </c>
      <c r="BN172" s="3" t="s">
        <v>137</v>
      </c>
      <c r="BO172" s="3" t="s">
        <v>137</v>
      </c>
    </row>
    <row r="173">
      <c r="A173" s="3" t="s">
        <v>1755</v>
      </c>
      <c r="B173" s="3" t="s">
        <v>1756</v>
      </c>
      <c r="C173" s="3" t="s">
        <v>92</v>
      </c>
      <c r="D173" s="3" t="s">
        <v>1757</v>
      </c>
      <c r="I173" s="3">
        <v>38.0</v>
      </c>
      <c r="J173" s="3" t="s">
        <v>71</v>
      </c>
      <c r="K173" s="3" t="s">
        <v>72</v>
      </c>
      <c r="L173" s="3" t="s">
        <v>108</v>
      </c>
      <c r="M173" s="3" t="s">
        <v>109</v>
      </c>
      <c r="N173" s="3">
        <v>1.153846153846154</v>
      </c>
      <c r="P173" s="3" t="s">
        <v>110</v>
      </c>
      <c r="Q173" s="32" t="s">
        <v>1755</v>
      </c>
      <c r="R173" s="32" t="s">
        <v>1605</v>
      </c>
      <c r="S173" s="32"/>
      <c r="T173" s="32"/>
      <c r="X173" s="3" t="s">
        <v>77</v>
      </c>
      <c r="Y173" s="3" t="s">
        <v>78</v>
      </c>
      <c r="Z173" s="3" t="s">
        <v>1744</v>
      </c>
      <c r="AA173" s="3" t="s">
        <v>1745</v>
      </c>
      <c r="AB173" s="3" t="s">
        <v>1746</v>
      </c>
      <c r="AC173" s="3" t="s">
        <v>1747</v>
      </c>
      <c r="AD173" s="3" t="s">
        <v>1758</v>
      </c>
      <c r="AE173" s="3" t="s">
        <v>83</v>
      </c>
      <c r="AF173" s="3" t="s">
        <v>2525</v>
      </c>
      <c r="AG173" s="3" t="s">
        <v>2525</v>
      </c>
      <c r="AH173" s="3" t="s">
        <v>2525</v>
      </c>
      <c r="AI173" s="3" t="s">
        <v>129</v>
      </c>
      <c r="AJ173" s="3" t="s">
        <v>2525</v>
      </c>
      <c r="AK173" s="3" t="s">
        <v>2525</v>
      </c>
      <c r="AL173" s="3" t="s">
        <v>2525</v>
      </c>
      <c r="AM173" s="3" t="s">
        <v>2525</v>
      </c>
      <c r="AN173" s="3" t="s">
        <v>2525</v>
      </c>
      <c r="AO173" s="3" t="s">
        <v>2525</v>
      </c>
      <c r="AP173" s="3" t="s">
        <v>2525</v>
      </c>
      <c r="AR173" s="3" t="s">
        <v>2525</v>
      </c>
      <c r="AS173" s="3" t="s">
        <v>2525</v>
      </c>
      <c r="AT173" s="3" t="s">
        <v>2525</v>
      </c>
      <c r="AU173" s="3" t="s">
        <v>2525</v>
      </c>
      <c r="AV173" s="3" t="s">
        <v>2525</v>
      </c>
      <c r="AW173" s="3" t="s">
        <v>2525</v>
      </c>
      <c r="AX173" s="3" t="s">
        <v>2525</v>
      </c>
      <c r="AY173" s="3" t="s">
        <v>2525</v>
      </c>
      <c r="AZ173" s="3" t="s">
        <v>2525</v>
      </c>
      <c r="BA173" s="3" t="s">
        <v>2525</v>
      </c>
      <c r="BB173" s="3" t="s">
        <v>2525</v>
      </c>
      <c r="BC173" s="3" t="s">
        <v>2525</v>
      </c>
      <c r="BD173" s="3" t="s">
        <v>2525</v>
      </c>
      <c r="BE173" s="3" t="s">
        <v>84</v>
      </c>
      <c r="BF173" s="3" t="s">
        <v>2525</v>
      </c>
      <c r="BG173" s="3" t="s">
        <v>2525</v>
      </c>
      <c r="BH173" s="3" t="s">
        <v>2525</v>
      </c>
      <c r="BI173" s="3" t="s">
        <v>2525</v>
      </c>
      <c r="BJ173" s="3" t="s">
        <v>2525</v>
      </c>
      <c r="BK173" s="3" t="s">
        <v>86</v>
      </c>
      <c r="BL173" s="3" t="s">
        <v>2525</v>
      </c>
      <c r="BN173" s="3" t="s">
        <v>1071</v>
      </c>
      <c r="BO173" s="3" t="s">
        <v>1759</v>
      </c>
    </row>
    <row r="174">
      <c r="A174" s="3" t="s">
        <v>1761</v>
      </c>
      <c r="B174" s="3" t="s">
        <v>1762</v>
      </c>
      <c r="C174" s="3" t="s">
        <v>92</v>
      </c>
      <c r="D174" s="3" t="s">
        <v>1763</v>
      </c>
      <c r="I174" s="3">
        <v>36.0</v>
      </c>
      <c r="J174" s="3" t="s">
        <v>71</v>
      </c>
      <c r="K174" s="3" t="s">
        <v>72</v>
      </c>
      <c r="L174" s="3" t="s">
        <v>73</v>
      </c>
      <c r="M174" s="3" t="s">
        <v>285</v>
      </c>
      <c r="N174" s="3">
        <v>-11.380145278450362</v>
      </c>
      <c r="P174" s="3" t="s">
        <v>149</v>
      </c>
      <c r="Q174" s="32" t="s">
        <v>1761</v>
      </c>
      <c r="R174" s="32" t="s">
        <v>1764</v>
      </c>
      <c r="S174" s="32"/>
      <c r="T174" s="32"/>
      <c r="W174" s="3" t="s">
        <v>858</v>
      </c>
      <c r="Y174" s="3" t="s">
        <v>78</v>
      </c>
      <c r="Z174" s="3" t="s">
        <v>1765</v>
      </c>
      <c r="AA174" s="3" t="s">
        <v>1766</v>
      </c>
      <c r="AB174" s="3" t="s">
        <v>1767</v>
      </c>
      <c r="AC174" s="3" t="s">
        <v>1768</v>
      </c>
      <c r="AE174" s="3" t="s">
        <v>83</v>
      </c>
      <c r="AF174" s="3" t="s">
        <v>2525</v>
      </c>
      <c r="AG174" s="3" t="s">
        <v>2525</v>
      </c>
      <c r="AH174" s="3" t="s">
        <v>2525</v>
      </c>
      <c r="AI174" s="3" t="s">
        <v>2525</v>
      </c>
      <c r="AJ174" s="3" t="s">
        <v>2525</v>
      </c>
      <c r="AK174" s="3" t="s">
        <v>2525</v>
      </c>
      <c r="AL174" s="3" t="s">
        <v>2525</v>
      </c>
      <c r="AM174" s="3" t="s">
        <v>2525</v>
      </c>
      <c r="AN174" s="3" t="s">
        <v>2525</v>
      </c>
      <c r="AO174" s="3" t="s">
        <v>2525</v>
      </c>
      <c r="AP174" s="3" t="s">
        <v>84</v>
      </c>
      <c r="AR174" s="3" t="s">
        <v>2525</v>
      </c>
      <c r="AS174" s="3" t="s">
        <v>2525</v>
      </c>
      <c r="AT174" s="3" t="s">
        <v>2525</v>
      </c>
      <c r="AU174" s="3" t="s">
        <v>84</v>
      </c>
      <c r="AV174" s="3" t="s">
        <v>2525</v>
      </c>
      <c r="AW174" s="3" t="s">
        <v>84</v>
      </c>
      <c r="AX174" s="3" t="s">
        <v>2525</v>
      </c>
      <c r="AY174" s="3" t="s">
        <v>2525</v>
      </c>
      <c r="AZ174" s="3" t="s">
        <v>2525</v>
      </c>
      <c r="BA174" s="3" t="s">
        <v>84</v>
      </c>
      <c r="BB174" s="3" t="s">
        <v>2525</v>
      </c>
      <c r="BC174" s="3" t="s">
        <v>2525</v>
      </c>
      <c r="BD174" s="3" t="s">
        <v>2525</v>
      </c>
      <c r="BE174" s="3" t="s">
        <v>2525</v>
      </c>
      <c r="BF174" s="3" t="s">
        <v>2525</v>
      </c>
      <c r="BG174" s="3" t="s">
        <v>2525</v>
      </c>
      <c r="BH174" s="3" t="s">
        <v>2525</v>
      </c>
      <c r="BI174" s="3" t="s">
        <v>2525</v>
      </c>
      <c r="BJ174" s="3" t="s">
        <v>84</v>
      </c>
      <c r="BL174" s="3" t="s">
        <v>2525</v>
      </c>
      <c r="BN174" s="3" t="s">
        <v>1769</v>
      </c>
      <c r="BO174" s="3" t="s">
        <v>137</v>
      </c>
    </row>
    <row r="175">
      <c r="A175" s="3" t="s">
        <v>1771</v>
      </c>
      <c r="B175" s="3" t="s">
        <v>1772</v>
      </c>
      <c r="C175" s="3" t="s">
        <v>92</v>
      </c>
      <c r="D175" s="3" t="s">
        <v>1773</v>
      </c>
      <c r="I175" s="3">
        <v>47.0</v>
      </c>
      <c r="J175" s="3" t="s">
        <v>71</v>
      </c>
      <c r="K175" s="3" t="s">
        <v>72</v>
      </c>
      <c r="L175" s="3" t="s">
        <v>73</v>
      </c>
      <c r="M175" s="3" t="s">
        <v>36</v>
      </c>
      <c r="N175" s="3">
        <v>26.07003891050584</v>
      </c>
      <c r="P175" s="3" t="s">
        <v>260</v>
      </c>
      <c r="Q175" s="32" t="s">
        <v>1771</v>
      </c>
      <c r="R175" s="32" t="s">
        <v>1358</v>
      </c>
      <c r="S175" s="32"/>
      <c r="T175" s="32"/>
      <c r="X175" s="3" t="s">
        <v>77</v>
      </c>
      <c r="Y175" s="3" t="s">
        <v>138</v>
      </c>
      <c r="Z175" s="3" t="s">
        <v>1774</v>
      </c>
      <c r="AA175" s="3" t="s">
        <v>1775</v>
      </c>
      <c r="AB175" s="3" t="s">
        <v>1776</v>
      </c>
      <c r="AC175" s="3" t="s">
        <v>1777</v>
      </c>
      <c r="AE175" s="3" t="s">
        <v>83</v>
      </c>
      <c r="AF175" s="3" t="s">
        <v>2525</v>
      </c>
      <c r="AG175" s="3" t="s">
        <v>2525</v>
      </c>
      <c r="AH175" s="3" t="s">
        <v>2525</v>
      </c>
      <c r="AI175" s="3" t="s">
        <v>2525</v>
      </c>
      <c r="AJ175" s="3" t="s">
        <v>2525</v>
      </c>
      <c r="AK175" s="3" t="s">
        <v>84</v>
      </c>
      <c r="AL175" s="3" t="s">
        <v>2525</v>
      </c>
      <c r="AM175" s="3" t="s">
        <v>2525</v>
      </c>
      <c r="AN175" s="3" t="s">
        <v>2525</v>
      </c>
      <c r="AO175" s="3" t="s">
        <v>2525</v>
      </c>
      <c r="AP175" s="3" t="s">
        <v>2525</v>
      </c>
      <c r="AR175" s="3" t="s">
        <v>2525</v>
      </c>
      <c r="AS175" s="3" t="s">
        <v>85</v>
      </c>
      <c r="AT175" s="3" t="s">
        <v>2525</v>
      </c>
      <c r="AU175" s="3" t="s">
        <v>2525</v>
      </c>
      <c r="AV175" s="3" t="s">
        <v>2525</v>
      </c>
      <c r="AW175" s="3" t="s">
        <v>2525</v>
      </c>
      <c r="AX175" s="3" t="s">
        <v>2525</v>
      </c>
      <c r="AY175" s="3" t="s">
        <v>2525</v>
      </c>
      <c r="AZ175" s="3" t="s">
        <v>129</v>
      </c>
      <c r="BA175" s="3" t="s">
        <v>2525</v>
      </c>
      <c r="BB175" s="3" t="s">
        <v>2525</v>
      </c>
      <c r="BC175" s="3" t="s">
        <v>2525</v>
      </c>
      <c r="BD175" s="3" t="s">
        <v>2525</v>
      </c>
      <c r="BE175" s="3" t="s">
        <v>2525</v>
      </c>
      <c r="BF175" s="3" t="s">
        <v>2525</v>
      </c>
      <c r="BG175" s="3" t="s">
        <v>2525</v>
      </c>
      <c r="BH175" s="3" t="s">
        <v>2525</v>
      </c>
      <c r="BI175" s="3" t="s">
        <v>84</v>
      </c>
      <c r="BJ175" s="3" t="s">
        <v>2525</v>
      </c>
      <c r="BL175" s="3" t="s">
        <v>2525</v>
      </c>
      <c r="BN175" s="3" t="s">
        <v>143</v>
      </c>
      <c r="BO175" s="3" t="s">
        <v>137</v>
      </c>
    </row>
    <row r="176">
      <c r="A176" s="3" t="s">
        <v>1779</v>
      </c>
      <c r="B176" s="3" t="s">
        <v>1780</v>
      </c>
      <c r="C176" s="3" t="s">
        <v>92</v>
      </c>
      <c r="D176" s="3" t="s">
        <v>1781</v>
      </c>
      <c r="I176" s="3">
        <v>35.0</v>
      </c>
      <c r="J176" s="3" t="s">
        <v>702</v>
      </c>
      <c r="K176" s="3" t="s">
        <v>72</v>
      </c>
      <c r="L176" s="3" t="s">
        <v>73</v>
      </c>
      <c r="M176" s="3" t="s">
        <v>39</v>
      </c>
      <c r="N176" s="3">
        <v>-11.76470588235294</v>
      </c>
      <c r="P176" s="3" t="s">
        <v>149</v>
      </c>
      <c r="Q176" s="32" t="s">
        <v>1779</v>
      </c>
      <c r="R176" s="32" t="s">
        <v>137</v>
      </c>
      <c r="S176" s="32"/>
      <c r="T176" s="32"/>
      <c r="W176" s="3" t="s">
        <v>858</v>
      </c>
      <c r="X176" s="3" t="s">
        <v>77</v>
      </c>
      <c r="Y176" s="3" t="s">
        <v>78</v>
      </c>
      <c r="Z176" s="3" t="s">
        <v>1782</v>
      </c>
      <c r="AA176" s="3" t="s">
        <v>1783</v>
      </c>
      <c r="AB176" s="3" t="s">
        <v>1784</v>
      </c>
      <c r="AC176" s="3" t="s">
        <v>1785</v>
      </c>
      <c r="AE176" s="3" t="s">
        <v>83</v>
      </c>
      <c r="AF176" s="3" t="s">
        <v>85</v>
      </c>
      <c r="AG176" s="3" t="s">
        <v>2525</v>
      </c>
      <c r="AH176" s="3" t="s">
        <v>85</v>
      </c>
      <c r="AI176" s="3" t="s">
        <v>2525</v>
      </c>
      <c r="AJ176" s="3" t="s">
        <v>85</v>
      </c>
      <c r="AK176" s="3" t="s">
        <v>2525</v>
      </c>
      <c r="AL176" s="3" t="s">
        <v>2525</v>
      </c>
      <c r="AM176" s="3" t="s">
        <v>85</v>
      </c>
      <c r="AN176" s="3" t="s">
        <v>85</v>
      </c>
      <c r="AO176" s="3" t="s">
        <v>2525</v>
      </c>
      <c r="AP176" s="3" t="s">
        <v>2525</v>
      </c>
      <c r="AR176" s="3" t="s">
        <v>2525</v>
      </c>
      <c r="AS176" s="3" t="s">
        <v>85</v>
      </c>
      <c r="AT176" s="3" t="s">
        <v>85</v>
      </c>
      <c r="AU176" s="3" t="s">
        <v>2525</v>
      </c>
      <c r="AV176" s="3" t="s">
        <v>2525</v>
      </c>
      <c r="AW176" s="3" t="s">
        <v>2525</v>
      </c>
      <c r="AX176" s="3" t="s">
        <v>2525</v>
      </c>
      <c r="AY176" s="3" t="s">
        <v>2525</v>
      </c>
      <c r="AZ176" s="3" t="s">
        <v>2525</v>
      </c>
      <c r="BA176" s="3" t="s">
        <v>84</v>
      </c>
      <c r="BB176" s="3" t="s">
        <v>2525</v>
      </c>
      <c r="BC176" s="3" t="s">
        <v>2525</v>
      </c>
      <c r="BD176" s="3" t="s">
        <v>2525</v>
      </c>
      <c r="BE176" s="3" t="s">
        <v>2525</v>
      </c>
      <c r="BF176" s="3" t="s">
        <v>2525</v>
      </c>
      <c r="BG176" s="3" t="s">
        <v>2525</v>
      </c>
      <c r="BH176" s="3" t="s">
        <v>2525</v>
      </c>
      <c r="BI176" s="3" t="s">
        <v>2525</v>
      </c>
      <c r="BJ176" s="3" t="s">
        <v>85</v>
      </c>
      <c r="BK176" s="3" t="s">
        <v>86</v>
      </c>
      <c r="BL176" s="3" t="s">
        <v>2525</v>
      </c>
      <c r="BN176" s="3" t="s">
        <v>137</v>
      </c>
      <c r="BO176" s="3" t="s">
        <v>137</v>
      </c>
    </row>
    <row r="177">
      <c r="A177" s="3" t="s">
        <v>1787</v>
      </c>
      <c r="B177" s="3" t="s">
        <v>1788</v>
      </c>
      <c r="C177" s="3" t="s">
        <v>92</v>
      </c>
      <c r="D177" s="3" t="s">
        <v>1789</v>
      </c>
      <c r="I177" s="3">
        <v>49.0</v>
      </c>
      <c r="J177" s="3" t="s">
        <v>171</v>
      </c>
      <c r="K177" s="3" t="s">
        <v>72</v>
      </c>
      <c r="L177" s="3" t="s">
        <v>108</v>
      </c>
      <c r="M177" s="3" t="s">
        <v>44</v>
      </c>
      <c r="N177" s="3">
        <v>-55.639097744360896</v>
      </c>
      <c r="P177" s="3" t="s">
        <v>149</v>
      </c>
      <c r="Q177" s="32" t="s">
        <v>1787</v>
      </c>
      <c r="R177" s="32" t="s">
        <v>1790</v>
      </c>
      <c r="S177" s="32"/>
      <c r="T177" s="32"/>
      <c r="Y177" s="3" t="s">
        <v>78</v>
      </c>
      <c r="Z177" s="3" t="s">
        <v>1774</v>
      </c>
      <c r="AA177" s="3" t="s">
        <v>1791</v>
      </c>
      <c r="AB177" s="3" t="s">
        <v>1792</v>
      </c>
      <c r="AC177" s="3" t="s">
        <v>1793</v>
      </c>
      <c r="AD177" s="3" t="s">
        <v>1794</v>
      </c>
      <c r="AE177" s="3" t="s">
        <v>83</v>
      </c>
      <c r="AF177" s="3" t="s">
        <v>2525</v>
      </c>
      <c r="AG177" s="3" t="s">
        <v>2525</v>
      </c>
      <c r="AH177" s="3" t="s">
        <v>2525</v>
      </c>
      <c r="AI177" s="3" t="s">
        <v>2525</v>
      </c>
      <c r="AJ177" s="3" t="s">
        <v>129</v>
      </c>
      <c r="AK177" s="3" t="s">
        <v>2525</v>
      </c>
      <c r="AL177" s="3" t="s">
        <v>2525</v>
      </c>
      <c r="AM177" s="3" t="s">
        <v>2525</v>
      </c>
      <c r="AN177" s="3" t="s">
        <v>2525</v>
      </c>
      <c r="AO177" s="3" t="s">
        <v>2525</v>
      </c>
      <c r="AP177" s="3" t="s">
        <v>2525</v>
      </c>
      <c r="AR177" s="3" t="s">
        <v>2525</v>
      </c>
      <c r="AS177" s="3" t="s">
        <v>2525</v>
      </c>
      <c r="AT177" s="3" t="s">
        <v>129</v>
      </c>
      <c r="AU177" s="3" t="s">
        <v>2525</v>
      </c>
      <c r="AV177" s="3" t="s">
        <v>2525</v>
      </c>
      <c r="AW177" s="3" t="s">
        <v>2525</v>
      </c>
      <c r="AX177" s="3" t="s">
        <v>2525</v>
      </c>
      <c r="AY177" s="3" t="s">
        <v>2525</v>
      </c>
      <c r="AZ177" s="3" t="s">
        <v>2525</v>
      </c>
      <c r="BA177" s="3" t="s">
        <v>2525</v>
      </c>
      <c r="BB177" s="3" t="s">
        <v>2525</v>
      </c>
      <c r="BC177" s="3" t="s">
        <v>2525</v>
      </c>
      <c r="BD177" s="3" t="s">
        <v>2525</v>
      </c>
      <c r="BE177" s="3" t="s">
        <v>85</v>
      </c>
      <c r="BF177" s="3" t="s">
        <v>2525</v>
      </c>
      <c r="BG177" s="3" t="s">
        <v>2525</v>
      </c>
      <c r="BH177" s="3" t="s">
        <v>2525</v>
      </c>
      <c r="BI177" s="3" t="s">
        <v>2525</v>
      </c>
      <c r="BJ177" s="3" t="s">
        <v>2525</v>
      </c>
      <c r="BL177" s="3" t="s">
        <v>2525</v>
      </c>
      <c r="BN177" s="3" t="s">
        <v>209</v>
      </c>
      <c r="BO177" s="3" t="s">
        <v>1795</v>
      </c>
    </row>
    <row r="178">
      <c r="A178" s="3" t="s">
        <v>1797</v>
      </c>
      <c r="B178" s="3" t="s">
        <v>1798</v>
      </c>
      <c r="C178" s="3" t="s">
        <v>92</v>
      </c>
      <c r="D178" s="3" t="s">
        <v>1781</v>
      </c>
      <c r="I178" s="3">
        <v>25.0</v>
      </c>
      <c r="J178" s="3" t="s">
        <v>71</v>
      </c>
      <c r="K178" s="3" t="s">
        <v>72</v>
      </c>
      <c r="L178" s="3" t="s">
        <v>108</v>
      </c>
      <c r="M178" s="3" t="s">
        <v>109</v>
      </c>
      <c r="N178" s="3">
        <v>-11.76470588235294</v>
      </c>
      <c r="P178" s="3" t="s">
        <v>75</v>
      </c>
      <c r="Q178" s="32" t="s">
        <v>1797</v>
      </c>
      <c r="R178" s="32" t="s">
        <v>1799</v>
      </c>
      <c r="S178" s="32"/>
      <c r="T178" s="32"/>
      <c r="W178" s="3" t="s">
        <v>1694</v>
      </c>
      <c r="X178" s="3" t="s">
        <v>77</v>
      </c>
      <c r="Y178" s="3" t="s">
        <v>78</v>
      </c>
      <c r="Z178" s="3" t="s">
        <v>1782</v>
      </c>
      <c r="AA178" s="3" t="s">
        <v>1800</v>
      </c>
      <c r="AB178" s="3" t="s">
        <v>1801</v>
      </c>
      <c r="AC178" s="3" t="s">
        <v>1802</v>
      </c>
      <c r="AE178" s="3" t="s">
        <v>83</v>
      </c>
      <c r="AF178" s="3" t="s">
        <v>2525</v>
      </c>
      <c r="AG178" s="3" t="s">
        <v>2525</v>
      </c>
      <c r="AH178" s="3" t="s">
        <v>84</v>
      </c>
      <c r="AI178" s="3" t="s">
        <v>84</v>
      </c>
      <c r="AJ178" s="3" t="s">
        <v>84</v>
      </c>
      <c r="AK178" s="3" t="s">
        <v>2525</v>
      </c>
      <c r="AL178" s="3" t="s">
        <v>2525</v>
      </c>
      <c r="AM178" s="3" t="s">
        <v>85</v>
      </c>
      <c r="AN178" s="3" t="s">
        <v>2525</v>
      </c>
      <c r="AO178" s="3" t="s">
        <v>2525</v>
      </c>
      <c r="AP178" s="3" t="s">
        <v>2525</v>
      </c>
      <c r="AR178" s="3" t="s">
        <v>2525</v>
      </c>
      <c r="AS178" s="3" t="s">
        <v>2525</v>
      </c>
      <c r="AT178" s="3" t="s">
        <v>85</v>
      </c>
      <c r="AU178" s="3" t="s">
        <v>2525</v>
      </c>
      <c r="AV178" s="3" t="s">
        <v>2525</v>
      </c>
      <c r="AW178" s="3" t="s">
        <v>2525</v>
      </c>
      <c r="AX178" s="3" t="s">
        <v>2525</v>
      </c>
      <c r="AY178" s="3" t="s">
        <v>2525</v>
      </c>
      <c r="AZ178" s="3" t="s">
        <v>2525</v>
      </c>
      <c r="BA178" s="3" t="s">
        <v>2525</v>
      </c>
      <c r="BB178" s="3" t="s">
        <v>2525</v>
      </c>
      <c r="BC178" s="3" t="s">
        <v>2525</v>
      </c>
      <c r="BD178" s="3" t="s">
        <v>2525</v>
      </c>
      <c r="BE178" s="3" t="s">
        <v>85</v>
      </c>
      <c r="BF178" s="3" t="s">
        <v>2525</v>
      </c>
      <c r="BG178" s="3" t="s">
        <v>2525</v>
      </c>
      <c r="BH178" s="3" t="s">
        <v>2525</v>
      </c>
      <c r="BI178" s="3" t="s">
        <v>2525</v>
      </c>
      <c r="BJ178" s="3" t="s">
        <v>2525</v>
      </c>
      <c r="BL178" s="3" t="s">
        <v>2525</v>
      </c>
      <c r="BN178" s="3" t="s">
        <v>1803</v>
      </c>
      <c r="BO178" s="3" t="s">
        <v>1804</v>
      </c>
    </row>
    <row r="179">
      <c r="A179" s="3" t="s">
        <v>1806</v>
      </c>
      <c r="B179" s="3" t="s">
        <v>1807</v>
      </c>
      <c r="C179" s="3" t="s">
        <v>92</v>
      </c>
      <c r="D179" s="3" t="s">
        <v>1808</v>
      </c>
      <c r="I179" s="3">
        <v>33.0</v>
      </c>
      <c r="J179" s="3" t="s">
        <v>71</v>
      </c>
      <c r="K179" s="3" t="s">
        <v>72</v>
      </c>
      <c r="L179" s="3" t="s">
        <v>108</v>
      </c>
      <c r="M179" s="3" t="s">
        <v>764</v>
      </c>
      <c r="N179" s="3">
        <v>12.222222222222221</v>
      </c>
      <c r="P179" s="3" t="s">
        <v>149</v>
      </c>
      <c r="Q179" s="32" t="s">
        <v>1806</v>
      </c>
      <c r="R179" s="32" t="s">
        <v>137</v>
      </c>
      <c r="S179" s="32"/>
      <c r="T179" s="32"/>
      <c r="W179" s="3" t="s">
        <v>443</v>
      </c>
      <c r="Y179" s="3" t="s">
        <v>138</v>
      </c>
      <c r="Z179" s="3" t="s">
        <v>1807</v>
      </c>
      <c r="AA179" s="3" t="s">
        <v>1809</v>
      </c>
      <c r="AB179" s="3" t="s">
        <v>1810</v>
      </c>
      <c r="AC179" s="3" t="s">
        <v>1811</v>
      </c>
      <c r="AE179" s="3" t="s">
        <v>83</v>
      </c>
      <c r="AF179" s="3" t="s">
        <v>2525</v>
      </c>
      <c r="AG179" s="3" t="s">
        <v>2525</v>
      </c>
      <c r="AH179" s="3" t="s">
        <v>85</v>
      </c>
      <c r="AI179" s="3" t="s">
        <v>2525</v>
      </c>
      <c r="AJ179" s="3" t="s">
        <v>2525</v>
      </c>
      <c r="AK179" s="3" t="s">
        <v>2525</v>
      </c>
      <c r="AL179" s="3" t="s">
        <v>2525</v>
      </c>
      <c r="AM179" s="3" t="s">
        <v>2525</v>
      </c>
      <c r="AN179" s="3" t="s">
        <v>2525</v>
      </c>
      <c r="AO179" s="3" t="s">
        <v>2525</v>
      </c>
      <c r="AP179" s="3" t="s">
        <v>2525</v>
      </c>
      <c r="AR179" s="3" t="s">
        <v>2525</v>
      </c>
      <c r="AS179" s="3" t="s">
        <v>2525</v>
      </c>
      <c r="AT179" s="3" t="s">
        <v>2525</v>
      </c>
      <c r="AU179" s="3" t="s">
        <v>2525</v>
      </c>
      <c r="AV179" s="3" t="s">
        <v>2525</v>
      </c>
      <c r="AW179" s="3" t="s">
        <v>2525</v>
      </c>
      <c r="AX179" s="3" t="s">
        <v>2525</v>
      </c>
      <c r="AY179" s="3" t="s">
        <v>2525</v>
      </c>
      <c r="AZ179" s="3" t="s">
        <v>2525</v>
      </c>
      <c r="BA179" s="3" t="s">
        <v>85</v>
      </c>
      <c r="BB179" s="3" t="s">
        <v>2525</v>
      </c>
      <c r="BC179" s="3" t="s">
        <v>2525</v>
      </c>
      <c r="BD179" s="3" t="s">
        <v>2525</v>
      </c>
      <c r="BE179" s="3" t="s">
        <v>2525</v>
      </c>
      <c r="BF179" s="3" t="s">
        <v>2525</v>
      </c>
      <c r="BG179" s="3" t="s">
        <v>2525</v>
      </c>
      <c r="BH179" s="3" t="s">
        <v>2525</v>
      </c>
      <c r="BI179" s="3" t="s">
        <v>2525</v>
      </c>
      <c r="BJ179" s="3" t="s">
        <v>2525</v>
      </c>
      <c r="BL179" s="3" t="s">
        <v>2525</v>
      </c>
      <c r="BN179" s="3" t="s">
        <v>137</v>
      </c>
      <c r="BO179" s="3" t="s">
        <v>137</v>
      </c>
    </row>
    <row r="180">
      <c r="A180" s="3" t="s">
        <v>1813</v>
      </c>
      <c r="B180" s="3" t="s">
        <v>1814</v>
      </c>
      <c r="C180" s="3" t="s">
        <v>92</v>
      </c>
      <c r="D180" s="3" t="s">
        <v>1815</v>
      </c>
      <c r="I180" s="3">
        <v>48.0</v>
      </c>
      <c r="J180" s="3" t="s">
        <v>171</v>
      </c>
      <c r="K180" s="3" t="s">
        <v>72</v>
      </c>
      <c r="L180" s="3" t="s">
        <v>73</v>
      </c>
      <c r="M180" s="3" t="s">
        <v>43</v>
      </c>
      <c r="N180" s="3">
        <v>11.494252873563218</v>
      </c>
      <c r="P180" s="3" t="s">
        <v>260</v>
      </c>
      <c r="Q180" s="32" t="s">
        <v>1813</v>
      </c>
      <c r="R180" s="32" t="s">
        <v>137</v>
      </c>
      <c r="S180" s="32"/>
      <c r="T180" s="32"/>
      <c r="W180" s="3" t="s">
        <v>1694</v>
      </c>
      <c r="X180" s="3" t="s">
        <v>77</v>
      </c>
      <c r="Y180" s="3" t="s">
        <v>138</v>
      </c>
      <c r="Z180" s="3" t="s">
        <v>1816</v>
      </c>
      <c r="AA180" s="3" t="s">
        <v>1817</v>
      </c>
      <c r="AB180" s="3" t="s">
        <v>1818</v>
      </c>
      <c r="AC180" s="3" t="s">
        <v>1819</v>
      </c>
      <c r="AE180" s="3" t="s">
        <v>83</v>
      </c>
      <c r="AF180" s="3" t="s">
        <v>85</v>
      </c>
      <c r="AG180" s="3" t="s">
        <v>85</v>
      </c>
      <c r="AH180" s="3" t="s">
        <v>2525</v>
      </c>
      <c r="AI180" s="3" t="s">
        <v>2525</v>
      </c>
      <c r="AJ180" s="3" t="s">
        <v>2525</v>
      </c>
      <c r="AK180" s="3" t="s">
        <v>85</v>
      </c>
      <c r="AL180" s="3" t="s">
        <v>2525</v>
      </c>
      <c r="AM180" s="3" t="s">
        <v>85</v>
      </c>
      <c r="AN180" s="3" t="s">
        <v>85</v>
      </c>
      <c r="AO180" s="3" t="s">
        <v>2525</v>
      </c>
      <c r="AP180" s="3" t="s">
        <v>2525</v>
      </c>
      <c r="AR180" s="3" t="s">
        <v>2525</v>
      </c>
      <c r="AS180" s="3" t="s">
        <v>84</v>
      </c>
      <c r="AT180" s="3" t="s">
        <v>2525</v>
      </c>
      <c r="AU180" s="3" t="s">
        <v>2525</v>
      </c>
      <c r="AV180" s="3" t="s">
        <v>2525</v>
      </c>
      <c r="AW180" s="3" t="s">
        <v>2525</v>
      </c>
      <c r="AX180" s="3" t="s">
        <v>2525</v>
      </c>
      <c r="AY180" s="3" t="s">
        <v>2525</v>
      </c>
      <c r="AZ180" s="3" t="s">
        <v>2525</v>
      </c>
      <c r="BA180" s="3" t="s">
        <v>84</v>
      </c>
      <c r="BB180" s="3" t="s">
        <v>2525</v>
      </c>
      <c r="BC180" s="3" t="s">
        <v>2525</v>
      </c>
      <c r="BD180" s="3" t="s">
        <v>2525</v>
      </c>
      <c r="BE180" s="3" t="s">
        <v>2525</v>
      </c>
      <c r="BF180" s="3" t="s">
        <v>2525</v>
      </c>
      <c r="BG180" s="3" t="s">
        <v>2525</v>
      </c>
      <c r="BH180" s="3" t="s">
        <v>2525</v>
      </c>
      <c r="BI180" s="3" t="s">
        <v>84</v>
      </c>
      <c r="BJ180" s="3" t="s">
        <v>2525</v>
      </c>
      <c r="BK180" s="3" t="s">
        <v>86</v>
      </c>
      <c r="BL180" s="3" t="s">
        <v>2525</v>
      </c>
      <c r="BN180" s="3" t="s">
        <v>137</v>
      </c>
      <c r="BO180" s="3" t="s">
        <v>137</v>
      </c>
    </row>
    <row r="181">
      <c r="A181" s="3" t="s">
        <v>1821</v>
      </c>
      <c r="B181" s="3" t="s">
        <v>1822</v>
      </c>
      <c r="C181" s="3" t="s">
        <v>92</v>
      </c>
      <c r="D181" s="3" t="s">
        <v>1823</v>
      </c>
      <c r="I181" s="3">
        <v>44.0</v>
      </c>
      <c r="J181" s="3" t="s">
        <v>71</v>
      </c>
      <c r="K181" s="3" t="s">
        <v>72</v>
      </c>
      <c r="L181" s="3" t="s">
        <v>73</v>
      </c>
      <c r="M181" s="3" t="s">
        <v>39</v>
      </c>
      <c r="N181" s="3">
        <v>36.36363636363637</v>
      </c>
      <c r="P181" s="3" t="s">
        <v>149</v>
      </c>
      <c r="Q181" s="32" t="s">
        <v>1821</v>
      </c>
      <c r="R181" s="32" t="s">
        <v>137</v>
      </c>
      <c r="S181" s="32"/>
      <c r="T181" s="32"/>
      <c r="W181" s="3" t="s">
        <v>704</v>
      </c>
      <c r="Y181" s="3" t="s">
        <v>138</v>
      </c>
      <c r="Z181" s="3" t="s">
        <v>1824</v>
      </c>
      <c r="AA181" s="3" t="s">
        <v>1825</v>
      </c>
      <c r="AB181" s="3" t="s">
        <v>1826</v>
      </c>
      <c r="AC181" s="3" t="s">
        <v>1827</v>
      </c>
      <c r="AE181" s="3" t="s">
        <v>83</v>
      </c>
      <c r="AF181" s="3" t="s">
        <v>2525</v>
      </c>
      <c r="AG181" s="3" t="s">
        <v>2525</v>
      </c>
      <c r="AH181" s="3" t="s">
        <v>2525</v>
      </c>
      <c r="AI181" s="3" t="s">
        <v>2525</v>
      </c>
      <c r="AJ181" s="3" t="s">
        <v>2525</v>
      </c>
      <c r="AK181" s="3" t="s">
        <v>2525</v>
      </c>
      <c r="AL181" s="3" t="s">
        <v>2525</v>
      </c>
      <c r="AM181" s="3" t="s">
        <v>2525</v>
      </c>
      <c r="AN181" s="3" t="s">
        <v>2525</v>
      </c>
      <c r="AO181" s="3" t="s">
        <v>2525</v>
      </c>
      <c r="AP181" s="3" t="s">
        <v>2525</v>
      </c>
      <c r="AR181" s="3" t="s">
        <v>2525</v>
      </c>
      <c r="AS181" s="3" t="s">
        <v>2525</v>
      </c>
      <c r="AT181" s="3" t="s">
        <v>2525</v>
      </c>
      <c r="AU181" s="3" t="s">
        <v>2525</v>
      </c>
      <c r="AV181" s="3" t="s">
        <v>2525</v>
      </c>
      <c r="AW181" s="3" t="s">
        <v>2525</v>
      </c>
      <c r="AX181" s="3" t="s">
        <v>2525</v>
      </c>
      <c r="AY181" s="3" t="s">
        <v>2525</v>
      </c>
      <c r="AZ181" s="3" t="s">
        <v>2525</v>
      </c>
      <c r="BA181" s="3" t="s">
        <v>85</v>
      </c>
      <c r="BB181" s="3" t="s">
        <v>2525</v>
      </c>
      <c r="BC181" s="3" t="s">
        <v>2525</v>
      </c>
      <c r="BD181" s="3" t="s">
        <v>2525</v>
      </c>
      <c r="BE181" s="3" t="s">
        <v>2525</v>
      </c>
      <c r="BF181" s="3" t="s">
        <v>2525</v>
      </c>
      <c r="BG181" s="3" t="s">
        <v>2525</v>
      </c>
      <c r="BH181" s="3" t="s">
        <v>2525</v>
      </c>
      <c r="BI181" s="3" t="s">
        <v>2525</v>
      </c>
      <c r="BJ181" s="3" t="s">
        <v>2525</v>
      </c>
      <c r="BL181" s="3" t="s">
        <v>2525</v>
      </c>
      <c r="BN181" s="3" t="s">
        <v>137</v>
      </c>
      <c r="BO181" s="3" t="s">
        <v>137</v>
      </c>
    </row>
    <row r="182">
      <c r="A182" s="3" t="s">
        <v>1829</v>
      </c>
      <c r="B182" s="3" t="s">
        <v>1830</v>
      </c>
      <c r="C182" s="3" t="s">
        <v>92</v>
      </c>
      <c r="D182" s="3" t="s">
        <v>1831</v>
      </c>
      <c r="I182" s="3">
        <v>32.0</v>
      </c>
      <c r="J182" s="3" t="s">
        <v>171</v>
      </c>
      <c r="K182" s="3" t="s">
        <v>72</v>
      </c>
      <c r="L182" s="3" t="s">
        <v>73</v>
      </c>
      <c r="M182" s="3" t="s">
        <v>39</v>
      </c>
      <c r="N182" s="3">
        <v>-13.186813186813188</v>
      </c>
      <c r="P182" s="3" t="s">
        <v>110</v>
      </c>
      <c r="Q182" s="32" t="s">
        <v>1829</v>
      </c>
      <c r="R182" s="32" t="s">
        <v>1832</v>
      </c>
      <c r="S182" s="32"/>
      <c r="T182" s="32"/>
      <c r="W182" s="3" t="s">
        <v>443</v>
      </c>
      <c r="X182" s="3" t="s">
        <v>77</v>
      </c>
      <c r="Y182" s="3" t="s">
        <v>78</v>
      </c>
      <c r="Z182" s="3" t="s">
        <v>1807</v>
      </c>
      <c r="AA182" s="3" t="s">
        <v>1833</v>
      </c>
      <c r="AB182" s="3" t="s">
        <v>727</v>
      </c>
      <c r="AC182" s="3" t="s">
        <v>1834</v>
      </c>
      <c r="AE182" s="3" t="s">
        <v>83</v>
      </c>
      <c r="AF182" s="3" t="s">
        <v>2525</v>
      </c>
      <c r="AG182" s="3" t="s">
        <v>84</v>
      </c>
      <c r="AH182" s="3" t="s">
        <v>2525</v>
      </c>
      <c r="AI182" s="3" t="s">
        <v>2525</v>
      </c>
      <c r="AJ182" s="3" t="s">
        <v>2525</v>
      </c>
      <c r="AK182" s="3" t="s">
        <v>2525</v>
      </c>
      <c r="AL182" s="3" t="s">
        <v>2525</v>
      </c>
      <c r="AM182" s="3" t="s">
        <v>2525</v>
      </c>
      <c r="AN182" s="3" t="s">
        <v>2525</v>
      </c>
      <c r="AO182" s="3" t="s">
        <v>2525</v>
      </c>
      <c r="AP182" s="3" t="s">
        <v>2525</v>
      </c>
      <c r="AR182" s="3" t="s">
        <v>2525</v>
      </c>
      <c r="AS182" s="3" t="s">
        <v>2525</v>
      </c>
      <c r="AT182" s="3" t="s">
        <v>2525</v>
      </c>
      <c r="AU182" s="3" t="s">
        <v>2525</v>
      </c>
      <c r="AV182" s="3" t="s">
        <v>2525</v>
      </c>
      <c r="AW182" s="3" t="s">
        <v>2525</v>
      </c>
      <c r="AX182" s="3" t="s">
        <v>2525</v>
      </c>
      <c r="AY182" s="3" t="s">
        <v>2525</v>
      </c>
      <c r="AZ182" s="3" t="s">
        <v>85</v>
      </c>
      <c r="BA182" s="3" t="s">
        <v>84</v>
      </c>
      <c r="BB182" s="3" t="s">
        <v>2525</v>
      </c>
      <c r="BC182" s="3" t="s">
        <v>2525</v>
      </c>
      <c r="BD182" s="3" t="s">
        <v>85</v>
      </c>
      <c r="BE182" s="3" t="s">
        <v>2525</v>
      </c>
      <c r="BF182" s="3" t="s">
        <v>2525</v>
      </c>
      <c r="BG182" s="3" t="s">
        <v>2525</v>
      </c>
      <c r="BH182" s="3" t="s">
        <v>2525</v>
      </c>
      <c r="BI182" s="3" t="s">
        <v>2525</v>
      </c>
      <c r="BJ182" s="3" t="s">
        <v>84</v>
      </c>
      <c r="BK182" s="3" t="s">
        <v>86</v>
      </c>
      <c r="BL182" s="3" t="s">
        <v>2525</v>
      </c>
      <c r="BN182" s="3" t="s">
        <v>1835</v>
      </c>
      <c r="BO182" s="3" t="s">
        <v>1353</v>
      </c>
    </row>
    <row r="183">
      <c r="A183" s="3" t="s">
        <v>1229</v>
      </c>
      <c r="B183" s="3" t="s">
        <v>1837</v>
      </c>
      <c r="C183" s="3" t="s">
        <v>92</v>
      </c>
      <c r="D183" s="3" t="s">
        <v>1838</v>
      </c>
      <c r="I183" s="3">
        <v>52.0</v>
      </c>
      <c r="J183" s="3" t="s">
        <v>1839</v>
      </c>
      <c r="K183" s="3" t="s">
        <v>72</v>
      </c>
      <c r="L183" s="3" t="s">
        <v>73</v>
      </c>
      <c r="M183" s="3" t="s">
        <v>37</v>
      </c>
      <c r="N183" s="3">
        <v>2.5</v>
      </c>
      <c r="P183" s="3" t="s">
        <v>149</v>
      </c>
      <c r="Q183" s="32" t="s">
        <v>1229</v>
      </c>
      <c r="R183" s="32" t="s">
        <v>1840</v>
      </c>
      <c r="S183" s="32"/>
      <c r="T183" s="32"/>
      <c r="W183" s="3" t="s">
        <v>443</v>
      </c>
      <c r="X183" s="3" t="s">
        <v>77</v>
      </c>
      <c r="Y183" s="3" t="s">
        <v>78</v>
      </c>
      <c r="Z183" s="3" t="s">
        <v>1841</v>
      </c>
      <c r="AA183" s="3" t="s">
        <v>1842</v>
      </c>
      <c r="AB183" s="3" t="s">
        <v>1843</v>
      </c>
      <c r="AC183" s="3" t="s">
        <v>1844</v>
      </c>
      <c r="AE183" s="3" t="s">
        <v>83</v>
      </c>
      <c r="AF183" s="3" t="s">
        <v>85</v>
      </c>
      <c r="AG183" s="3" t="s">
        <v>2525</v>
      </c>
      <c r="AH183" s="3" t="s">
        <v>2525</v>
      </c>
      <c r="AI183" s="3" t="s">
        <v>2525</v>
      </c>
      <c r="AJ183" s="3" t="s">
        <v>2525</v>
      </c>
      <c r="AK183" s="3" t="s">
        <v>2525</v>
      </c>
      <c r="AL183" s="3" t="s">
        <v>85</v>
      </c>
      <c r="AM183" s="3" t="s">
        <v>2525</v>
      </c>
      <c r="AN183" s="3" t="s">
        <v>85</v>
      </c>
      <c r="AO183" s="3" t="s">
        <v>2525</v>
      </c>
      <c r="AP183" s="3" t="s">
        <v>2525</v>
      </c>
      <c r="AR183" s="3" t="s">
        <v>2525</v>
      </c>
      <c r="AS183" s="3" t="s">
        <v>2525</v>
      </c>
      <c r="AT183" s="3" t="s">
        <v>2525</v>
      </c>
      <c r="AU183" s="3" t="s">
        <v>2525</v>
      </c>
      <c r="AV183" s="3" t="s">
        <v>2525</v>
      </c>
      <c r="AW183" s="3" t="s">
        <v>2525</v>
      </c>
      <c r="AX183" s="3" t="s">
        <v>2525</v>
      </c>
      <c r="AY183" s="3" t="s">
        <v>2525</v>
      </c>
      <c r="AZ183" s="3" t="s">
        <v>2525</v>
      </c>
      <c r="BA183" s="3" t="s">
        <v>84</v>
      </c>
      <c r="BB183" s="3" t="s">
        <v>2525</v>
      </c>
      <c r="BC183" s="3" t="s">
        <v>2525</v>
      </c>
      <c r="BD183" s="3" t="s">
        <v>2525</v>
      </c>
      <c r="BE183" s="3" t="s">
        <v>2525</v>
      </c>
      <c r="BF183" s="3" t="s">
        <v>2525</v>
      </c>
      <c r="BG183" s="3" t="s">
        <v>2525</v>
      </c>
      <c r="BH183" s="3" t="s">
        <v>2525</v>
      </c>
      <c r="BI183" s="3" t="s">
        <v>2525</v>
      </c>
      <c r="BJ183" s="3" t="s">
        <v>85</v>
      </c>
      <c r="BK183" s="3" t="s">
        <v>86</v>
      </c>
      <c r="BL183" s="3" t="s">
        <v>2525</v>
      </c>
      <c r="BN183" s="3" t="s">
        <v>137</v>
      </c>
      <c r="BO183" s="3" t="s">
        <v>137</v>
      </c>
    </row>
    <row r="184">
      <c r="A184" s="3" t="s">
        <v>1846</v>
      </c>
      <c r="B184" s="3" t="s">
        <v>1847</v>
      </c>
      <c r="C184" s="3" t="s">
        <v>92</v>
      </c>
      <c r="D184" s="3" t="s">
        <v>1848</v>
      </c>
      <c r="I184" s="3">
        <v>63.0</v>
      </c>
      <c r="J184" s="3" t="s">
        <v>71</v>
      </c>
      <c r="K184" s="3" t="s">
        <v>72</v>
      </c>
      <c r="L184" s="3" t="s">
        <v>73</v>
      </c>
      <c r="M184" s="3" t="s">
        <v>37</v>
      </c>
      <c r="N184" s="3">
        <v>-12.745098039215685</v>
      </c>
      <c r="P184" s="3" t="s">
        <v>149</v>
      </c>
      <c r="Q184" s="32" t="s">
        <v>1846</v>
      </c>
      <c r="R184" s="32" t="s">
        <v>1840</v>
      </c>
      <c r="S184" s="32"/>
      <c r="T184" s="32"/>
      <c r="W184" s="3" t="s">
        <v>994</v>
      </c>
      <c r="Y184" s="3" t="s">
        <v>78</v>
      </c>
      <c r="Z184" s="3" t="s">
        <v>1849</v>
      </c>
      <c r="AA184" s="3" t="s">
        <v>1850</v>
      </c>
      <c r="AB184" s="3" t="s">
        <v>1851</v>
      </c>
      <c r="AC184" s="3" t="s">
        <v>1852</v>
      </c>
      <c r="AE184" s="3" t="s">
        <v>83</v>
      </c>
      <c r="AF184" s="3" t="s">
        <v>85</v>
      </c>
      <c r="AG184" s="3" t="s">
        <v>2525</v>
      </c>
      <c r="AH184" s="3" t="s">
        <v>2525</v>
      </c>
      <c r="AI184" s="3" t="s">
        <v>2525</v>
      </c>
      <c r="AJ184" s="3" t="s">
        <v>2525</v>
      </c>
      <c r="AK184" s="3" t="s">
        <v>2525</v>
      </c>
      <c r="AL184" s="3" t="s">
        <v>129</v>
      </c>
      <c r="AM184" s="3" t="s">
        <v>2525</v>
      </c>
      <c r="AN184" s="3" t="s">
        <v>85</v>
      </c>
      <c r="AO184" s="3" t="s">
        <v>2525</v>
      </c>
      <c r="AP184" s="3" t="s">
        <v>2525</v>
      </c>
      <c r="AR184" s="3" t="s">
        <v>2525</v>
      </c>
      <c r="AS184" s="3" t="s">
        <v>2525</v>
      </c>
      <c r="AT184" s="3" t="s">
        <v>2525</v>
      </c>
      <c r="AU184" s="3" t="s">
        <v>2525</v>
      </c>
      <c r="AV184" s="3" t="s">
        <v>2525</v>
      </c>
      <c r="AW184" s="3" t="s">
        <v>2525</v>
      </c>
      <c r="AX184" s="3" t="s">
        <v>2525</v>
      </c>
      <c r="AY184" s="3" t="s">
        <v>2525</v>
      </c>
      <c r="AZ184" s="3" t="s">
        <v>2525</v>
      </c>
      <c r="BA184" s="3" t="s">
        <v>84</v>
      </c>
      <c r="BB184" s="3" t="s">
        <v>2525</v>
      </c>
      <c r="BC184" s="3" t="s">
        <v>2525</v>
      </c>
      <c r="BD184" s="3" t="s">
        <v>2525</v>
      </c>
      <c r="BE184" s="3" t="s">
        <v>2525</v>
      </c>
      <c r="BF184" s="3" t="s">
        <v>2525</v>
      </c>
      <c r="BG184" s="3" t="s">
        <v>2525</v>
      </c>
      <c r="BH184" s="3" t="s">
        <v>2525</v>
      </c>
      <c r="BI184" s="3" t="s">
        <v>2525</v>
      </c>
      <c r="BJ184" s="3" t="s">
        <v>85</v>
      </c>
      <c r="BL184" s="3" t="s">
        <v>2525</v>
      </c>
      <c r="BN184" s="3" t="s">
        <v>739</v>
      </c>
      <c r="BO184" s="3" t="s">
        <v>137</v>
      </c>
    </row>
    <row r="185">
      <c r="A185" s="3" t="s">
        <v>1854</v>
      </c>
      <c r="B185" s="3" t="s">
        <v>1855</v>
      </c>
      <c r="C185" s="3" t="s">
        <v>92</v>
      </c>
      <c r="D185" s="3" t="s">
        <v>1856</v>
      </c>
      <c r="I185" s="3">
        <v>50.0</v>
      </c>
      <c r="J185" s="3" t="s">
        <v>71</v>
      </c>
      <c r="K185" s="3" t="s">
        <v>72</v>
      </c>
      <c r="L185" s="3" t="s">
        <v>73</v>
      </c>
      <c r="M185" s="3" t="s">
        <v>43</v>
      </c>
      <c r="N185" s="3">
        <v>36.36363636363637</v>
      </c>
      <c r="P185" s="3" t="s">
        <v>149</v>
      </c>
      <c r="Q185" s="32" t="s">
        <v>1854</v>
      </c>
      <c r="R185" s="32" t="s">
        <v>137</v>
      </c>
      <c r="S185" s="32"/>
      <c r="T185" s="32"/>
      <c r="W185" s="3" t="s">
        <v>1578</v>
      </c>
      <c r="Y185" s="3" t="s">
        <v>138</v>
      </c>
      <c r="Z185" s="3" t="s">
        <v>1857</v>
      </c>
      <c r="AA185" s="3" t="s">
        <v>1858</v>
      </c>
      <c r="AB185" s="3" t="s">
        <v>1859</v>
      </c>
      <c r="AC185" s="3" t="s">
        <v>1860</v>
      </c>
      <c r="AE185" s="3" t="s">
        <v>83</v>
      </c>
      <c r="AF185" s="3" t="s">
        <v>2525</v>
      </c>
      <c r="AG185" s="3" t="s">
        <v>2525</v>
      </c>
      <c r="AH185" s="3" t="s">
        <v>2525</v>
      </c>
      <c r="AI185" s="3" t="s">
        <v>2525</v>
      </c>
      <c r="AJ185" s="3" t="s">
        <v>2525</v>
      </c>
      <c r="AK185" s="3" t="s">
        <v>2525</v>
      </c>
      <c r="AL185" s="3" t="s">
        <v>2525</v>
      </c>
      <c r="AM185" s="3" t="s">
        <v>2525</v>
      </c>
      <c r="AN185" s="3" t="s">
        <v>2525</v>
      </c>
      <c r="AO185" s="3" t="s">
        <v>2525</v>
      </c>
      <c r="AP185" s="3" t="s">
        <v>2525</v>
      </c>
      <c r="AR185" s="3" t="s">
        <v>2525</v>
      </c>
      <c r="AS185" s="3" t="s">
        <v>85</v>
      </c>
      <c r="AT185" s="3" t="s">
        <v>2525</v>
      </c>
      <c r="AU185" s="3" t="s">
        <v>2525</v>
      </c>
      <c r="AV185" s="3" t="s">
        <v>2525</v>
      </c>
      <c r="AW185" s="3" t="s">
        <v>2525</v>
      </c>
      <c r="AX185" s="3" t="s">
        <v>2525</v>
      </c>
      <c r="AY185" s="3" t="s">
        <v>2525</v>
      </c>
      <c r="AZ185" s="3" t="s">
        <v>2525</v>
      </c>
      <c r="BA185" s="3" t="s">
        <v>85</v>
      </c>
      <c r="BB185" s="3" t="s">
        <v>2525</v>
      </c>
      <c r="BC185" s="3" t="s">
        <v>2525</v>
      </c>
      <c r="BD185" s="3" t="s">
        <v>2525</v>
      </c>
      <c r="BE185" s="3" t="s">
        <v>2525</v>
      </c>
      <c r="BF185" s="3" t="s">
        <v>2525</v>
      </c>
      <c r="BG185" s="3" t="s">
        <v>2525</v>
      </c>
      <c r="BH185" s="3" t="s">
        <v>2525</v>
      </c>
      <c r="BI185" s="3" t="s">
        <v>85</v>
      </c>
      <c r="BJ185" s="3" t="s">
        <v>2525</v>
      </c>
      <c r="BL185" s="3" t="s">
        <v>2525</v>
      </c>
      <c r="BN185" s="3" t="s">
        <v>137</v>
      </c>
      <c r="BO185" s="3" t="s">
        <v>137</v>
      </c>
    </row>
    <row r="186">
      <c r="A186" s="3" t="s">
        <v>1862</v>
      </c>
      <c r="B186" s="3" t="s">
        <v>1863</v>
      </c>
      <c r="C186" s="3" t="s">
        <v>92</v>
      </c>
      <c r="D186" s="3" t="s">
        <v>1864</v>
      </c>
      <c r="I186" s="3">
        <v>25.0</v>
      </c>
      <c r="J186" s="3" t="s">
        <v>171</v>
      </c>
      <c r="K186" s="3" t="s">
        <v>72</v>
      </c>
      <c r="L186" s="3" t="s">
        <v>73</v>
      </c>
      <c r="M186" s="3" t="s">
        <v>40</v>
      </c>
      <c r="N186" s="3">
        <v>-8.920863309352518</v>
      </c>
      <c r="P186" s="3" t="s">
        <v>75</v>
      </c>
      <c r="Q186" s="32" t="s">
        <v>1862</v>
      </c>
      <c r="R186" s="32" t="s">
        <v>1865</v>
      </c>
      <c r="S186" s="32"/>
      <c r="T186" s="32"/>
      <c r="W186" s="3" t="s">
        <v>193</v>
      </c>
      <c r="X186" s="3" t="s">
        <v>77</v>
      </c>
      <c r="Y186" s="3" t="s">
        <v>78</v>
      </c>
      <c r="Z186" s="3" t="s">
        <v>1866</v>
      </c>
      <c r="AA186" s="3" t="s">
        <v>1867</v>
      </c>
      <c r="AB186" s="3" t="s">
        <v>1868</v>
      </c>
      <c r="AC186" s="3" t="s">
        <v>1869</v>
      </c>
      <c r="AE186" s="3" t="s">
        <v>83</v>
      </c>
      <c r="AF186" s="3" t="s">
        <v>84</v>
      </c>
      <c r="AG186" s="3" t="s">
        <v>84</v>
      </c>
      <c r="AH186" s="3" t="s">
        <v>2525</v>
      </c>
      <c r="AI186" s="3" t="s">
        <v>2525</v>
      </c>
      <c r="AJ186" s="3" t="s">
        <v>2525</v>
      </c>
      <c r="AK186" s="3" t="s">
        <v>2525</v>
      </c>
      <c r="AL186" s="3" t="s">
        <v>2525</v>
      </c>
      <c r="AM186" s="3" t="s">
        <v>2525</v>
      </c>
      <c r="AN186" s="3" t="s">
        <v>2525</v>
      </c>
      <c r="AO186" s="3" t="s">
        <v>84</v>
      </c>
      <c r="AP186" s="3" t="s">
        <v>2525</v>
      </c>
      <c r="AR186" s="3" t="s">
        <v>2525</v>
      </c>
      <c r="AS186" s="3" t="s">
        <v>2525</v>
      </c>
      <c r="AT186" s="3" t="s">
        <v>2525</v>
      </c>
      <c r="AU186" s="3" t="s">
        <v>2525</v>
      </c>
      <c r="AV186" s="3" t="s">
        <v>85</v>
      </c>
      <c r="AW186" s="3" t="s">
        <v>2525</v>
      </c>
      <c r="AX186" s="3" t="s">
        <v>2525</v>
      </c>
      <c r="AY186" s="3" t="s">
        <v>2525</v>
      </c>
      <c r="AZ186" s="3" t="s">
        <v>2525</v>
      </c>
      <c r="BA186" s="3" t="s">
        <v>2525</v>
      </c>
      <c r="BB186" s="3" t="s">
        <v>2525</v>
      </c>
      <c r="BC186" s="3" t="s">
        <v>2525</v>
      </c>
      <c r="BD186" s="3" t="s">
        <v>85</v>
      </c>
      <c r="BE186" s="3" t="s">
        <v>2525</v>
      </c>
      <c r="BF186" s="3" t="s">
        <v>2525</v>
      </c>
      <c r="BG186" s="3" t="s">
        <v>2525</v>
      </c>
      <c r="BH186" s="3" t="s">
        <v>2525</v>
      </c>
      <c r="BI186" s="3" t="s">
        <v>2525</v>
      </c>
      <c r="BJ186" s="3" t="s">
        <v>2525</v>
      </c>
      <c r="BL186" s="3" t="s">
        <v>2525</v>
      </c>
      <c r="BN186" s="3" t="s">
        <v>1870</v>
      </c>
      <c r="BO186" s="3" t="s">
        <v>1871</v>
      </c>
    </row>
    <row r="187">
      <c r="A187" s="3" t="s">
        <v>1873</v>
      </c>
      <c r="B187" s="3" t="s">
        <v>1874</v>
      </c>
      <c r="C187" s="3" t="s">
        <v>92</v>
      </c>
      <c r="D187" s="3" t="s">
        <v>1875</v>
      </c>
      <c r="I187" s="3">
        <v>50.0</v>
      </c>
      <c r="J187" s="3" t="s">
        <v>71</v>
      </c>
      <c r="K187" s="3" t="s">
        <v>72</v>
      </c>
      <c r="L187" s="3" t="s">
        <v>73</v>
      </c>
      <c r="M187" s="3" t="s">
        <v>40</v>
      </c>
      <c r="N187" s="3">
        <v>-24.324324324324326</v>
      </c>
      <c r="P187" s="3" t="s">
        <v>149</v>
      </c>
      <c r="Q187" s="32" t="s">
        <v>1873</v>
      </c>
      <c r="R187" s="32" t="s">
        <v>1876</v>
      </c>
      <c r="S187" s="32"/>
      <c r="T187" s="32"/>
      <c r="W187" s="3" t="s">
        <v>858</v>
      </c>
      <c r="Y187" s="3" t="s">
        <v>78</v>
      </c>
      <c r="Z187" s="3" t="s">
        <v>1877</v>
      </c>
      <c r="AA187" s="3" t="s">
        <v>1878</v>
      </c>
      <c r="AB187" s="3" t="s">
        <v>1879</v>
      </c>
      <c r="AC187" s="3" t="s">
        <v>1880</v>
      </c>
      <c r="AE187" s="3" t="s">
        <v>83</v>
      </c>
      <c r="AF187" s="3" t="s">
        <v>2525</v>
      </c>
      <c r="AG187" s="3" t="s">
        <v>2525</v>
      </c>
      <c r="AH187" s="3" t="s">
        <v>2525</v>
      </c>
      <c r="AI187" s="3" t="s">
        <v>2525</v>
      </c>
      <c r="AJ187" s="3" t="s">
        <v>2525</v>
      </c>
      <c r="AK187" s="3" t="s">
        <v>2525</v>
      </c>
      <c r="AL187" s="3" t="s">
        <v>2525</v>
      </c>
      <c r="AM187" s="3" t="s">
        <v>2525</v>
      </c>
      <c r="AN187" s="3" t="s">
        <v>2525</v>
      </c>
      <c r="AO187" s="3" t="s">
        <v>129</v>
      </c>
      <c r="AP187" s="3" t="s">
        <v>2525</v>
      </c>
      <c r="AR187" s="3" t="s">
        <v>2525</v>
      </c>
      <c r="AS187" s="3" t="s">
        <v>2525</v>
      </c>
      <c r="AT187" s="3" t="s">
        <v>2525</v>
      </c>
      <c r="AU187" s="3" t="s">
        <v>84</v>
      </c>
      <c r="AV187" s="3" t="s">
        <v>84</v>
      </c>
      <c r="AW187" s="3" t="s">
        <v>2525</v>
      </c>
      <c r="AX187" s="3" t="s">
        <v>2525</v>
      </c>
      <c r="AY187" s="3" t="s">
        <v>2525</v>
      </c>
      <c r="AZ187" s="3" t="s">
        <v>2525</v>
      </c>
      <c r="BA187" s="3" t="s">
        <v>2525</v>
      </c>
      <c r="BB187" s="3" t="s">
        <v>2525</v>
      </c>
      <c r="BC187" s="3" t="s">
        <v>2525</v>
      </c>
      <c r="BD187" s="3" t="s">
        <v>2525</v>
      </c>
      <c r="BE187" s="3" t="s">
        <v>2525</v>
      </c>
      <c r="BF187" s="3" t="s">
        <v>2525</v>
      </c>
      <c r="BG187" s="3" t="s">
        <v>2525</v>
      </c>
      <c r="BH187" s="3" t="s">
        <v>2525</v>
      </c>
      <c r="BI187" s="3" t="s">
        <v>2525</v>
      </c>
      <c r="BJ187" s="3" t="s">
        <v>2525</v>
      </c>
      <c r="BL187" s="3" t="s">
        <v>2525</v>
      </c>
      <c r="BN187" s="3" t="s">
        <v>137</v>
      </c>
      <c r="BO187" s="3" t="s">
        <v>137</v>
      </c>
    </row>
    <row r="188">
      <c r="A188" s="3" t="s">
        <v>1882</v>
      </c>
      <c r="B188" s="3" t="s">
        <v>1883</v>
      </c>
      <c r="C188" s="3" t="s">
        <v>92</v>
      </c>
      <c r="D188" s="3" t="s">
        <v>1884</v>
      </c>
      <c r="I188" s="3">
        <v>35.0</v>
      </c>
      <c r="J188" s="3" t="s">
        <v>71</v>
      </c>
      <c r="K188" s="3" t="s">
        <v>72</v>
      </c>
      <c r="L188" s="3" t="s">
        <v>108</v>
      </c>
      <c r="M188" s="3" t="s">
        <v>109</v>
      </c>
      <c r="N188" s="3">
        <v>-12.745098039215685</v>
      </c>
      <c r="P188" s="3" t="s">
        <v>75</v>
      </c>
      <c r="Q188" s="32" t="s">
        <v>1882</v>
      </c>
      <c r="R188" s="32" t="s">
        <v>1885</v>
      </c>
      <c r="S188" s="32"/>
      <c r="T188" s="32"/>
      <c r="W188" s="3" t="s">
        <v>1694</v>
      </c>
      <c r="Y188" s="3" t="s">
        <v>78</v>
      </c>
      <c r="Z188" s="3" t="s">
        <v>1849</v>
      </c>
      <c r="AA188" s="3" t="s">
        <v>1886</v>
      </c>
      <c r="AB188" s="3" t="s">
        <v>1887</v>
      </c>
      <c r="AC188" s="3" t="s">
        <v>1888</v>
      </c>
      <c r="AE188" s="3" t="s">
        <v>83</v>
      </c>
      <c r="AF188" s="3" t="s">
        <v>2525</v>
      </c>
      <c r="AG188" s="3" t="s">
        <v>2525</v>
      </c>
      <c r="AH188" s="3" t="s">
        <v>84</v>
      </c>
      <c r="AI188" s="3" t="s">
        <v>84</v>
      </c>
      <c r="AJ188" s="3" t="s">
        <v>84</v>
      </c>
      <c r="AK188" s="3" t="s">
        <v>2525</v>
      </c>
      <c r="AL188" s="3" t="s">
        <v>2525</v>
      </c>
      <c r="AM188" s="3" t="s">
        <v>85</v>
      </c>
      <c r="AN188" s="3" t="s">
        <v>2525</v>
      </c>
      <c r="AO188" s="3" t="s">
        <v>2525</v>
      </c>
      <c r="AP188" s="3" t="s">
        <v>2525</v>
      </c>
      <c r="AR188" s="3" t="s">
        <v>2525</v>
      </c>
      <c r="AS188" s="3" t="s">
        <v>2525</v>
      </c>
      <c r="AT188" s="3" t="s">
        <v>85</v>
      </c>
      <c r="AU188" s="3" t="s">
        <v>2525</v>
      </c>
      <c r="AV188" s="3" t="s">
        <v>2525</v>
      </c>
      <c r="AW188" s="3" t="s">
        <v>2525</v>
      </c>
      <c r="AX188" s="3" t="s">
        <v>2525</v>
      </c>
      <c r="AY188" s="3" t="s">
        <v>2525</v>
      </c>
      <c r="AZ188" s="3" t="s">
        <v>2525</v>
      </c>
      <c r="BA188" s="3" t="s">
        <v>2525</v>
      </c>
      <c r="BB188" s="3" t="s">
        <v>2525</v>
      </c>
      <c r="BC188" s="3" t="s">
        <v>2525</v>
      </c>
      <c r="BD188" s="3" t="s">
        <v>2525</v>
      </c>
      <c r="BE188" s="3" t="s">
        <v>84</v>
      </c>
      <c r="BF188" s="3" t="s">
        <v>2525</v>
      </c>
      <c r="BG188" s="3" t="s">
        <v>2525</v>
      </c>
      <c r="BH188" s="3" t="s">
        <v>2525</v>
      </c>
      <c r="BI188" s="3" t="s">
        <v>2525</v>
      </c>
      <c r="BJ188" s="3" t="s">
        <v>2525</v>
      </c>
      <c r="BL188" s="3" t="s">
        <v>2525</v>
      </c>
      <c r="BM188" s="3" t="s">
        <v>86</v>
      </c>
      <c r="BN188" s="3" t="s">
        <v>1889</v>
      </c>
      <c r="BO188" s="3" t="s">
        <v>1890</v>
      </c>
      <c r="BP188" s="3" t="s">
        <v>1891</v>
      </c>
    </row>
    <row r="189">
      <c r="A189" s="3" t="s">
        <v>1893</v>
      </c>
      <c r="B189" s="3" t="s">
        <v>1894</v>
      </c>
      <c r="C189" s="3" t="s">
        <v>92</v>
      </c>
      <c r="D189" s="3" t="s">
        <v>1895</v>
      </c>
      <c r="I189" s="3">
        <v>52.0</v>
      </c>
      <c r="J189" s="3" t="s">
        <v>1109</v>
      </c>
      <c r="K189" s="3" t="s">
        <v>72</v>
      </c>
      <c r="L189" s="3" t="s">
        <v>108</v>
      </c>
      <c r="M189" s="3" t="s">
        <v>44</v>
      </c>
      <c r="N189" s="3">
        <v>-34.66666666666667</v>
      </c>
      <c r="P189" s="3" t="s">
        <v>149</v>
      </c>
      <c r="Q189" s="32" t="s">
        <v>1893</v>
      </c>
      <c r="R189" s="32" t="s">
        <v>137</v>
      </c>
      <c r="S189" s="32"/>
      <c r="T189" s="32"/>
      <c r="W189" s="3" t="s">
        <v>1578</v>
      </c>
      <c r="Y189" s="3" t="s">
        <v>78</v>
      </c>
      <c r="Z189" s="3" t="s">
        <v>1896</v>
      </c>
      <c r="AA189" s="3" t="s">
        <v>1897</v>
      </c>
      <c r="AB189" s="3" t="s">
        <v>1898</v>
      </c>
      <c r="AC189" s="3" t="s">
        <v>1899</v>
      </c>
      <c r="AD189" s="3" t="s">
        <v>1900</v>
      </c>
      <c r="AE189" s="3" t="s">
        <v>83</v>
      </c>
      <c r="AF189" s="3" t="s">
        <v>2525</v>
      </c>
      <c r="AG189" s="3" t="s">
        <v>2525</v>
      </c>
      <c r="AH189" s="3" t="s">
        <v>2525</v>
      </c>
      <c r="AI189" s="3" t="s">
        <v>2525</v>
      </c>
      <c r="AJ189" s="3" t="s">
        <v>84</v>
      </c>
      <c r="AK189" s="3" t="s">
        <v>2525</v>
      </c>
      <c r="AL189" s="3" t="s">
        <v>2525</v>
      </c>
      <c r="AM189" s="3" t="s">
        <v>2525</v>
      </c>
      <c r="AN189" s="3" t="s">
        <v>2525</v>
      </c>
      <c r="AO189" s="3" t="s">
        <v>2525</v>
      </c>
      <c r="AP189" s="3" t="s">
        <v>2525</v>
      </c>
      <c r="AR189" s="3" t="s">
        <v>2525</v>
      </c>
      <c r="AS189" s="3" t="s">
        <v>2525</v>
      </c>
      <c r="AT189" s="3" t="s">
        <v>129</v>
      </c>
      <c r="AU189" s="3" t="s">
        <v>2525</v>
      </c>
      <c r="AV189" s="3" t="s">
        <v>2525</v>
      </c>
      <c r="AW189" s="3" t="s">
        <v>2525</v>
      </c>
      <c r="AX189" s="3" t="s">
        <v>2525</v>
      </c>
      <c r="AY189" s="3" t="s">
        <v>2525</v>
      </c>
      <c r="AZ189" s="3" t="s">
        <v>2525</v>
      </c>
      <c r="BA189" s="3" t="s">
        <v>2525</v>
      </c>
      <c r="BB189" s="3" t="s">
        <v>2525</v>
      </c>
      <c r="BC189" s="3" t="s">
        <v>2525</v>
      </c>
      <c r="BD189" s="3" t="s">
        <v>2525</v>
      </c>
      <c r="BE189" s="3" t="s">
        <v>2525</v>
      </c>
      <c r="BF189" s="3" t="s">
        <v>2525</v>
      </c>
      <c r="BG189" s="3" t="s">
        <v>2525</v>
      </c>
      <c r="BH189" s="3" t="s">
        <v>2525</v>
      </c>
      <c r="BI189" s="3" t="s">
        <v>2525</v>
      </c>
      <c r="BJ189" s="3" t="s">
        <v>2525</v>
      </c>
      <c r="BL189" s="3" t="s">
        <v>2525</v>
      </c>
      <c r="BN189" s="3" t="s">
        <v>137</v>
      </c>
      <c r="BO189" s="3" t="s">
        <v>137</v>
      </c>
    </row>
    <row r="190">
      <c r="A190" s="3" t="s">
        <v>1902</v>
      </c>
      <c r="B190" s="3" t="s">
        <v>1903</v>
      </c>
      <c r="C190" s="3" t="s">
        <v>92</v>
      </c>
      <c r="D190" s="3" t="s">
        <v>1904</v>
      </c>
      <c r="I190" s="3">
        <v>40.0</v>
      </c>
      <c r="J190" s="3" t="s">
        <v>171</v>
      </c>
      <c r="K190" s="3" t="s">
        <v>72</v>
      </c>
      <c r="L190" s="3" t="s">
        <v>73</v>
      </c>
      <c r="M190" s="3" t="s">
        <v>36</v>
      </c>
      <c r="N190" s="3">
        <v>7.835051546391752</v>
      </c>
      <c r="P190" s="3" t="s">
        <v>149</v>
      </c>
      <c r="Q190" s="32" t="s">
        <v>1902</v>
      </c>
      <c r="R190" s="32" t="s">
        <v>137</v>
      </c>
      <c r="S190" s="32"/>
      <c r="T190" s="32"/>
      <c r="W190" s="3" t="s">
        <v>193</v>
      </c>
      <c r="Y190" s="3" t="s">
        <v>138</v>
      </c>
      <c r="Z190" s="3" t="s">
        <v>1905</v>
      </c>
      <c r="AA190" s="3" t="s">
        <v>1906</v>
      </c>
      <c r="AB190" s="3" t="s">
        <v>1907</v>
      </c>
      <c r="AC190" s="3" t="s">
        <v>1908</v>
      </c>
      <c r="AE190" s="3" t="s">
        <v>83</v>
      </c>
      <c r="AF190" s="3" t="s">
        <v>2525</v>
      </c>
      <c r="AG190" s="3" t="s">
        <v>2525</v>
      </c>
      <c r="AH190" s="3" t="s">
        <v>2525</v>
      </c>
      <c r="AI190" s="3" t="s">
        <v>2525</v>
      </c>
      <c r="AJ190" s="3" t="s">
        <v>2525</v>
      </c>
      <c r="AK190" s="3" t="s">
        <v>129</v>
      </c>
      <c r="AL190" s="3" t="s">
        <v>2525</v>
      </c>
      <c r="AM190" s="3" t="s">
        <v>2525</v>
      </c>
      <c r="AN190" s="3" t="s">
        <v>2525</v>
      </c>
      <c r="AO190" s="3" t="s">
        <v>2525</v>
      </c>
      <c r="AP190" s="3" t="s">
        <v>2525</v>
      </c>
      <c r="AR190" s="3" t="s">
        <v>2525</v>
      </c>
      <c r="AS190" s="3" t="s">
        <v>2525</v>
      </c>
      <c r="AT190" s="3" t="s">
        <v>2525</v>
      </c>
      <c r="AU190" s="3" t="s">
        <v>2525</v>
      </c>
      <c r="AV190" s="3" t="s">
        <v>2525</v>
      </c>
      <c r="AW190" s="3" t="s">
        <v>2525</v>
      </c>
      <c r="AX190" s="3" t="s">
        <v>2525</v>
      </c>
      <c r="AY190" s="3" t="s">
        <v>2525</v>
      </c>
      <c r="AZ190" s="3" t="s">
        <v>2525</v>
      </c>
      <c r="BA190" s="3" t="s">
        <v>84</v>
      </c>
      <c r="BB190" s="3" t="s">
        <v>2525</v>
      </c>
      <c r="BC190" s="3" t="s">
        <v>2525</v>
      </c>
      <c r="BD190" s="3" t="s">
        <v>2525</v>
      </c>
      <c r="BE190" s="3" t="s">
        <v>2525</v>
      </c>
      <c r="BF190" s="3" t="s">
        <v>2525</v>
      </c>
      <c r="BG190" s="3" t="s">
        <v>2525</v>
      </c>
      <c r="BH190" s="3" t="s">
        <v>2525</v>
      </c>
      <c r="BI190" s="3" t="s">
        <v>85</v>
      </c>
      <c r="BJ190" s="3" t="s">
        <v>85</v>
      </c>
      <c r="BL190" s="3" t="s">
        <v>2525</v>
      </c>
      <c r="BN190" s="3" t="s">
        <v>137</v>
      </c>
      <c r="BO190" s="3" t="s">
        <v>137</v>
      </c>
    </row>
    <row r="191">
      <c r="A191" s="3" t="s">
        <v>1910</v>
      </c>
      <c r="B191" s="3" t="s">
        <v>1911</v>
      </c>
      <c r="C191" s="3" t="s">
        <v>92</v>
      </c>
      <c r="D191" s="3" t="s">
        <v>1912</v>
      </c>
      <c r="I191" s="3">
        <v>39.0</v>
      </c>
      <c r="J191" s="3" t="s">
        <v>1913</v>
      </c>
      <c r="K191" s="3" t="s">
        <v>72</v>
      </c>
      <c r="L191" s="3" t="s">
        <v>108</v>
      </c>
      <c r="M191" s="3" t="s">
        <v>109</v>
      </c>
      <c r="N191" s="3">
        <v>-7.754010695187167</v>
      </c>
      <c r="P191" s="3" t="s">
        <v>75</v>
      </c>
      <c r="Q191" s="32" t="s">
        <v>1910</v>
      </c>
      <c r="R191" s="32" t="s">
        <v>1914</v>
      </c>
      <c r="S191" s="32"/>
      <c r="T191" s="32"/>
      <c r="W191" s="3" t="s">
        <v>858</v>
      </c>
      <c r="Y191" s="3" t="s">
        <v>78</v>
      </c>
      <c r="Z191" s="3" t="s">
        <v>1915</v>
      </c>
      <c r="AA191" s="3" t="s">
        <v>1916</v>
      </c>
      <c r="AB191" s="3" t="s">
        <v>1917</v>
      </c>
      <c r="AC191" s="3" t="s">
        <v>1918</v>
      </c>
      <c r="AE191" s="3" t="s">
        <v>83</v>
      </c>
      <c r="AF191" s="3" t="s">
        <v>84</v>
      </c>
      <c r="AG191" s="3" t="s">
        <v>2525</v>
      </c>
      <c r="AH191" s="3" t="s">
        <v>84</v>
      </c>
      <c r="AI191" s="3" t="s">
        <v>84</v>
      </c>
      <c r="AJ191" s="3" t="s">
        <v>84</v>
      </c>
      <c r="AK191" s="3" t="s">
        <v>2525</v>
      </c>
      <c r="AL191" s="3" t="s">
        <v>2525</v>
      </c>
      <c r="AM191" s="3" t="s">
        <v>85</v>
      </c>
      <c r="AN191" s="3" t="s">
        <v>2525</v>
      </c>
      <c r="AO191" s="3" t="s">
        <v>2525</v>
      </c>
      <c r="AP191" s="3" t="s">
        <v>85</v>
      </c>
      <c r="AR191" s="3" t="s">
        <v>2525</v>
      </c>
      <c r="AS191" s="3" t="s">
        <v>85</v>
      </c>
      <c r="AT191" s="3" t="s">
        <v>84</v>
      </c>
      <c r="AU191" s="3" t="s">
        <v>2525</v>
      </c>
      <c r="AV191" s="3" t="s">
        <v>2525</v>
      </c>
      <c r="AW191" s="3" t="s">
        <v>2525</v>
      </c>
      <c r="AX191" s="3" t="s">
        <v>2525</v>
      </c>
      <c r="AY191" s="3" t="s">
        <v>2525</v>
      </c>
      <c r="AZ191" s="3" t="s">
        <v>85</v>
      </c>
      <c r="BA191" s="3" t="s">
        <v>2525</v>
      </c>
      <c r="BB191" s="3" t="s">
        <v>2525</v>
      </c>
      <c r="BC191" s="3" t="s">
        <v>2525</v>
      </c>
      <c r="BD191" s="3" t="s">
        <v>2525</v>
      </c>
      <c r="BE191" s="3" t="s">
        <v>84</v>
      </c>
      <c r="BF191" s="3" t="s">
        <v>2525</v>
      </c>
      <c r="BG191" s="3" t="s">
        <v>2525</v>
      </c>
      <c r="BH191" s="3" t="s">
        <v>2525</v>
      </c>
      <c r="BI191" s="3" t="s">
        <v>2525</v>
      </c>
      <c r="BJ191" s="3" t="s">
        <v>2525</v>
      </c>
      <c r="BL191" s="3" t="s">
        <v>2525</v>
      </c>
      <c r="BN191" s="3" t="s">
        <v>1919</v>
      </c>
      <c r="BO191" s="3" t="s">
        <v>1920</v>
      </c>
    </row>
    <row r="192">
      <c r="A192" s="3" t="s">
        <v>1922</v>
      </c>
      <c r="B192" s="3" t="s">
        <v>1923</v>
      </c>
      <c r="C192" s="3" t="s">
        <v>92</v>
      </c>
      <c r="D192" s="3" t="s">
        <v>1924</v>
      </c>
      <c r="I192" s="3">
        <v>52.0</v>
      </c>
      <c r="J192" s="3" t="s">
        <v>71</v>
      </c>
      <c r="K192" s="3" t="s">
        <v>72</v>
      </c>
      <c r="L192" s="3" t="s">
        <v>108</v>
      </c>
      <c r="M192" s="3" t="s">
        <v>764</v>
      </c>
      <c r="N192" s="3">
        <v>12.716763005780345</v>
      </c>
      <c r="P192" s="3" t="s">
        <v>136</v>
      </c>
      <c r="Q192" s="32" t="s">
        <v>1922</v>
      </c>
      <c r="R192" s="32" t="s">
        <v>765</v>
      </c>
      <c r="S192" s="32"/>
      <c r="T192" s="32"/>
      <c r="W192" s="3" t="s">
        <v>1694</v>
      </c>
      <c r="Y192" s="3" t="s">
        <v>138</v>
      </c>
      <c r="Z192" s="3" t="s">
        <v>1922</v>
      </c>
      <c r="AA192" s="3" t="s">
        <v>1925</v>
      </c>
      <c r="AB192" s="3" t="s">
        <v>1926</v>
      </c>
      <c r="AC192" s="3" t="s">
        <v>1927</v>
      </c>
      <c r="AE192" s="3" t="s">
        <v>83</v>
      </c>
      <c r="AF192" s="3" t="s">
        <v>2525</v>
      </c>
      <c r="AG192" s="3" t="s">
        <v>2525</v>
      </c>
      <c r="AH192" s="3" t="s">
        <v>85</v>
      </c>
      <c r="AI192" s="3" t="s">
        <v>85</v>
      </c>
      <c r="AJ192" s="3" t="s">
        <v>2525</v>
      </c>
      <c r="AK192" s="3" t="s">
        <v>2525</v>
      </c>
      <c r="AL192" s="3" t="s">
        <v>2525</v>
      </c>
      <c r="AM192" s="3" t="s">
        <v>2525</v>
      </c>
      <c r="AN192" s="3" t="s">
        <v>2525</v>
      </c>
      <c r="AO192" s="3" t="s">
        <v>2525</v>
      </c>
      <c r="AP192" s="3" t="s">
        <v>2525</v>
      </c>
      <c r="AR192" s="3" t="s">
        <v>2525</v>
      </c>
      <c r="AS192" s="3" t="s">
        <v>85</v>
      </c>
      <c r="AT192" s="3" t="s">
        <v>2525</v>
      </c>
      <c r="AU192" s="3" t="s">
        <v>2525</v>
      </c>
      <c r="AV192" s="3" t="s">
        <v>2525</v>
      </c>
      <c r="AW192" s="3" t="s">
        <v>2525</v>
      </c>
      <c r="AX192" s="3" t="s">
        <v>2525</v>
      </c>
      <c r="AY192" s="3" t="s">
        <v>2525</v>
      </c>
      <c r="AZ192" s="3" t="s">
        <v>2525</v>
      </c>
      <c r="BA192" s="3" t="s">
        <v>84</v>
      </c>
      <c r="BB192" s="3" t="s">
        <v>2525</v>
      </c>
      <c r="BC192" s="3" t="s">
        <v>2525</v>
      </c>
      <c r="BD192" s="3" t="s">
        <v>2525</v>
      </c>
      <c r="BE192" s="3" t="s">
        <v>85</v>
      </c>
      <c r="BF192" s="3" t="s">
        <v>2525</v>
      </c>
      <c r="BG192" s="3" t="s">
        <v>2525</v>
      </c>
      <c r="BH192" s="3" t="s">
        <v>2525</v>
      </c>
      <c r="BI192" s="3" t="s">
        <v>84</v>
      </c>
      <c r="BJ192" s="3" t="s">
        <v>2525</v>
      </c>
      <c r="BL192" s="3" t="s">
        <v>2525</v>
      </c>
      <c r="BN192" s="3" t="s">
        <v>1928</v>
      </c>
      <c r="BO192" s="3" t="s">
        <v>770</v>
      </c>
      <c r="BP192" s="3" t="s">
        <v>1891</v>
      </c>
    </row>
    <row r="193">
      <c r="A193" s="3" t="s">
        <v>1930</v>
      </c>
      <c r="B193" s="3" t="s">
        <v>1931</v>
      </c>
      <c r="C193" s="3" t="s">
        <v>92</v>
      </c>
      <c r="D193" s="3" t="s">
        <v>1932</v>
      </c>
      <c r="I193" s="3">
        <v>38.0</v>
      </c>
      <c r="J193" s="3" t="s">
        <v>71</v>
      </c>
      <c r="K193" s="3" t="s">
        <v>72</v>
      </c>
      <c r="L193" s="3" t="s">
        <v>73</v>
      </c>
      <c r="M193" s="3" t="s">
        <v>1281</v>
      </c>
      <c r="N193" s="3">
        <v>-19.82758620689655</v>
      </c>
      <c r="P193" s="3" t="s">
        <v>149</v>
      </c>
      <c r="Q193" s="32" t="s">
        <v>1930</v>
      </c>
      <c r="R193" s="32" t="s">
        <v>137</v>
      </c>
      <c r="S193" s="32"/>
      <c r="T193" s="32"/>
      <c r="W193" s="3" t="s">
        <v>858</v>
      </c>
      <c r="Y193" s="3" t="s">
        <v>78</v>
      </c>
      <c r="Z193" s="3" t="s">
        <v>1933</v>
      </c>
      <c r="AA193" s="3" t="s">
        <v>1934</v>
      </c>
      <c r="AB193" s="3" t="s">
        <v>1935</v>
      </c>
      <c r="AC193" s="3" t="s">
        <v>1936</v>
      </c>
      <c r="AE193" s="3" t="s">
        <v>83</v>
      </c>
      <c r="AF193" s="3" t="s">
        <v>2525</v>
      </c>
      <c r="AG193" s="3" t="s">
        <v>2525</v>
      </c>
      <c r="AH193" s="3" t="s">
        <v>2525</v>
      </c>
      <c r="AI193" s="3" t="s">
        <v>2525</v>
      </c>
      <c r="AJ193" s="3" t="s">
        <v>2525</v>
      </c>
      <c r="AK193" s="3" t="s">
        <v>2525</v>
      </c>
      <c r="AL193" s="3" t="s">
        <v>2525</v>
      </c>
      <c r="AM193" s="3" t="s">
        <v>2525</v>
      </c>
      <c r="AN193" s="3" t="s">
        <v>2525</v>
      </c>
      <c r="AO193" s="3" t="s">
        <v>2525</v>
      </c>
      <c r="AP193" s="3" t="s">
        <v>2525</v>
      </c>
      <c r="AR193" s="3" t="s">
        <v>2525</v>
      </c>
      <c r="AS193" s="3" t="s">
        <v>2525</v>
      </c>
      <c r="AT193" s="3" t="s">
        <v>2525</v>
      </c>
      <c r="AU193" s="3" t="s">
        <v>84</v>
      </c>
      <c r="AV193" s="3" t="s">
        <v>2525</v>
      </c>
      <c r="AW193" s="3" t="s">
        <v>84</v>
      </c>
      <c r="AX193" s="3" t="s">
        <v>2525</v>
      </c>
      <c r="AY193" s="3" t="s">
        <v>2525</v>
      </c>
      <c r="AZ193" s="3" t="s">
        <v>2525</v>
      </c>
      <c r="BA193" s="3" t="s">
        <v>2525</v>
      </c>
      <c r="BB193" s="3" t="s">
        <v>2525</v>
      </c>
      <c r="BC193" s="3" t="s">
        <v>2525</v>
      </c>
      <c r="BD193" s="3" t="s">
        <v>2525</v>
      </c>
      <c r="BE193" s="3" t="s">
        <v>2525</v>
      </c>
      <c r="BF193" s="3" t="s">
        <v>2525</v>
      </c>
      <c r="BG193" s="3" t="s">
        <v>2525</v>
      </c>
      <c r="BH193" s="3" t="s">
        <v>2525</v>
      </c>
      <c r="BI193" s="3" t="s">
        <v>2525</v>
      </c>
      <c r="BJ193" s="3" t="s">
        <v>2525</v>
      </c>
      <c r="BL193" s="3" t="s">
        <v>2525</v>
      </c>
      <c r="BN193" s="3" t="s">
        <v>1937</v>
      </c>
      <c r="BO193" s="3" t="s">
        <v>137</v>
      </c>
    </row>
    <row r="194">
      <c r="A194" s="3" t="s">
        <v>1939</v>
      </c>
      <c r="B194" s="3" t="s">
        <v>1940</v>
      </c>
      <c r="C194" s="3" t="s">
        <v>70</v>
      </c>
      <c r="D194" s="3" t="s">
        <v>1904</v>
      </c>
      <c r="I194" s="3">
        <v>25.0</v>
      </c>
      <c r="J194" s="3" t="s">
        <v>618</v>
      </c>
      <c r="K194" s="3" t="s">
        <v>72</v>
      </c>
      <c r="L194" s="3" t="s">
        <v>108</v>
      </c>
      <c r="M194" s="3" t="s">
        <v>44</v>
      </c>
      <c r="N194" s="3">
        <v>7.835051546391752</v>
      </c>
      <c r="P194" s="3" t="s">
        <v>75</v>
      </c>
      <c r="Q194" s="32" t="s">
        <v>1939</v>
      </c>
      <c r="R194" s="32" t="s">
        <v>1429</v>
      </c>
      <c r="S194" s="32"/>
      <c r="T194" s="32"/>
      <c r="Y194" s="3" t="s">
        <v>78</v>
      </c>
      <c r="Z194" s="3" t="s">
        <v>1905</v>
      </c>
      <c r="AA194" s="3" t="s">
        <v>1941</v>
      </c>
      <c r="AB194" s="3" t="s">
        <v>1942</v>
      </c>
      <c r="AC194" s="3" t="s">
        <v>1943</v>
      </c>
      <c r="AE194" s="3" t="s">
        <v>83</v>
      </c>
      <c r="AF194" s="3" t="s">
        <v>84</v>
      </c>
      <c r="AG194" s="3" t="s">
        <v>84</v>
      </c>
      <c r="AH194" s="3" t="s">
        <v>85</v>
      </c>
      <c r="AI194" s="3" t="s">
        <v>85</v>
      </c>
      <c r="AJ194" s="3" t="s">
        <v>84</v>
      </c>
      <c r="AK194" s="3" t="s">
        <v>2525</v>
      </c>
      <c r="AL194" s="3" t="s">
        <v>2525</v>
      </c>
      <c r="AM194" s="3" t="s">
        <v>84</v>
      </c>
      <c r="AN194" s="3" t="s">
        <v>85</v>
      </c>
      <c r="AO194" s="3" t="s">
        <v>2525</v>
      </c>
      <c r="AP194" s="3" t="s">
        <v>2525</v>
      </c>
      <c r="AR194" s="3" t="s">
        <v>2525</v>
      </c>
      <c r="AS194" s="3" t="s">
        <v>85</v>
      </c>
      <c r="AT194" s="3" t="s">
        <v>84</v>
      </c>
      <c r="AU194" s="3" t="s">
        <v>85</v>
      </c>
      <c r="AV194" s="3" t="s">
        <v>2525</v>
      </c>
      <c r="AW194" s="3" t="s">
        <v>2525</v>
      </c>
      <c r="AX194" s="3" t="s">
        <v>2525</v>
      </c>
      <c r="AY194" s="3" t="s">
        <v>2525</v>
      </c>
      <c r="AZ194" s="3" t="s">
        <v>85</v>
      </c>
      <c r="BA194" s="3" t="s">
        <v>2525</v>
      </c>
      <c r="BB194" s="3" t="s">
        <v>2525</v>
      </c>
      <c r="BC194" s="3" t="s">
        <v>2525</v>
      </c>
      <c r="BD194" s="3" t="s">
        <v>2525</v>
      </c>
      <c r="BE194" s="3" t="s">
        <v>85</v>
      </c>
      <c r="BF194" s="3" t="s">
        <v>2525</v>
      </c>
      <c r="BG194" s="3" t="s">
        <v>2525</v>
      </c>
      <c r="BH194" s="3" t="s">
        <v>2525</v>
      </c>
      <c r="BI194" s="3" t="s">
        <v>2525</v>
      </c>
      <c r="BJ194" s="3" t="s">
        <v>2525</v>
      </c>
      <c r="BL194" s="3" t="s">
        <v>86</v>
      </c>
      <c r="BN194" s="3" t="s">
        <v>209</v>
      </c>
      <c r="BO194" s="3" t="s">
        <v>210</v>
      </c>
    </row>
    <row r="195">
      <c r="A195" s="3" t="s">
        <v>1945</v>
      </c>
      <c r="B195" s="3" t="s">
        <v>1946</v>
      </c>
      <c r="C195" s="3" t="s">
        <v>92</v>
      </c>
      <c r="D195" s="3" t="s">
        <v>1947</v>
      </c>
      <c r="I195" s="3">
        <v>40.0</v>
      </c>
      <c r="J195" s="3" t="s">
        <v>171</v>
      </c>
      <c r="K195" s="3" t="s">
        <v>72</v>
      </c>
      <c r="L195" s="3" t="s">
        <v>73</v>
      </c>
      <c r="M195" s="3" t="s">
        <v>1281</v>
      </c>
      <c r="N195" s="3">
        <v>28.26086956521739</v>
      </c>
      <c r="P195" s="3" t="s">
        <v>149</v>
      </c>
      <c r="Q195" s="32" t="s">
        <v>1945</v>
      </c>
      <c r="R195" s="32" t="s">
        <v>137</v>
      </c>
      <c r="S195" s="32"/>
      <c r="T195" s="32"/>
      <c r="Y195" s="3" t="s">
        <v>78</v>
      </c>
      <c r="Z195" s="3" t="s">
        <v>1948</v>
      </c>
      <c r="AA195" s="3" t="s">
        <v>1949</v>
      </c>
      <c r="AB195" s="3" t="s">
        <v>1950</v>
      </c>
      <c r="AC195" s="3" t="s">
        <v>1951</v>
      </c>
      <c r="AE195" s="3" t="s">
        <v>83</v>
      </c>
      <c r="AF195" s="3" t="s">
        <v>85</v>
      </c>
      <c r="AG195" s="3" t="s">
        <v>2525</v>
      </c>
      <c r="AH195" s="3" t="s">
        <v>2525</v>
      </c>
      <c r="AI195" s="3" t="s">
        <v>2525</v>
      </c>
      <c r="AJ195" s="3" t="s">
        <v>2525</v>
      </c>
      <c r="AK195" s="3" t="s">
        <v>2525</v>
      </c>
      <c r="AL195" s="3" t="s">
        <v>2525</v>
      </c>
      <c r="AM195" s="3" t="s">
        <v>2525</v>
      </c>
      <c r="AN195" s="3" t="s">
        <v>2525</v>
      </c>
      <c r="AO195" s="3" t="s">
        <v>2525</v>
      </c>
      <c r="AP195" s="3" t="s">
        <v>85</v>
      </c>
      <c r="AR195" s="3" t="s">
        <v>2525</v>
      </c>
      <c r="AS195" s="3" t="s">
        <v>2525</v>
      </c>
      <c r="AT195" s="3" t="s">
        <v>2525</v>
      </c>
      <c r="AU195" s="3" t="s">
        <v>2525</v>
      </c>
      <c r="AV195" s="3" t="s">
        <v>2525</v>
      </c>
      <c r="AW195" s="3" t="s">
        <v>85</v>
      </c>
      <c r="AX195" s="3" t="s">
        <v>2525</v>
      </c>
      <c r="AY195" s="3" t="s">
        <v>2525</v>
      </c>
      <c r="AZ195" s="3" t="s">
        <v>2525</v>
      </c>
      <c r="BA195" s="3" t="s">
        <v>84</v>
      </c>
      <c r="BB195" s="3" t="s">
        <v>2525</v>
      </c>
      <c r="BC195" s="3" t="s">
        <v>2525</v>
      </c>
      <c r="BD195" s="3" t="s">
        <v>2525</v>
      </c>
      <c r="BE195" s="3" t="s">
        <v>2525</v>
      </c>
      <c r="BF195" s="3" t="s">
        <v>2525</v>
      </c>
      <c r="BG195" s="3" t="s">
        <v>2525</v>
      </c>
      <c r="BH195" s="3" t="s">
        <v>2525</v>
      </c>
      <c r="BI195" s="3" t="s">
        <v>2525</v>
      </c>
      <c r="BJ195" s="3" t="s">
        <v>84</v>
      </c>
      <c r="BL195" s="3" t="s">
        <v>2525</v>
      </c>
      <c r="BN195" s="3" t="s">
        <v>1952</v>
      </c>
      <c r="BO195" s="3" t="s">
        <v>137</v>
      </c>
    </row>
    <row r="196">
      <c r="A196" s="3" t="s">
        <v>1954</v>
      </c>
      <c r="B196" s="3" t="s">
        <v>1955</v>
      </c>
      <c r="C196" s="3" t="s">
        <v>92</v>
      </c>
      <c r="D196" s="3" t="s">
        <v>1956</v>
      </c>
      <c r="I196" s="3">
        <v>34.0</v>
      </c>
      <c r="J196" s="3" t="s">
        <v>272</v>
      </c>
      <c r="K196" s="3" t="s">
        <v>72</v>
      </c>
      <c r="L196" s="3" t="s">
        <v>73</v>
      </c>
      <c r="M196" s="3" t="s">
        <v>36</v>
      </c>
      <c r="N196" s="3">
        <v>-23.684210526315788</v>
      </c>
      <c r="P196" s="3" t="s">
        <v>149</v>
      </c>
      <c r="Q196" s="32" t="s">
        <v>1954</v>
      </c>
      <c r="R196" s="32" t="s">
        <v>137</v>
      </c>
      <c r="S196" s="32"/>
      <c r="T196" s="32"/>
      <c r="X196" s="3" t="s">
        <v>77</v>
      </c>
      <c r="Y196" s="3" t="s">
        <v>78</v>
      </c>
      <c r="Z196" s="3" t="s">
        <v>1957</v>
      </c>
      <c r="AA196" s="3" t="s">
        <v>1958</v>
      </c>
      <c r="AB196" s="3" t="s">
        <v>1959</v>
      </c>
      <c r="AC196" s="3" t="s">
        <v>1960</v>
      </c>
      <c r="AE196" s="3" t="s">
        <v>83</v>
      </c>
      <c r="AF196" s="3" t="s">
        <v>2525</v>
      </c>
      <c r="AG196" s="3" t="s">
        <v>2525</v>
      </c>
      <c r="AH196" s="3" t="s">
        <v>2525</v>
      </c>
      <c r="AI196" s="3" t="s">
        <v>2525</v>
      </c>
      <c r="AJ196" s="3" t="s">
        <v>2525</v>
      </c>
      <c r="AK196" s="3" t="s">
        <v>84</v>
      </c>
      <c r="AL196" s="3" t="s">
        <v>2525</v>
      </c>
      <c r="AM196" s="3" t="s">
        <v>2525</v>
      </c>
      <c r="AN196" s="3" t="s">
        <v>2525</v>
      </c>
      <c r="AO196" s="3" t="s">
        <v>2525</v>
      </c>
      <c r="AP196" s="3" t="s">
        <v>2525</v>
      </c>
      <c r="AR196" s="3" t="s">
        <v>2525</v>
      </c>
      <c r="AS196" s="3" t="s">
        <v>2525</v>
      </c>
      <c r="AT196" s="3" t="s">
        <v>2525</v>
      </c>
      <c r="AU196" s="3" t="s">
        <v>2525</v>
      </c>
      <c r="AV196" s="3" t="s">
        <v>2525</v>
      </c>
      <c r="AW196" s="3" t="s">
        <v>2525</v>
      </c>
      <c r="AX196" s="3" t="s">
        <v>2525</v>
      </c>
      <c r="AY196" s="3" t="s">
        <v>2525</v>
      </c>
      <c r="AZ196" s="3" t="s">
        <v>2525</v>
      </c>
      <c r="BA196" s="3" t="s">
        <v>84</v>
      </c>
      <c r="BB196" s="3" t="s">
        <v>2525</v>
      </c>
      <c r="BC196" s="3" t="s">
        <v>2525</v>
      </c>
      <c r="BD196" s="3" t="s">
        <v>2525</v>
      </c>
      <c r="BE196" s="3" t="s">
        <v>2525</v>
      </c>
      <c r="BF196" s="3" t="s">
        <v>2525</v>
      </c>
      <c r="BG196" s="3" t="s">
        <v>2525</v>
      </c>
      <c r="BH196" s="3" t="s">
        <v>2525</v>
      </c>
      <c r="BI196" s="3" t="s">
        <v>2525</v>
      </c>
      <c r="BJ196" s="3" t="s">
        <v>85</v>
      </c>
      <c r="BK196" s="3" t="s">
        <v>86</v>
      </c>
      <c r="BL196" s="3" t="s">
        <v>2525</v>
      </c>
      <c r="BN196" s="3" t="s">
        <v>1961</v>
      </c>
      <c r="BO196" s="3" t="s">
        <v>137</v>
      </c>
    </row>
    <row r="197">
      <c r="A197" s="3" t="s">
        <v>1963</v>
      </c>
      <c r="B197" s="3" t="s">
        <v>1964</v>
      </c>
      <c r="C197" s="3" t="s">
        <v>92</v>
      </c>
      <c r="D197" s="3" t="s">
        <v>1965</v>
      </c>
      <c r="I197" s="3">
        <v>43.0</v>
      </c>
      <c r="J197" s="3" t="s">
        <v>94</v>
      </c>
      <c r="K197" s="3" t="s">
        <v>72</v>
      </c>
      <c r="L197" s="3" t="s">
        <v>73</v>
      </c>
      <c r="M197" s="3" t="s">
        <v>37</v>
      </c>
      <c r="N197" s="3">
        <v>-5.0359712230215825</v>
      </c>
      <c r="P197" s="3" t="s">
        <v>149</v>
      </c>
      <c r="Q197" s="32" t="s">
        <v>1963</v>
      </c>
      <c r="R197" s="32" t="s">
        <v>137</v>
      </c>
      <c r="S197" s="32"/>
      <c r="T197" s="32"/>
      <c r="W197" s="3" t="s">
        <v>858</v>
      </c>
      <c r="Y197" s="3" t="s">
        <v>78</v>
      </c>
      <c r="Z197" s="3" t="s">
        <v>1966</v>
      </c>
      <c r="AA197" s="3" t="s">
        <v>1967</v>
      </c>
      <c r="AB197" s="3" t="s">
        <v>1968</v>
      </c>
      <c r="AC197" s="3" t="s">
        <v>1969</v>
      </c>
      <c r="AE197" s="3" t="s">
        <v>83</v>
      </c>
      <c r="AF197" s="3" t="s">
        <v>85</v>
      </c>
      <c r="AG197" s="3" t="s">
        <v>2525</v>
      </c>
      <c r="AH197" s="3" t="s">
        <v>2525</v>
      </c>
      <c r="AI197" s="3" t="s">
        <v>2525</v>
      </c>
      <c r="AJ197" s="3" t="s">
        <v>2525</v>
      </c>
      <c r="AK197" s="3" t="s">
        <v>2525</v>
      </c>
      <c r="AL197" s="3" t="s">
        <v>84</v>
      </c>
      <c r="AM197" s="3" t="s">
        <v>2525</v>
      </c>
      <c r="AN197" s="3" t="s">
        <v>84</v>
      </c>
      <c r="AO197" s="3" t="s">
        <v>2525</v>
      </c>
      <c r="AP197" s="3" t="s">
        <v>2525</v>
      </c>
      <c r="AR197" s="3" t="s">
        <v>2525</v>
      </c>
      <c r="AS197" s="3" t="s">
        <v>84</v>
      </c>
      <c r="AT197" s="3" t="s">
        <v>2525</v>
      </c>
      <c r="AU197" s="3" t="s">
        <v>2525</v>
      </c>
      <c r="AV197" s="3" t="s">
        <v>2525</v>
      </c>
      <c r="AW197" s="3" t="s">
        <v>2525</v>
      </c>
      <c r="AX197" s="3" t="s">
        <v>2525</v>
      </c>
      <c r="AY197" s="3" t="s">
        <v>2525</v>
      </c>
      <c r="AZ197" s="3" t="s">
        <v>2525</v>
      </c>
      <c r="BA197" s="3" t="s">
        <v>84</v>
      </c>
      <c r="BB197" s="3" t="s">
        <v>2525</v>
      </c>
      <c r="BC197" s="3" t="s">
        <v>2525</v>
      </c>
      <c r="BD197" s="3" t="s">
        <v>2525</v>
      </c>
      <c r="BE197" s="3" t="s">
        <v>2525</v>
      </c>
      <c r="BF197" s="3" t="s">
        <v>2525</v>
      </c>
      <c r="BG197" s="3" t="s">
        <v>2525</v>
      </c>
      <c r="BH197" s="3" t="s">
        <v>2525</v>
      </c>
      <c r="BI197" s="3" t="s">
        <v>2525</v>
      </c>
      <c r="BJ197" s="3" t="s">
        <v>85</v>
      </c>
      <c r="BL197" s="3" t="s">
        <v>2525</v>
      </c>
      <c r="BN197" s="3" t="s">
        <v>137</v>
      </c>
      <c r="BO197" s="3" t="s">
        <v>137</v>
      </c>
    </row>
    <row r="198">
      <c r="A198" s="3" t="s">
        <v>1971</v>
      </c>
      <c r="B198" s="3" t="s">
        <v>1972</v>
      </c>
      <c r="C198" s="3" t="s">
        <v>92</v>
      </c>
      <c r="D198" s="3" t="s">
        <v>1973</v>
      </c>
      <c r="I198" s="3">
        <v>55.0</v>
      </c>
      <c r="J198" s="3" t="s">
        <v>171</v>
      </c>
      <c r="K198" s="3" t="s">
        <v>72</v>
      </c>
      <c r="L198" s="3" t="s">
        <v>73</v>
      </c>
      <c r="M198" s="3" t="s">
        <v>36</v>
      </c>
      <c r="N198" s="3">
        <v>-7.521186440677965</v>
      </c>
      <c r="P198" s="3" t="s">
        <v>260</v>
      </c>
      <c r="Q198" s="32" t="s">
        <v>1971</v>
      </c>
      <c r="R198" s="32" t="s">
        <v>137</v>
      </c>
      <c r="S198" s="32"/>
      <c r="T198" s="32"/>
      <c r="X198" s="3" t="s">
        <v>77</v>
      </c>
      <c r="Y198" s="3" t="s">
        <v>138</v>
      </c>
      <c r="Z198" s="3" t="s">
        <v>1974</v>
      </c>
      <c r="AA198" s="3" t="s">
        <v>808</v>
      </c>
      <c r="AB198" s="3" t="s">
        <v>1975</v>
      </c>
      <c r="AC198" s="3" t="s">
        <v>1976</v>
      </c>
      <c r="AE198" s="3" t="s">
        <v>83</v>
      </c>
      <c r="AF198" s="3" t="s">
        <v>85</v>
      </c>
      <c r="AG198" s="3" t="s">
        <v>2525</v>
      </c>
      <c r="AH198" s="3" t="s">
        <v>2525</v>
      </c>
      <c r="AI198" s="3" t="s">
        <v>2525</v>
      </c>
      <c r="AJ198" s="3" t="s">
        <v>2525</v>
      </c>
      <c r="AK198" s="3" t="s">
        <v>129</v>
      </c>
      <c r="AL198" s="3" t="s">
        <v>2525</v>
      </c>
      <c r="AM198" s="3" t="s">
        <v>2525</v>
      </c>
      <c r="AN198" s="3" t="s">
        <v>2525</v>
      </c>
      <c r="AO198" s="3" t="s">
        <v>2525</v>
      </c>
      <c r="AP198" s="3" t="s">
        <v>2525</v>
      </c>
      <c r="AR198" s="3" t="s">
        <v>2525</v>
      </c>
      <c r="AS198" s="3" t="s">
        <v>85</v>
      </c>
      <c r="AT198" s="3" t="s">
        <v>2525</v>
      </c>
      <c r="AU198" s="3" t="s">
        <v>2525</v>
      </c>
      <c r="AV198" s="3" t="s">
        <v>2525</v>
      </c>
      <c r="AW198" s="3" t="s">
        <v>2525</v>
      </c>
      <c r="AX198" s="3" t="s">
        <v>2525</v>
      </c>
      <c r="AY198" s="3" t="s">
        <v>2525</v>
      </c>
      <c r="AZ198" s="3" t="s">
        <v>85</v>
      </c>
      <c r="BA198" s="3" t="s">
        <v>84</v>
      </c>
      <c r="BB198" s="3" t="s">
        <v>2525</v>
      </c>
      <c r="BC198" s="3" t="s">
        <v>2525</v>
      </c>
      <c r="BD198" s="3" t="s">
        <v>2525</v>
      </c>
      <c r="BE198" s="3" t="s">
        <v>2525</v>
      </c>
      <c r="BF198" s="3" t="s">
        <v>2525</v>
      </c>
      <c r="BG198" s="3" t="s">
        <v>2525</v>
      </c>
      <c r="BH198" s="3" t="s">
        <v>2525</v>
      </c>
      <c r="BI198" s="3" t="s">
        <v>84</v>
      </c>
      <c r="BJ198" s="3" t="s">
        <v>85</v>
      </c>
      <c r="BK198" s="3" t="s">
        <v>86</v>
      </c>
      <c r="BL198" s="3" t="s">
        <v>2525</v>
      </c>
      <c r="BN198" s="3" t="s">
        <v>143</v>
      </c>
      <c r="BO198" s="3" t="s">
        <v>137</v>
      </c>
    </row>
    <row r="199">
      <c r="A199" s="3" t="s">
        <v>1978</v>
      </c>
      <c r="B199" s="3" t="s">
        <v>1979</v>
      </c>
      <c r="C199" s="3" t="s">
        <v>92</v>
      </c>
      <c r="D199" s="3" t="s">
        <v>1980</v>
      </c>
      <c r="I199" s="3">
        <v>47.0</v>
      </c>
      <c r="J199" s="3" t="s">
        <v>71</v>
      </c>
      <c r="K199" s="3" t="s">
        <v>72</v>
      </c>
      <c r="L199" s="3" t="s">
        <v>73</v>
      </c>
      <c r="M199" s="3" t="s">
        <v>43</v>
      </c>
      <c r="N199" s="3">
        <v>-39.473684210526315</v>
      </c>
      <c r="P199" s="3" t="s">
        <v>149</v>
      </c>
      <c r="Q199" s="32" t="s">
        <v>1978</v>
      </c>
      <c r="R199" s="32" t="s">
        <v>137</v>
      </c>
      <c r="S199" s="32"/>
      <c r="T199" s="32"/>
      <c r="Y199" s="3" t="s">
        <v>78</v>
      </c>
      <c r="Z199" s="3" t="s">
        <v>1981</v>
      </c>
      <c r="AA199" s="3" t="s">
        <v>1982</v>
      </c>
      <c r="AB199" s="3" t="s">
        <v>1983</v>
      </c>
      <c r="AC199" s="3" t="s">
        <v>1984</v>
      </c>
      <c r="AE199" s="3" t="s">
        <v>83</v>
      </c>
      <c r="AF199" s="3" t="s">
        <v>2525</v>
      </c>
      <c r="AG199" s="3" t="s">
        <v>2525</v>
      </c>
      <c r="AH199" s="3" t="s">
        <v>2525</v>
      </c>
      <c r="AI199" s="3" t="s">
        <v>2525</v>
      </c>
      <c r="AJ199" s="3" t="s">
        <v>2525</v>
      </c>
      <c r="AK199" s="3" t="s">
        <v>2525</v>
      </c>
      <c r="AL199" s="3" t="s">
        <v>2525</v>
      </c>
      <c r="AM199" s="3" t="s">
        <v>2525</v>
      </c>
      <c r="AN199" s="3" t="s">
        <v>2525</v>
      </c>
      <c r="AO199" s="3" t="s">
        <v>2525</v>
      </c>
      <c r="AP199" s="3" t="s">
        <v>2525</v>
      </c>
      <c r="AR199" s="3" t="s">
        <v>2525</v>
      </c>
      <c r="AS199" s="3" t="s">
        <v>85</v>
      </c>
      <c r="AT199" s="3" t="s">
        <v>2525</v>
      </c>
      <c r="AU199" s="3" t="s">
        <v>2525</v>
      </c>
      <c r="AV199" s="3" t="s">
        <v>2525</v>
      </c>
      <c r="AW199" s="3" t="s">
        <v>2525</v>
      </c>
      <c r="AX199" s="3" t="s">
        <v>2525</v>
      </c>
      <c r="AY199" s="3" t="s">
        <v>2525</v>
      </c>
      <c r="AZ199" s="3" t="s">
        <v>2525</v>
      </c>
      <c r="BA199" s="3" t="s">
        <v>2525</v>
      </c>
      <c r="BB199" s="3" t="s">
        <v>2525</v>
      </c>
      <c r="BC199" s="3" t="s">
        <v>2525</v>
      </c>
      <c r="BD199" s="3" t="s">
        <v>2525</v>
      </c>
      <c r="BE199" s="3" t="s">
        <v>2525</v>
      </c>
      <c r="BF199" s="3" t="s">
        <v>2525</v>
      </c>
      <c r="BG199" s="3" t="s">
        <v>2525</v>
      </c>
      <c r="BH199" s="3" t="s">
        <v>2525</v>
      </c>
      <c r="BI199" s="3" t="s">
        <v>2525</v>
      </c>
      <c r="BJ199" s="3" t="s">
        <v>2525</v>
      </c>
      <c r="BL199" s="3" t="s">
        <v>2525</v>
      </c>
      <c r="BN199" s="3" t="s">
        <v>137</v>
      </c>
      <c r="BO199" s="3" t="s">
        <v>137</v>
      </c>
    </row>
    <row r="200">
      <c r="A200" s="3" t="s">
        <v>1986</v>
      </c>
      <c r="B200" s="3" t="s">
        <v>1987</v>
      </c>
      <c r="C200" s="3" t="s">
        <v>92</v>
      </c>
      <c r="D200" s="3" t="s">
        <v>1988</v>
      </c>
      <c r="I200" s="3">
        <v>31.0</v>
      </c>
      <c r="J200" s="3" t="s">
        <v>1989</v>
      </c>
      <c r="K200" s="3" t="s">
        <v>72</v>
      </c>
      <c r="L200" s="3" t="s">
        <v>108</v>
      </c>
      <c r="M200" s="3" t="s">
        <v>109</v>
      </c>
      <c r="N200" s="3">
        <v>-12.449255751014885</v>
      </c>
      <c r="P200" s="3" t="s">
        <v>75</v>
      </c>
      <c r="Q200" s="32" t="s">
        <v>1986</v>
      </c>
      <c r="R200" s="32" t="s">
        <v>1990</v>
      </c>
      <c r="S200" s="32"/>
      <c r="T200" s="32"/>
      <c r="X200" s="3" t="s">
        <v>77</v>
      </c>
      <c r="Y200" s="3" t="s">
        <v>78</v>
      </c>
      <c r="Z200" s="3" t="s">
        <v>1991</v>
      </c>
      <c r="AA200" s="3" t="s">
        <v>1992</v>
      </c>
      <c r="AB200" s="3" t="s">
        <v>1993</v>
      </c>
      <c r="AC200" s="3" t="s">
        <v>1994</v>
      </c>
      <c r="AE200" s="3" t="s">
        <v>83</v>
      </c>
      <c r="AF200" s="3" t="s">
        <v>2525</v>
      </c>
      <c r="AG200" s="3" t="s">
        <v>2525</v>
      </c>
      <c r="AH200" s="3" t="s">
        <v>84</v>
      </c>
      <c r="AI200" s="3" t="s">
        <v>85</v>
      </c>
      <c r="AJ200" s="3" t="s">
        <v>84</v>
      </c>
      <c r="AK200" s="3" t="s">
        <v>2525</v>
      </c>
      <c r="AL200" s="3" t="s">
        <v>2525</v>
      </c>
      <c r="AM200" s="3" t="s">
        <v>2525</v>
      </c>
      <c r="AN200" s="3" t="s">
        <v>2525</v>
      </c>
      <c r="AO200" s="3" t="s">
        <v>2525</v>
      </c>
      <c r="AP200" s="3" t="s">
        <v>2525</v>
      </c>
      <c r="AR200" s="3" t="s">
        <v>2525</v>
      </c>
      <c r="AS200" s="3" t="s">
        <v>2525</v>
      </c>
      <c r="AT200" s="3" t="s">
        <v>2525</v>
      </c>
      <c r="AU200" s="3" t="s">
        <v>2525</v>
      </c>
      <c r="AV200" s="3" t="s">
        <v>2525</v>
      </c>
      <c r="AW200" s="3" t="s">
        <v>2525</v>
      </c>
      <c r="AX200" s="3" t="s">
        <v>2525</v>
      </c>
      <c r="AY200" s="3" t="s">
        <v>2525</v>
      </c>
      <c r="AZ200" s="3" t="s">
        <v>2525</v>
      </c>
      <c r="BA200" s="3" t="s">
        <v>2525</v>
      </c>
      <c r="BB200" s="3" t="s">
        <v>2525</v>
      </c>
      <c r="BC200" s="3" t="s">
        <v>2525</v>
      </c>
      <c r="BD200" s="3" t="s">
        <v>2525</v>
      </c>
      <c r="BE200" s="3" t="s">
        <v>85</v>
      </c>
      <c r="BF200" s="3" t="s">
        <v>2525</v>
      </c>
      <c r="BG200" s="3" t="s">
        <v>2525</v>
      </c>
      <c r="BH200" s="3" t="s">
        <v>2525</v>
      </c>
      <c r="BI200" s="3" t="s">
        <v>2525</v>
      </c>
      <c r="BJ200" s="3" t="s">
        <v>2525</v>
      </c>
      <c r="BK200" s="3" t="s">
        <v>86</v>
      </c>
      <c r="BL200" s="3" t="s">
        <v>2525</v>
      </c>
      <c r="BN200" s="3" t="s">
        <v>1995</v>
      </c>
      <c r="BO200" s="3" t="s">
        <v>1996</v>
      </c>
    </row>
    <row r="201">
      <c r="A201" s="3" t="s">
        <v>1998</v>
      </c>
      <c r="B201" s="3" t="s">
        <v>1999</v>
      </c>
      <c r="C201" s="3" t="s">
        <v>92</v>
      </c>
      <c r="D201" s="3" t="s">
        <v>2000</v>
      </c>
      <c r="I201" s="3">
        <v>35.0</v>
      </c>
      <c r="J201" s="3" t="s">
        <v>71</v>
      </c>
      <c r="K201" s="3" t="s">
        <v>72</v>
      </c>
      <c r="L201" s="3" t="s">
        <v>73</v>
      </c>
      <c r="M201" s="3" t="s">
        <v>40</v>
      </c>
      <c r="N201" s="3">
        <v>-5.0359712230215825</v>
      </c>
      <c r="P201" s="3" t="s">
        <v>149</v>
      </c>
      <c r="Q201" s="32" t="s">
        <v>1998</v>
      </c>
      <c r="R201" s="32" t="s">
        <v>137</v>
      </c>
      <c r="S201" s="32"/>
      <c r="T201" s="32"/>
      <c r="W201" s="3" t="s">
        <v>858</v>
      </c>
      <c r="Y201" s="3" t="s">
        <v>78</v>
      </c>
      <c r="Z201" s="3" t="s">
        <v>2001</v>
      </c>
      <c r="AA201" s="3" t="s">
        <v>2002</v>
      </c>
      <c r="AB201" s="3" t="s">
        <v>2003</v>
      </c>
      <c r="AC201" s="3" t="s">
        <v>2004</v>
      </c>
      <c r="AE201" s="3" t="s">
        <v>83</v>
      </c>
      <c r="AF201" s="3" t="s">
        <v>2525</v>
      </c>
      <c r="AG201" s="3" t="s">
        <v>2525</v>
      </c>
      <c r="AH201" s="3" t="s">
        <v>2525</v>
      </c>
      <c r="AI201" s="3" t="s">
        <v>2525</v>
      </c>
      <c r="AJ201" s="3" t="s">
        <v>2525</v>
      </c>
      <c r="AK201" s="3" t="s">
        <v>2525</v>
      </c>
      <c r="AL201" s="3" t="s">
        <v>2525</v>
      </c>
      <c r="AM201" s="3" t="s">
        <v>2525</v>
      </c>
      <c r="AN201" s="3" t="s">
        <v>2525</v>
      </c>
      <c r="AO201" s="3" t="s">
        <v>84</v>
      </c>
      <c r="AP201" s="3" t="s">
        <v>2525</v>
      </c>
      <c r="AR201" s="3" t="s">
        <v>2525</v>
      </c>
      <c r="AS201" s="3" t="s">
        <v>2525</v>
      </c>
      <c r="AT201" s="3" t="s">
        <v>2525</v>
      </c>
      <c r="AU201" s="3" t="s">
        <v>84</v>
      </c>
      <c r="AV201" s="3" t="s">
        <v>85</v>
      </c>
      <c r="AW201" s="3" t="s">
        <v>2525</v>
      </c>
      <c r="AX201" s="3" t="s">
        <v>2525</v>
      </c>
      <c r="AY201" s="3" t="s">
        <v>2525</v>
      </c>
      <c r="AZ201" s="3" t="s">
        <v>2525</v>
      </c>
      <c r="BA201" s="3" t="s">
        <v>2525</v>
      </c>
      <c r="BB201" s="3" t="s">
        <v>2525</v>
      </c>
      <c r="BC201" s="3" t="s">
        <v>2525</v>
      </c>
      <c r="BD201" s="3" t="s">
        <v>2525</v>
      </c>
      <c r="BE201" s="3" t="s">
        <v>2525</v>
      </c>
      <c r="BF201" s="3" t="s">
        <v>2525</v>
      </c>
      <c r="BG201" s="3" t="s">
        <v>2525</v>
      </c>
      <c r="BH201" s="3" t="s">
        <v>2525</v>
      </c>
      <c r="BI201" s="3" t="s">
        <v>2525</v>
      </c>
      <c r="BJ201" s="3" t="s">
        <v>2525</v>
      </c>
      <c r="BL201" s="3" t="s">
        <v>2525</v>
      </c>
      <c r="BN201" s="3" t="s">
        <v>137</v>
      </c>
      <c r="BO201" s="3" t="s">
        <v>137</v>
      </c>
    </row>
    <row r="202">
      <c r="A202" s="3" t="s">
        <v>2006</v>
      </c>
      <c r="B202" s="3" t="s">
        <v>2007</v>
      </c>
      <c r="C202" s="3" t="s">
        <v>70</v>
      </c>
      <c r="D202" s="3" t="s">
        <v>1973</v>
      </c>
      <c r="I202" s="3">
        <v>25.0</v>
      </c>
      <c r="J202" s="3" t="s">
        <v>2008</v>
      </c>
      <c r="K202" s="3" t="s">
        <v>72</v>
      </c>
      <c r="L202" s="3" t="s">
        <v>108</v>
      </c>
      <c r="M202" s="3" t="s">
        <v>44</v>
      </c>
      <c r="N202" s="3">
        <v>-7.521186440677965</v>
      </c>
      <c r="P202" s="3" t="s">
        <v>110</v>
      </c>
      <c r="Q202" s="32" t="s">
        <v>2006</v>
      </c>
      <c r="R202" s="32" t="s">
        <v>204</v>
      </c>
      <c r="S202" s="32"/>
      <c r="T202" s="32"/>
      <c r="X202" s="3" t="s">
        <v>77</v>
      </c>
      <c r="Y202" s="3" t="s">
        <v>78</v>
      </c>
      <c r="Z202" s="3" t="s">
        <v>2009</v>
      </c>
      <c r="AA202" s="3" t="s">
        <v>2010</v>
      </c>
      <c r="AB202" s="3" t="s">
        <v>2011</v>
      </c>
      <c r="AC202" s="3" t="s">
        <v>2012</v>
      </c>
      <c r="AE202" s="3" t="s">
        <v>83</v>
      </c>
      <c r="AF202" s="3" t="s">
        <v>84</v>
      </c>
      <c r="AG202" s="3" t="s">
        <v>85</v>
      </c>
      <c r="AH202" s="3" t="s">
        <v>85</v>
      </c>
      <c r="AI202" s="3" t="s">
        <v>85</v>
      </c>
      <c r="AJ202" s="3" t="s">
        <v>84</v>
      </c>
      <c r="AK202" s="3" t="s">
        <v>85</v>
      </c>
      <c r="AL202" s="3" t="s">
        <v>2525</v>
      </c>
      <c r="AM202" s="3" t="s">
        <v>84</v>
      </c>
      <c r="AN202" s="3" t="s">
        <v>85</v>
      </c>
      <c r="AO202" s="3" t="s">
        <v>2525</v>
      </c>
      <c r="AP202" s="3" t="s">
        <v>2525</v>
      </c>
      <c r="AR202" s="3" t="s">
        <v>2525</v>
      </c>
      <c r="AS202" s="3" t="s">
        <v>85</v>
      </c>
      <c r="AT202" s="3" t="s">
        <v>84</v>
      </c>
      <c r="AU202" s="3" t="s">
        <v>85</v>
      </c>
      <c r="AV202" s="3" t="s">
        <v>2525</v>
      </c>
      <c r="AW202" s="3" t="s">
        <v>2525</v>
      </c>
      <c r="AX202" s="3" t="s">
        <v>2525</v>
      </c>
      <c r="AY202" s="3" t="s">
        <v>2525</v>
      </c>
      <c r="AZ202" s="3" t="s">
        <v>85</v>
      </c>
      <c r="BA202" s="3" t="s">
        <v>2525</v>
      </c>
      <c r="BB202" s="3" t="s">
        <v>2525</v>
      </c>
      <c r="BC202" s="3" t="s">
        <v>2525</v>
      </c>
      <c r="BD202" s="3" t="s">
        <v>2525</v>
      </c>
      <c r="BE202" s="3" t="s">
        <v>85</v>
      </c>
      <c r="BF202" s="3" t="s">
        <v>2525</v>
      </c>
      <c r="BG202" s="3" t="s">
        <v>2525</v>
      </c>
      <c r="BH202" s="3" t="s">
        <v>2525</v>
      </c>
      <c r="BI202" s="3" t="s">
        <v>2525</v>
      </c>
      <c r="BJ202" s="3" t="s">
        <v>2525</v>
      </c>
      <c r="BL202" s="3" t="s">
        <v>86</v>
      </c>
      <c r="BN202" s="3" t="s">
        <v>209</v>
      </c>
      <c r="BO202" s="3" t="s">
        <v>210</v>
      </c>
    </row>
    <row r="203">
      <c r="A203" s="3" t="s">
        <v>2014</v>
      </c>
      <c r="B203" s="3" t="s">
        <v>2015</v>
      </c>
      <c r="C203" s="3" t="s">
        <v>92</v>
      </c>
      <c r="D203" s="3" t="s">
        <v>2016</v>
      </c>
      <c r="I203" s="3">
        <v>43.0</v>
      </c>
      <c r="J203" s="3" t="s">
        <v>702</v>
      </c>
      <c r="K203" s="3" t="s">
        <v>72</v>
      </c>
      <c r="L203" s="3" t="s">
        <v>108</v>
      </c>
      <c r="M203" s="3" t="s">
        <v>764</v>
      </c>
      <c r="N203" s="3">
        <v>-27.586206896551722</v>
      </c>
      <c r="P203" s="3" t="s">
        <v>75</v>
      </c>
      <c r="Q203" s="32" t="s">
        <v>2014</v>
      </c>
      <c r="R203" s="32" t="s">
        <v>765</v>
      </c>
      <c r="S203" s="32"/>
      <c r="T203" s="32"/>
      <c r="W203" s="3" t="s">
        <v>274</v>
      </c>
      <c r="Y203" s="3" t="s">
        <v>138</v>
      </c>
      <c r="Z203" s="3" t="s">
        <v>2014</v>
      </c>
      <c r="AA203" s="3" t="s">
        <v>2017</v>
      </c>
      <c r="AB203" s="3" t="s">
        <v>2018</v>
      </c>
      <c r="AC203" s="3" t="s">
        <v>2019</v>
      </c>
      <c r="AE203" s="3" t="s">
        <v>83</v>
      </c>
      <c r="AF203" s="3" t="s">
        <v>2525</v>
      </c>
      <c r="AG203" s="3" t="s">
        <v>2525</v>
      </c>
      <c r="AH203" s="3" t="s">
        <v>85</v>
      </c>
      <c r="AI203" s="3" t="s">
        <v>2525</v>
      </c>
      <c r="AJ203" s="3" t="s">
        <v>2525</v>
      </c>
      <c r="AK203" s="3" t="s">
        <v>2525</v>
      </c>
      <c r="AL203" s="3" t="s">
        <v>2525</v>
      </c>
      <c r="AM203" s="3" t="s">
        <v>2525</v>
      </c>
      <c r="AN203" s="3" t="s">
        <v>2525</v>
      </c>
      <c r="AO203" s="3" t="s">
        <v>2525</v>
      </c>
      <c r="AP203" s="3" t="s">
        <v>2525</v>
      </c>
      <c r="AR203" s="3" t="s">
        <v>2525</v>
      </c>
      <c r="AS203" s="3" t="s">
        <v>2525</v>
      </c>
      <c r="AT203" s="3" t="s">
        <v>2525</v>
      </c>
      <c r="AU203" s="3" t="s">
        <v>2525</v>
      </c>
      <c r="AV203" s="3" t="s">
        <v>2525</v>
      </c>
      <c r="AW203" s="3" t="s">
        <v>2525</v>
      </c>
      <c r="AX203" s="3" t="s">
        <v>2525</v>
      </c>
      <c r="AY203" s="3" t="s">
        <v>2525</v>
      </c>
      <c r="AZ203" s="3" t="s">
        <v>2525</v>
      </c>
      <c r="BA203" s="3" t="s">
        <v>85</v>
      </c>
      <c r="BB203" s="3" t="s">
        <v>2525</v>
      </c>
      <c r="BC203" s="3" t="s">
        <v>2525</v>
      </c>
      <c r="BD203" s="3" t="s">
        <v>2525</v>
      </c>
      <c r="BE203" s="3" t="s">
        <v>85</v>
      </c>
      <c r="BF203" s="3" t="s">
        <v>2525</v>
      </c>
      <c r="BG203" s="3" t="s">
        <v>2525</v>
      </c>
      <c r="BH203" s="3" t="s">
        <v>2525</v>
      </c>
      <c r="BI203" s="3" t="s">
        <v>85</v>
      </c>
      <c r="BJ203" s="3" t="s">
        <v>2525</v>
      </c>
      <c r="BL203" s="3" t="s">
        <v>2525</v>
      </c>
      <c r="BN203" s="3" t="s">
        <v>1928</v>
      </c>
      <c r="BO203" s="3" t="s">
        <v>770</v>
      </c>
    </row>
    <row r="204">
      <c r="A204" s="3" t="s">
        <v>2021</v>
      </c>
      <c r="B204" s="3" t="s">
        <v>2022</v>
      </c>
      <c r="C204" s="3" t="s">
        <v>92</v>
      </c>
      <c r="D204" s="3" t="s">
        <v>2023</v>
      </c>
      <c r="I204" s="3">
        <v>24.0</v>
      </c>
      <c r="J204" s="3" t="s">
        <v>71</v>
      </c>
      <c r="K204" s="3" t="s">
        <v>72</v>
      </c>
      <c r="L204" s="3" t="s">
        <v>73</v>
      </c>
      <c r="M204" s="3" t="s">
        <v>40</v>
      </c>
      <c r="N204" s="3">
        <v>-35.6687898089172</v>
      </c>
      <c r="P204" s="3" t="s">
        <v>149</v>
      </c>
      <c r="Q204" s="32" t="s">
        <v>2021</v>
      </c>
      <c r="R204" s="32" t="s">
        <v>2024</v>
      </c>
      <c r="S204" s="32"/>
      <c r="T204" s="32"/>
      <c r="W204" s="3" t="s">
        <v>858</v>
      </c>
      <c r="X204" s="3" t="s">
        <v>77</v>
      </c>
      <c r="Y204" s="3" t="s">
        <v>78</v>
      </c>
      <c r="Z204" s="3" t="s">
        <v>2025</v>
      </c>
      <c r="AA204" s="3" t="s">
        <v>2026</v>
      </c>
      <c r="AB204" s="3" t="s">
        <v>2027</v>
      </c>
      <c r="AC204" s="3" t="s">
        <v>2028</v>
      </c>
      <c r="AE204" s="3" t="s">
        <v>83</v>
      </c>
      <c r="AF204" s="3" t="s">
        <v>2525</v>
      </c>
      <c r="AG204" s="3" t="s">
        <v>2525</v>
      </c>
      <c r="AH204" s="3" t="s">
        <v>2525</v>
      </c>
      <c r="AI204" s="3" t="s">
        <v>2525</v>
      </c>
      <c r="AJ204" s="3" t="s">
        <v>2525</v>
      </c>
      <c r="AK204" s="3" t="s">
        <v>2525</v>
      </c>
      <c r="AL204" s="3" t="s">
        <v>2525</v>
      </c>
      <c r="AM204" s="3" t="s">
        <v>2525</v>
      </c>
      <c r="AN204" s="3" t="s">
        <v>2525</v>
      </c>
      <c r="AO204" s="3" t="s">
        <v>84</v>
      </c>
      <c r="AP204" s="3" t="s">
        <v>2525</v>
      </c>
      <c r="AR204" s="3" t="s">
        <v>2525</v>
      </c>
      <c r="AS204" s="3" t="s">
        <v>2525</v>
      </c>
      <c r="AT204" s="3" t="s">
        <v>2525</v>
      </c>
      <c r="AU204" s="3" t="s">
        <v>84</v>
      </c>
      <c r="AV204" s="3" t="s">
        <v>85</v>
      </c>
      <c r="AW204" s="3" t="s">
        <v>2525</v>
      </c>
      <c r="AX204" s="3" t="s">
        <v>2525</v>
      </c>
      <c r="AY204" s="3" t="s">
        <v>2525</v>
      </c>
      <c r="AZ204" s="3" t="s">
        <v>2525</v>
      </c>
      <c r="BA204" s="3" t="s">
        <v>2525</v>
      </c>
      <c r="BB204" s="3" t="s">
        <v>2525</v>
      </c>
      <c r="BC204" s="3" t="s">
        <v>2525</v>
      </c>
      <c r="BD204" s="3" t="s">
        <v>2525</v>
      </c>
      <c r="BE204" s="3" t="s">
        <v>2525</v>
      </c>
      <c r="BF204" s="3" t="s">
        <v>2525</v>
      </c>
      <c r="BG204" s="3" t="s">
        <v>2525</v>
      </c>
      <c r="BH204" s="3" t="s">
        <v>2525</v>
      </c>
      <c r="BI204" s="3" t="s">
        <v>2525</v>
      </c>
      <c r="BJ204" s="3" t="s">
        <v>2525</v>
      </c>
      <c r="BL204" s="3" t="s">
        <v>2525</v>
      </c>
      <c r="BN204" s="3" t="s">
        <v>2029</v>
      </c>
      <c r="BO204" s="3" t="s">
        <v>137</v>
      </c>
    </row>
    <row r="205">
      <c r="A205" s="3" t="s">
        <v>2031</v>
      </c>
      <c r="B205" s="3" t="s">
        <v>2032</v>
      </c>
      <c r="C205" s="3" t="s">
        <v>92</v>
      </c>
      <c r="D205" s="3" t="s">
        <v>2033</v>
      </c>
      <c r="I205" s="3">
        <v>35.0</v>
      </c>
      <c r="J205" s="3" t="s">
        <v>159</v>
      </c>
      <c r="K205" s="3" t="s">
        <v>72</v>
      </c>
      <c r="L205" s="3" t="s">
        <v>73</v>
      </c>
      <c r="M205" s="3" t="s">
        <v>43</v>
      </c>
      <c r="N205" s="3">
        <v>27.27272727272727</v>
      </c>
      <c r="P205" s="3" t="s">
        <v>260</v>
      </c>
      <c r="Q205" s="32" t="s">
        <v>2031</v>
      </c>
      <c r="R205" s="32" t="s">
        <v>137</v>
      </c>
      <c r="S205" s="32"/>
      <c r="T205" s="32"/>
      <c r="W205" s="3" t="s">
        <v>1578</v>
      </c>
      <c r="Y205" s="3" t="s">
        <v>138</v>
      </c>
      <c r="Z205" s="3" t="s">
        <v>2034</v>
      </c>
      <c r="AA205" s="3" t="s">
        <v>2035</v>
      </c>
      <c r="AB205" s="3" t="s">
        <v>2036</v>
      </c>
      <c r="AC205" s="3" t="s">
        <v>2037</v>
      </c>
      <c r="AE205" s="3" t="s">
        <v>83</v>
      </c>
      <c r="AF205" s="3" t="s">
        <v>2525</v>
      </c>
      <c r="AG205" s="3" t="s">
        <v>2525</v>
      </c>
      <c r="AH205" s="3" t="s">
        <v>2525</v>
      </c>
      <c r="AI205" s="3" t="s">
        <v>2525</v>
      </c>
      <c r="AJ205" s="3" t="s">
        <v>2525</v>
      </c>
      <c r="AK205" s="3" t="s">
        <v>2525</v>
      </c>
      <c r="AL205" s="3" t="s">
        <v>2525</v>
      </c>
      <c r="AM205" s="3" t="s">
        <v>2525</v>
      </c>
      <c r="AN205" s="3" t="s">
        <v>2525</v>
      </c>
      <c r="AO205" s="3" t="s">
        <v>2525</v>
      </c>
      <c r="AP205" s="3" t="s">
        <v>2525</v>
      </c>
      <c r="AR205" s="3" t="s">
        <v>2525</v>
      </c>
      <c r="AS205" s="3" t="s">
        <v>85</v>
      </c>
      <c r="AT205" s="3" t="s">
        <v>2525</v>
      </c>
      <c r="AU205" s="3" t="s">
        <v>2525</v>
      </c>
      <c r="AV205" s="3" t="s">
        <v>2525</v>
      </c>
      <c r="AW205" s="3" t="s">
        <v>2525</v>
      </c>
      <c r="AX205" s="3" t="s">
        <v>2525</v>
      </c>
      <c r="AY205" s="3" t="s">
        <v>2525</v>
      </c>
      <c r="AZ205" s="3" t="s">
        <v>2525</v>
      </c>
      <c r="BA205" s="3" t="s">
        <v>85</v>
      </c>
      <c r="BB205" s="3" t="s">
        <v>2525</v>
      </c>
      <c r="BC205" s="3" t="s">
        <v>2525</v>
      </c>
      <c r="BD205" s="3" t="s">
        <v>2525</v>
      </c>
      <c r="BE205" s="3" t="s">
        <v>2525</v>
      </c>
      <c r="BF205" s="3" t="s">
        <v>2525</v>
      </c>
      <c r="BG205" s="3" t="s">
        <v>2525</v>
      </c>
      <c r="BH205" s="3" t="s">
        <v>2525</v>
      </c>
      <c r="BI205" s="3" t="s">
        <v>84</v>
      </c>
      <c r="BJ205" s="3" t="s">
        <v>2525</v>
      </c>
      <c r="BL205" s="3" t="s">
        <v>2525</v>
      </c>
      <c r="BN205" s="3" t="s">
        <v>137</v>
      </c>
      <c r="BO205" s="3" t="s">
        <v>137</v>
      </c>
    </row>
    <row r="206">
      <c r="A206" s="3" t="s">
        <v>2039</v>
      </c>
      <c r="B206" s="3" t="s">
        <v>2040</v>
      </c>
      <c r="C206" s="3" t="s">
        <v>92</v>
      </c>
      <c r="D206" s="3" t="s">
        <v>2041</v>
      </c>
      <c r="I206" s="3">
        <v>35.0</v>
      </c>
      <c r="J206" s="3" t="s">
        <v>171</v>
      </c>
      <c r="K206" s="3" t="s">
        <v>72</v>
      </c>
      <c r="L206" s="3" t="s">
        <v>73</v>
      </c>
      <c r="M206" s="3" t="s">
        <v>40</v>
      </c>
      <c r="N206" s="3">
        <v>-1.8823529411764703</v>
      </c>
      <c r="P206" s="3" t="s">
        <v>75</v>
      </c>
      <c r="Q206" s="32" t="s">
        <v>2039</v>
      </c>
      <c r="R206" s="32" t="s">
        <v>2042</v>
      </c>
      <c r="S206" s="32"/>
      <c r="T206" s="32"/>
      <c r="W206" s="3" t="s">
        <v>193</v>
      </c>
      <c r="X206" s="3" t="s">
        <v>77</v>
      </c>
      <c r="Y206" s="3" t="s">
        <v>78</v>
      </c>
      <c r="Z206" s="3" t="s">
        <v>346</v>
      </c>
      <c r="AA206" s="3" t="s">
        <v>2043</v>
      </c>
      <c r="AB206" s="3" t="s">
        <v>2044</v>
      </c>
      <c r="AC206" s="3" t="s">
        <v>2045</v>
      </c>
      <c r="AD206" s="3" t="s">
        <v>2046</v>
      </c>
      <c r="AE206" s="3" t="s">
        <v>83</v>
      </c>
      <c r="AF206" s="3" t="s">
        <v>84</v>
      </c>
      <c r="AG206" s="3" t="s">
        <v>84</v>
      </c>
      <c r="AH206" s="3" t="s">
        <v>2525</v>
      </c>
      <c r="AI206" s="3" t="s">
        <v>2525</v>
      </c>
      <c r="AJ206" s="3" t="s">
        <v>2525</v>
      </c>
      <c r="AK206" s="3" t="s">
        <v>2525</v>
      </c>
      <c r="AL206" s="3" t="s">
        <v>2525</v>
      </c>
      <c r="AM206" s="3" t="s">
        <v>2525</v>
      </c>
      <c r="AN206" s="3" t="s">
        <v>2525</v>
      </c>
      <c r="AO206" s="3" t="s">
        <v>84</v>
      </c>
      <c r="AP206" s="3" t="s">
        <v>2525</v>
      </c>
      <c r="AR206" s="3" t="s">
        <v>2525</v>
      </c>
      <c r="AS206" s="3" t="s">
        <v>2525</v>
      </c>
      <c r="AT206" s="3" t="s">
        <v>2525</v>
      </c>
      <c r="AU206" s="3" t="s">
        <v>2525</v>
      </c>
      <c r="AV206" s="3" t="s">
        <v>129</v>
      </c>
      <c r="AW206" s="3" t="s">
        <v>2525</v>
      </c>
      <c r="AX206" s="3" t="s">
        <v>2525</v>
      </c>
      <c r="AY206" s="3" t="s">
        <v>2525</v>
      </c>
      <c r="AZ206" s="3" t="s">
        <v>2525</v>
      </c>
      <c r="BA206" s="3" t="s">
        <v>2525</v>
      </c>
      <c r="BB206" s="3" t="s">
        <v>2525</v>
      </c>
      <c r="BC206" s="3" t="s">
        <v>2525</v>
      </c>
      <c r="BD206" s="3" t="s">
        <v>129</v>
      </c>
      <c r="BE206" s="3" t="s">
        <v>2525</v>
      </c>
      <c r="BF206" s="3" t="s">
        <v>2525</v>
      </c>
      <c r="BG206" s="3" t="s">
        <v>2525</v>
      </c>
      <c r="BH206" s="3" t="s">
        <v>2525</v>
      </c>
      <c r="BI206" s="3" t="s">
        <v>2525</v>
      </c>
      <c r="BJ206" s="3" t="s">
        <v>2525</v>
      </c>
      <c r="BK206" s="3" t="s">
        <v>86</v>
      </c>
      <c r="BL206" s="3" t="s">
        <v>2525</v>
      </c>
      <c r="BN206" s="3" t="s">
        <v>2047</v>
      </c>
      <c r="BO206" s="3" t="s">
        <v>2048</v>
      </c>
    </row>
    <row r="207">
      <c r="A207" s="3" t="s">
        <v>2050</v>
      </c>
      <c r="B207" s="3" t="s">
        <v>2051</v>
      </c>
      <c r="C207" s="3" t="s">
        <v>92</v>
      </c>
      <c r="D207" s="3" t="s">
        <v>2052</v>
      </c>
      <c r="I207" s="3">
        <v>49.0</v>
      </c>
      <c r="J207" s="3" t="s">
        <v>71</v>
      </c>
      <c r="K207" s="3" t="s">
        <v>72</v>
      </c>
      <c r="L207" s="3" t="s">
        <v>73</v>
      </c>
      <c r="M207" s="3" t="s">
        <v>43</v>
      </c>
      <c r="N207" s="3">
        <v>5.88235294117647</v>
      </c>
      <c r="P207" s="3" t="s">
        <v>149</v>
      </c>
      <c r="Q207" s="32" t="s">
        <v>2050</v>
      </c>
      <c r="R207" s="32" t="s">
        <v>137</v>
      </c>
      <c r="S207" s="32"/>
      <c r="T207" s="32"/>
      <c r="W207" s="3" t="s">
        <v>2053</v>
      </c>
      <c r="Y207" s="3" t="s">
        <v>78</v>
      </c>
      <c r="Z207" s="3" t="s">
        <v>2054</v>
      </c>
      <c r="AA207" s="3" t="s">
        <v>2055</v>
      </c>
      <c r="AB207" s="3" t="s">
        <v>2056</v>
      </c>
      <c r="AC207" s="3" t="s">
        <v>2057</v>
      </c>
      <c r="AE207" s="3" t="s">
        <v>83</v>
      </c>
      <c r="AF207" s="3" t="s">
        <v>2525</v>
      </c>
      <c r="AG207" s="3" t="s">
        <v>2525</v>
      </c>
      <c r="AH207" s="3" t="s">
        <v>2525</v>
      </c>
      <c r="AI207" s="3" t="s">
        <v>2525</v>
      </c>
      <c r="AJ207" s="3" t="s">
        <v>2525</v>
      </c>
      <c r="AK207" s="3" t="s">
        <v>2525</v>
      </c>
      <c r="AL207" s="3" t="s">
        <v>2525</v>
      </c>
      <c r="AM207" s="3" t="s">
        <v>85</v>
      </c>
      <c r="AN207" s="3" t="s">
        <v>85</v>
      </c>
      <c r="AO207" s="3" t="s">
        <v>2525</v>
      </c>
      <c r="AP207" s="3" t="s">
        <v>2525</v>
      </c>
      <c r="AR207" s="3" t="s">
        <v>2525</v>
      </c>
      <c r="AS207" s="3" t="s">
        <v>85</v>
      </c>
      <c r="AT207" s="3" t="s">
        <v>2525</v>
      </c>
      <c r="AU207" s="3" t="s">
        <v>2525</v>
      </c>
      <c r="AV207" s="3" t="s">
        <v>2525</v>
      </c>
      <c r="AW207" s="3" t="s">
        <v>2525</v>
      </c>
      <c r="AX207" s="3" t="s">
        <v>2525</v>
      </c>
      <c r="AY207" s="3" t="s">
        <v>2525</v>
      </c>
      <c r="AZ207" s="3" t="s">
        <v>2525</v>
      </c>
      <c r="BA207" s="3" t="s">
        <v>85</v>
      </c>
      <c r="BB207" s="3" t="s">
        <v>2525</v>
      </c>
      <c r="BC207" s="3" t="s">
        <v>2525</v>
      </c>
      <c r="BD207" s="3" t="s">
        <v>2525</v>
      </c>
      <c r="BE207" s="3" t="s">
        <v>2525</v>
      </c>
      <c r="BF207" s="3" t="s">
        <v>2525</v>
      </c>
      <c r="BG207" s="3" t="s">
        <v>2525</v>
      </c>
      <c r="BH207" s="3" t="s">
        <v>2525</v>
      </c>
      <c r="BI207" s="3" t="s">
        <v>2525</v>
      </c>
      <c r="BJ207" s="3" t="s">
        <v>85</v>
      </c>
      <c r="BL207" s="3" t="s">
        <v>2525</v>
      </c>
      <c r="BN207" s="3" t="s">
        <v>137</v>
      </c>
      <c r="BO207" s="3" t="s">
        <v>137</v>
      </c>
    </row>
    <row r="208">
      <c r="A208" s="3" t="s">
        <v>2059</v>
      </c>
      <c r="B208" s="3" t="s">
        <v>2060</v>
      </c>
      <c r="C208" s="3" t="s">
        <v>92</v>
      </c>
      <c r="D208" s="3" t="s">
        <v>2061</v>
      </c>
      <c r="I208" s="3">
        <v>27.0</v>
      </c>
      <c r="J208" s="3" t="s">
        <v>148</v>
      </c>
      <c r="K208" s="3" t="s">
        <v>72</v>
      </c>
      <c r="L208" s="3" t="s">
        <v>108</v>
      </c>
      <c r="M208" s="3" t="s">
        <v>44</v>
      </c>
      <c r="N208" s="3">
        <v>-1.0869565217391304</v>
      </c>
      <c r="P208" s="3" t="s">
        <v>149</v>
      </c>
      <c r="Q208" s="32" t="s">
        <v>2059</v>
      </c>
      <c r="R208" s="32" t="s">
        <v>137</v>
      </c>
      <c r="S208" s="32"/>
      <c r="T208" s="32"/>
      <c r="W208" s="3" t="s">
        <v>274</v>
      </c>
      <c r="Y208" s="3" t="s">
        <v>78</v>
      </c>
      <c r="Z208" s="3" t="s">
        <v>2014</v>
      </c>
      <c r="AA208" s="3" t="s">
        <v>2062</v>
      </c>
      <c r="AB208" s="3" t="s">
        <v>2063</v>
      </c>
      <c r="AC208" s="3" t="s">
        <v>2064</v>
      </c>
      <c r="AE208" s="3" t="s">
        <v>83</v>
      </c>
      <c r="AF208" s="3" t="s">
        <v>2525</v>
      </c>
      <c r="AG208" s="3" t="s">
        <v>2525</v>
      </c>
      <c r="AH208" s="3" t="s">
        <v>2525</v>
      </c>
      <c r="AI208" s="3" t="s">
        <v>2525</v>
      </c>
      <c r="AJ208" s="3" t="s">
        <v>84</v>
      </c>
      <c r="AK208" s="3" t="s">
        <v>2525</v>
      </c>
      <c r="AL208" s="3" t="s">
        <v>2525</v>
      </c>
      <c r="AM208" s="3" t="s">
        <v>2525</v>
      </c>
      <c r="AN208" s="3" t="s">
        <v>2525</v>
      </c>
      <c r="AO208" s="3" t="s">
        <v>2525</v>
      </c>
      <c r="AP208" s="3" t="s">
        <v>2525</v>
      </c>
      <c r="AR208" s="3" t="s">
        <v>2525</v>
      </c>
      <c r="AS208" s="3" t="s">
        <v>2525</v>
      </c>
      <c r="AT208" s="3" t="s">
        <v>84</v>
      </c>
      <c r="AU208" s="3" t="s">
        <v>2525</v>
      </c>
      <c r="AV208" s="3" t="s">
        <v>2525</v>
      </c>
      <c r="AW208" s="3" t="s">
        <v>2525</v>
      </c>
      <c r="AX208" s="3" t="s">
        <v>2525</v>
      </c>
      <c r="AY208" s="3" t="s">
        <v>2525</v>
      </c>
      <c r="AZ208" s="3" t="s">
        <v>2525</v>
      </c>
      <c r="BA208" s="3" t="s">
        <v>2525</v>
      </c>
      <c r="BB208" s="3" t="s">
        <v>2525</v>
      </c>
      <c r="BC208" s="3" t="s">
        <v>2525</v>
      </c>
      <c r="BD208" s="3" t="s">
        <v>2525</v>
      </c>
      <c r="BE208" s="3" t="s">
        <v>2525</v>
      </c>
      <c r="BF208" s="3" t="s">
        <v>2525</v>
      </c>
      <c r="BG208" s="3" t="s">
        <v>2525</v>
      </c>
      <c r="BH208" s="3" t="s">
        <v>2525</v>
      </c>
      <c r="BI208" s="3" t="s">
        <v>2525</v>
      </c>
      <c r="BJ208" s="3" t="s">
        <v>2525</v>
      </c>
      <c r="BL208" s="3" t="s">
        <v>2525</v>
      </c>
      <c r="BN208" s="3" t="s">
        <v>137</v>
      </c>
      <c r="BO208" s="3" t="s">
        <v>137</v>
      </c>
    </row>
    <row r="209">
      <c r="A209" s="3" t="s">
        <v>2066</v>
      </c>
      <c r="B209" s="3" t="s">
        <v>2067</v>
      </c>
      <c r="C209" s="3" t="s">
        <v>92</v>
      </c>
      <c r="D209" s="3" t="s">
        <v>2068</v>
      </c>
      <c r="I209" s="3">
        <v>30.0</v>
      </c>
      <c r="J209" s="3" t="s">
        <v>452</v>
      </c>
      <c r="K209" s="3" t="s">
        <v>72</v>
      </c>
      <c r="L209" s="3" t="s">
        <v>73</v>
      </c>
      <c r="M209" s="3" t="s">
        <v>1281</v>
      </c>
      <c r="N209" s="3">
        <v>-2.336448598130841</v>
      </c>
      <c r="P209" s="3" t="s">
        <v>149</v>
      </c>
      <c r="Q209" s="32" t="s">
        <v>2066</v>
      </c>
      <c r="R209" s="32" t="s">
        <v>137</v>
      </c>
      <c r="S209" s="32"/>
      <c r="T209" s="32"/>
      <c r="W209" s="3" t="s">
        <v>858</v>
      </c>
      <c r="Y209" s="3" t="s">
        <v>78</v>
      </c>
      <c r="Z209" s="3" t="s">
        <v>2069</v>
      </c>
      <c r="AA209" s="3" t="s">
        <v>2070</v>
      </c>
      <c r="AB209" s="3" t="s">
        <v>2071</v>
      </c>
      <c r="AC209" s="3" t="s">
        <v>2072</v>
      </c>
      <c r="AE209" s="3" t="s">
        <v>83</v>
      </c>
      <c r="AF209" s="3" t="s">
        <v>2525</v>
      </c>
      <c r="AG209" s="3" t="s">
        <v>2525</v>
      </c>
      <c r="AH209" s="3" t="s">
        <v>2525</v>
      </c>
      <c r="AI209" s="3" t="s">
        <v>2525</v>
      </c>
      <c r="AJ209" s="3" t="s">
        <v>2525</v>
      </c>
      <c r="AK209" s="3" t="s">
        <v>2525</v>
      </c>
      <c r="AL209" s="3" t="s">
        <v>2525</v>
      </c>
      <c r="AM209" s="3" t="s">
        <v>2525</v>
      </c>
      <c r="AN209" s="3" t="s">
        <v>2525</v>
      </c>
      <c r="AO209" s="3" t="s">
        <v>2525</v>
      </c>
      <c r="AP209" s="3" t="s">
        <v>85</v>
      </c>
      <c r="AR209" s="3" t="s">
        <v>2525</v>
      </c>
      <c r="AS209" s="3" t="s">
        <v>2525</v>
      </c>
      <c r="AT209" s="3" t="s">
        <v>2525</v>
      </c>
      <c r="AU209" s="3" t="s">
        <v>84</v>
      </c>
      <c r="AV209" s="3" t="s">
        <v>2525</v>
      </c>
      <c r="AW209" s="3" t="s">
        <v>84</v>
      </c>
      <c r="AX209" s="3" t="s">
        <v>2525</v>
      </c>
      <c r="AY209" s="3" t="s">
        <v>2525</v>
      </c>
      <c r="AZ209" s="3" t="s">
        <v>2525</v>
      </c>
      <c r="BA209" s="3" t="s">
        <v>84</v>
      </c>
      <c r="BB209" s="3" t="s">
        <v>2525</v>
      </c>
      <c r="BC209" s="3" t="s">
        <v>2525</v>
      </c>
      <c r="BD209" s="3" t="s">
        <v>2525</v>
      </c>
      <c r="BE209" s="3" t="s">
        <v>2525</v>
      </c>
      <c r="BF209" s="3" t="s">
        <v>2525</v>
      </c>
      <c r="BG209" s="3" t="s">
        <v>2525</v>
      </c>
      <c r="BH209" s="3" t="s">
        <v>2525</v>
      </c>
      <c r="BI209" s="3" t="s">
        <v>2525</v>
      </c>
      <c r="BJ209" s="3" t="s">
        <v>84</v>
      </c>
      <c r="BL209" s="3" t="s">
        <v>2525</v>
      </c>
      <c r="BN209" s="3" t="s">
        <v>1084</v>
      </c>
      <c r="BO209" s="3" t="s">
        <v>137</v>
      </c>
    </row>
    <row r="210">
      <c r="A210" s="3" t="s">
        <v>2074</v>
      </c>
      <c r="B210" s="3" t="s">
        <v>2075</v>
      </c>
      <c r="C210" s="3" t="s">
        <v>92</v>
      </c>
      <c r="D210" s="3" t="s">
        <v>2076</v>
      </c>
      <c r="I210" s="3">
        <v>20.0</v>
      </c>
      <c r="J210" s="3" t="s">
        <v>71</v>
      </c>
      <c r="K210" s="3" t="s">
        <v>72</v>
      </c>
      <c r="L210" s="3" t="s">
        <v>73</v>
      </c>
      <c r="M210" s="3" t="s">
        <v>40</v>
      </c>
      <c r="N210" s="3">
        <v>-20.642201834862387</v>
      </c>
      <c r="P210" s="3" t="s">
        <v>149</v>
      </c>
      <c r="Q210" s="32" t="s">
        <v>2074</v>
      </c>
      <c r="R210" s="32" t="s">
        <v>137</v>
      </c>
      <c r="S210" s="32"/>
      <c r="T210" s="32"/>
      <c r="W210" s="3" t="s">
        <v>858</v>
      </c>
      <c r="Y210" s="3" t="s">
        <v>78</v>
      </c>
      <c r="Z210" s="3" t="s">
        <v>2077</v>
      </c>
      <c r="AA210" s="3" t="s">
        <v>2078</v>
      </c>
      <c r="AB210" s="3" t="s">
        <v>2079</v>
      </c>
      <c r="AC210" s="3" t="s">
        <v>2080</v>
      </c>
      <c r="AE210" s="3" t="s">
        <v>83</v>
      </c>
      <c r="AF210" s="3" t="s">
        <v>2525</v>
      </c>
      <c r="AG210" s="3" t="s">
        <v>2525</v>
      </c>
      <c r="AH210" s="3" t="s">
        <v>2525</v>
      </c>
      <c r="AI210" s="3" t="s">
        <v>2525</v>
      </c>
      <c r="AJ210" s="3" t="s">
        <v>2525</v>
      </c>
      <c r="AK210" s="3" t="s">
        <v>2525</v>
      </c>
      <c r="AL210" s="3" t="s">
        <v>2525</v>
      </c>
      <c r="AM210" s="3" t="s">
        <v>2525</v>
      </c>
      <c r="AN210" s="3" t="s">
        <v>2525</v>
      </c>
      <c r="AO210" s="3" t="s">
        <v>84</v>
      </c>
      <c r="AP210" s="3" t="s">
        <v>2525</v>
      </c>
      <c r="AR210" s="3" t="s">
        <v>2525</v>
      </c>
      <c r="AS210" s="3" t="s">
        <v>2525</v>
      </c>
      <c r="AT210" s="3" t="s">
        <v>2525</v>
      </c>
      <c r="AU210" s="3" t="s">
        <v>84</v>
      </c>
      <c r="AV210" s="3" t="s">
        <v>85</v>
      </c>
      <c r="AW210" s="3" t="s">
        <v>2525</v>
      </c>
      <c r="AX210" s="3" t="s">
        <v>2525</v>
      </c>
      <c r="AY210" s="3" t="s">
        <v>2525</v>
      </c>
      <c r="AZ210" s="3" t="s">
        <v>2525</v>
      </c>
      <c r="BA210" s="3" t="s">
        <v>2525</v>
      </c>
      <c r="BB210" s="3" t="s">
        <v>2525</v>
      </c>
      <c r="BC210" s="3" t="s">
        <v>2525</v>
      </c>
      <c r="BD210" s="3" t="s">
        <v>2525</v>
      </c>
      <c r="BE210" s="3" t="s">
        <v>2525</v>
      </c>
      <c r="BF210" s="3" t="s">
        <v>2525</v>
      </c>
      <c r="BG210" s="3" t="s">
        <v>2525</v>
      </c>
      <c r="BH210" s="3" t="s">
        <v>2525</v>
      </c>
      <c r="BI210" s="3" t="s">
        <v>2525</v>
      </c>
      <c r="BJ210" s="3" t="s">
        <v>2525</v>
      </c>
      <c r="BL210" s="3" t="s">
        <v>2525</v>
      </c>
      <c r="BN210" s="3" t="s">
        <v>2081</v>
      </c>
      <c r="BO210" s="3" t="s">
        <v>137</v>
      </c>
    </row>
    <row r="211">
      <c r="A211" s="3" t="s">
        <v>2083</v>
      </c>
      <c r="B211" s="3" t="s">
        <v>2084</v>
      </c>
      <c r="C211" s="3" t="s">
        <v>92</v>
      </c>
      <c r="D211" s="3" t="s">
        <v>2085</v>
      </c>
      <c r="I211" s="3">
        <v>33.0</v>
      </c>
      <c r="J211" s="3" t="s">
        <v>94</v>
      </c>
      <c r="K211" s="3" t="s">
        <v>72</v>
      </c>
      <c r="L211" s="3" t="s">
        <v>108</v>
      </c>
      <c r="M211" s="3" t="s">
        <v>109</v>
      </c>
      <c r="N211" s="3">
        <v>1.0392609699769053</v>
      </c>
      <c r="P211" s="3" t="s">
        <v>75</v>
      </c>
      <c r="Q211" s="32" t="s">
        <v>2083</v>
      </c>
      <c r="R211" s="32" t="s">
        <v>2086</v>
      </c>
      <c r="S211" s="32"/>
      <c r="T211" s="32"/>
      <c r="W211" s="3" t="s">
        <v>193</v>
      </c>
      <c r="X211" s="3" t="s">
        <v>77</v>
      </c>
      <c r="Y211" s="3" t="s">
        <v>78</v>
      </c>
      <c r="Z211" s="3" t="s">
        <v>1057</v>
      </c>
      <c r="AA211" s="3" t="s">
        <v>2087</v>
      </c>
      <c r="AB211" s="3" t="s">
        <v>1059</v>
      </c>
      <c r="AC211" s="3" t="s">
        <v>2088</v>
      </c>
      <c r="AD211" s="3" t="s">
        <v>2089</v>
      </c>
      <c r="AE211" s="3" t="s">
        <v>83</v>
      </c>
      <c r="AF211" s="3" t="s">
        <v>84</v>
      </c>
      <c r="AG211" s="3" t="s">
        <v>2525</v>
      </c>
      <c r="AH211" s="3" t="s">
        <v>129</v>
      </c>
      <c r="AI211" s="3" t="s">
        <v>129</v>
      </c>
      <c r="AJ211" s="3" t="s">
        <v>84</v>
      </c>
      <c r="AK211" s="3" t="s">
        <v>2525</v>
      </c>
      <c r="AL211" s="3" t="s">
        <v>2525</v>
      </c>
      <c r="AM211" s="3" t="s">
        <v>2525</v>
      </c>
      <c r="AN211" s="3" t="s">
        <v>2525</v>
      </c>
      <c r="AO211" s="3" t="s">
        <v>2525</v>
      </c>
      <c r="AP211" s="3" t="s">
        <v>2525</v>
      </c>
      <c r="AR211" s="3" t="s">
        <v>2525</v>
      </c>
      <c r="AS211" s="3" t="s">
        <v>2525</v>
      </c>
      <c r="AT211" s="3" t="s">
        <v>85</v>
      </c>
      <c r="AU211" s="3" t="s">
        <v>2525</v>
      </c>
      <c r="AV211" s="3" t="s">
        <v>2525</v>
      </c>
      <c r="AW211" s="3" t="s">
        <v>2525</v>
      </c>
      <c r="AX211" s="3" t="s">
        <v>2525</v>
      </c>
      <c r="AY211" s="3" t="s">
        <v>2525</v>
      </c>
      <c r="AZ211" s="3" t="s">
        <v>85</v>
      </c>
      <c r="BA211" s="3" t="s">
        <v>2525</v>
      </c>
      <c r="BB211" s="3" t="s">
        <v>2525</v>
      </c>
      <c r="BC211" s="3" t="s">
        <v>1027</v>
      </c>
      <c r="BD211" s="3" t="s">
        <v>2525</v>
      </c>
      <c r="BE211" s="3" t="s">
        <v>129</v>
      </c>
      <c r="BF211" s="3" t="s">
        <v>2525</v>
      </c>
      <c r="BG211" s="3" t="s">
        <v>2525</v>
      </c>
      <c r="BH211" s="3" t="s">
        <v>2525</v>
      </c>
      <c r="BI211" s="3" t="s">
        <v>2525</v>
      </c>
      <c r="BJ211" s="3" t="s">
        <v>2525</v>
      </c>
      <c r="BK211" s="3" t="s">
        <v>86</v>
      </c>
      <c r="BL211" s="3" t="s">
        <v>2525</v>
      </c>
      <c r="BN211" s="3" t="s">
        <v>117</v>
      </c>
      <c r="BO211" s="3" t="s">
        <v>2090</v>
      </c>
    </row>
    <row r="212">
      <c r="A212" s="3" t="s">
        <v>2092</v>
      </c>
      <c r="B212" s="3" t="s">
        <v>2093</v>
      </c>
      <c r="C212" s="3" t="s">
        <v>92</v>
      </c>
      <c r="D212" s="3" t="s">
        <v>2094</v>
      </c>
      <c r="I212" s="3">
        <v>32.0</v>
      </c>
      <c r="J212" s="3" t="s">
        <v>71</v>
      </c>
      <c r="K212" s="3" t="s">
        <v>72</v>
      </c>
      <c r="L212" s="3" t="s">
        <v>73</v>
      </c>
      <c r="M212" s="3" t="s">
        <v>39</v>
      </c>
      <c r="N212" s="3">
        <v>43.50282485875706</v>
      </c>
      <c r="P212" s="3" t="s">
        <v>75</v>
      </c>
      <c r="Q212" s="32" t="s">
        <v>2092</v>
      </c>
      <c r="R212" s="32" t="s">
        <v>137</v>
      </c>
      <c r="S212" s="32"/>
      <c r="T212" s="32"/>
      <c r="W212" s="3" t="s">
        <v>2095</v>
      </c>
      <c r="Y212" s="3" t="s">
        <v>78</v>
      </c>
      <c r="Z212" s="3" t="s">
        <v>2096</v>
      </c>
      <c r="AA212" s="3" t="s">
        <v>2097</v>
      </c>
      <c r="AB212" s="3" t="s">
        <v>2098</v>
      </c>
      <c r="AC212" s="3" t="s">
        <v>2099</v>
      </c>
      <c r="AE212" s="3" t="s">
        <v>83</v>
      </c>
      <c r="AF212" s="3" t="s">
        <v>85</v>
      </c>
      <c r="AG212" s="3" t="s">
        <v>85</v>
      </c>
      <c r="AH212" s="3" t="s">
        <v>2525</v>
      </c>
      <c r="AI212" s="3" t="s">
        <v>2525</v>
      </c>
      <c r="AJ212" s="3" t="s">
        <v>2525</v>
      </c>
      <c r="AK212" s="3" t="s">
        <v>2525</v>
      </c>
      <c r="AL212" s="3" t="s">
        <v>2525</v>
      </c>
      <c r="AM212" s="3" t="s">
        <v>2525</v>
      </c>
      <c r="AN212" s="3" t="s">
        <v>2525</v>
      </c>
      <c r="AO212" s="3" t="s">
        <v>2525</v>
      </c>
      <c r="AP212" s="3" t="s">
        <v>85</v>
      </c>
      <c r="AR212" s="3" t="s">
        <v>2525</v>
      </c>
      <c r="AS212" s="3" t="s">
        <v>2525</v>
      </c>
      <c r="AT212" s="3" t="s">
        <v>2525</v>
      </c>
      <c r="AU212" s="3" t="s">
        <v>2525</v>
      </c>
      <c r="AV212" s="3" t="s">
        <v>2525</v>
      </c>
      <c r="AW212" s="3" t="s">
        <v>2525</v>
      </c>
      <c r="AX212" s="3" t="s">
        <v>2525</v>
      </c>
      <c r="AY212" s="3" t="s">
        <v>2525</v>
      </c>
      <c r="AZ212" s="3" t="s">
        <v>2525</v>
      </c>
      <c r="BA212" s="3" t="s">
        <v>84</v>
      </c>
      <c r="BB212" s="3" t="s">
        <v>2525</v>
      </c>
      <c r="BC212" s="3" t="s">
        <v>2525</v>
      </c>
      <c r="BD212" s="3" t="s">
        <v>2525</v>
      </c>
      <c r="BE212" s="3" t="s">
        <v>2525</v>
      </c>
      <c r="BF212" s="3" t="s">
        <v>2525</v>
      </c>
      <c r="BG212" s="3" t="s">
        <v>2525</v>
      </c>
      <c r="BH212" s="3" t="s">
        <v>2525</v>
      </c>
      <c r="BI212" s="3" t="s">
        <v>2525</v>
      </c>
      <c r="BJ212" s="3" t="s">
        <v>84</v>
      </c>
      <c r="BL212" s="3" t="s">
        <v>2525</v>
      </c>
      <c r="BN212" s="3" t="s">
        <v>2100</v>
      </c>
      <c r="BO212" s="3" t="s">
        <v>137</v>
      </c>
    </row>
    <row r="213">
      <c r="A213" s="3" t="s">
        <v>2102</v>
      </c>
      <c r="B213" s="3" t="s">
        <v>2103</v>
      </c>
      <c r="C213" s="3" t="s">
        <v>92</v>
      </c>
      <c r="D213" s="3" t="s">
        <v>2104</v>
      </c>
      <c r="I213" s="3">
        <v>31.0</v>
      </c>
      <c r="J213" s="3" t="s">
        <v>148</v>
      </c>
      <c r="K213" s="3" t="s">
        <v>72</v>
      </c>
      <c r="L213" s="3" t="s">
        <v>73</v>
      </c>
      <c r="M213" s="3" t="s">
        <v>285</v>
      </c>
      <c r="N213" s="3">
        <v>15.839243498817968</v>
      </c>
      <c r="P213" s="3" t="s">
        <v>149</v>
      </c>
      <c r="Q213" s="32" t="s">
        <v>2102</v>
      </c>
      <c r="R213" s="32" t="s">
        <v>137</v>
      </c>
      <c r="S213" s="32"/>
      <c r="T213" s="32"/>
      <c r="W213" s="3" t="s">
        <v>858</v>
      </c>
      <c r="X213" s="3" t="s">
        <v>77</v>
      </c>
      <c r="Y213" s="3" t="s">
        <v>78</v>
      </c>
      <c r="Z213" s="3" t="s">
        <v>2105</v>
      </c>
      <c r="AA213" s="3" t="s">
        <v>2106</v>
      </c>
      <c r="AB213" s="3" t="s">
        <v>2107</v>
      </c>
      <c r="AC213" s="3" t="s">
        <v>2108</v>
      </c>
      <c r="AD213" s="3" t="s">
        <v>2109</v>
      </c>
      <c r="AE213" s="3" t="s">
        <v>83</v>
      </c>
      <c r="AF213" s="3" t="s">
        <v>2525</v>
      </c>
      <c r="AG213" s="3" t="s">
        <v>2525</v>
      </c>
      <c r="AH213" s="3" t="s">
        <v>2525</v>
      </c>
      <c r="AI213" s="3" t="s">
        <v>2525</v>
      </c>
      <c r="AJ213" s="3" t="s">
        <v>2525</v>
      </c>
      <c r="AK213" s="3" t="s">
        <v>2525</v>
      </c>
      <c r="AL213" s="3" t="s">
        <v>2525</v>
      </c>
      <c r="AM213" s="3" t="s">
        <v>2525</v>
      </c>
      <c r="AN213" s="3" t="s">
        <v>2525</v>
      </c>
      <c r="AO213" s="3" t="s">
        <v>2525</v>
      </c>
      <c r="AP213" s="3" t="s">
        <v>84</v>
      </c>
      <c r="AR213" s="3" t="s">
        <v>2525</v>
      </c>
      <c r="AS213" s="3" t="s">
        <v>2525</v>
      </c>
      <c r="AT213" s="3" t="s">
        <v>2525</v>
      </c>
      <c r="AU213" s="3" t="s">
        <v>84</v>
      </c>
      <c r="AV213" s="3" t="s">
        <v>2525</v>
      </c>
      <c r="AW213" s="3" t="s">
        <v>129</v>
      </c>
      <c r="AX213" s="3" t="s">
        <v>2525</v>
      </c>
      <c r="AY213" s="3" t="s">
        <v>2525</v>
      </c>
      <c r="AZ213" s="3" t="s">
        <v>2525</v>
      </c>
      <c r="BA213" s="3" t="s">
        <v>84</v>
      </c>
      <c r="BB213" s="3" t="s">
        <v>2525</v>
      </c>
      <c r="BC213" s="3" t="s">
        <v>2525</v>
      </c>
      <c r="BD213" s="3" t="s">
        <v>2525</v>
      </c>
      <c r="BE213" s="3" t="s">
        <v>2525</v>
      </c>
      <c r="BF213" s="3" t="s">
        <v>2525</v>
      </c>
      <c r="BG213" s="3" t="s">
        <v>2525</v>
      </c>
      <c r="BH213" s="3" t="s">
        <v>2525</v>
      </c>
      <c r="BI213" s="3" t="s">
        <v>2525</v>
      </c>
      <c r="BJ213" s="3" t="s">
        <v>129</v>
      </c>
      <c r="BK213" s="3" t="s">
        <v>86</v>
      </c>
      <c r="BL213" s="3" t="s">
        <v>2525</v>
      </c>
      <c r="BN213" s="3" t="s">
        <v>1591</v>
      </c>
      <c r="BO213" s="3" t="s">
        <v>137</v>
      </c>
    </row>
    <row r="214">
      <c r="A214" s="3" t="s">
        <v>2111</v>
      </c>
      <c r="B214" s="3" t="s">
        <v>2112</v>
      </c>
      <c r="C214" s="3" t="s">
        <v>92</v>
      </c>
      <c r="D214" s="3" t="s">
        <v>2113</v>
      </c>
      <c r="I214" s="3">
        <v>30.0</v>
      </c>
      <c r="J214" s="3" t="s">
        <v>2114</v>
      </c>
      <c r="K214" s="3" t="s">
        <v>72</v>
      </c>
      <c r="L214" s="3" t="s">
        <v>108</v>
      </c>
      <c r="M214" s="3" t="s">
        <v>109</v>
      </c>
      <c r="N214" s="3">
        <v>4.891304347826087</v>
      </c>
      <c r="P214" s="3" t="s">
        <v>136</v>
      </c>
      <c r="Q214" s="32" t="s">
        <v>2111</v>
      </c>
      <c r="R214" s="32" t="s">
        <v>670</v>
      </c>
      <c r="S214" s="32"/>
      <c r="T214" s="32"/>
      <c r="W214" s="3" t="s">
        <v>274</v>
      </c>
      <c r="Y214" s="3" t="s">
        <v>138</v>
      </c>
      <c r="Z214" s="3" t="s">
        <v>2069</v>
      </c>
      <c r="AA214" s="3" t="s">
        <v>2115</v>
      </c>
      <c r="AB214" s="3" t="s">
        <v>2116</v>
      </c>
      <c r="AC214" s="3" t="s">
        <v>2117</v>
      </c>
      <c r="AE214" s="3" t="s">
        <v>83</v>
      </c>
      <c r="AF214" s="3" t="s">
        <v>2525</v>
      </c>
      <c r="AG214" s="3" t="s">
        <v>2525</v>
      </c>
      <c r="AH214" s="3" t="s">
        <v>84</v>
      </c>
      <c r="AI214" s="3" t="s">
        <v>85</v>
      </c>
      <c r="AJ214" s="3" t="s">
        <v>85</v>
      </c>
      <c r="AK214" s="3" t="s">
        <v>2525</v>
      </c>
      <c r="AL214" s="3" t="s">
        <v>2525</v>
      </c>
      <c r="AM214" s="3" t="s">
        <v>2525</v>
      </c>
      <c r="AN214" s="3" t="s">
        <v>2525</v>
      </c>
      <c r="AO214" s="3" t="s">
        <v>2525</v>
      </c>
      <c r="AP214" s="3" t="s">
        <v>2525</v>
      </c>
      <c r="AR214" s="3" t="s">
        <v>2525</v>
      </c>
      <c r="AS214" s="3" t="s">
        <v>2525</v>
      </c>
      <c r="AT214" s="3" t="s">
        <v>85</v>
      </c>
      <c r="AU214" s="3" t="s">
        <v>2525</v>
      </c>
      <c r="AV214" s="3" t="s">
        <v>2525</v>
      </c>
      <c r="AW214" s="3" t="s">
        <v>2525</v>
      </c>
      <c r="AX214" s="3" t="s">
        <v>2525</v>
      </c>
      <c r="AY214" s="3" t="s">
        <v>2525</v>
      </c>
      <c r="AZ214" s="3" t="s">
        <v>85</v>
      </c>
      <c r="BA214" s="3" t="s">
        <v>85</v>
      </c>
      <c r="BB214" s="3" t="s">
        <v>2525</v>
      </c>
      <c r="BC214" s="3" t="s">
        <v>2525</v>
      </c>
      <c r="BD214" s="3" t="s">
        <v>85</v>
      </c>
      <c r="BE214" s="3" t="s">
        <v>85</v>
      </c>
      <c r="BF214" s="3" t="s">
        <v>85</v>
      </c>
      <c r="BG214" s="3" t="s">
        <v>2525</v>
      </c>
      <c r="BH214" s="3" t="s">
        <v>85</v>
      </c>
      <c r="BI214" s="3" t="s">
        <v>85</v>
      </c>
      <c r="BJ214" s="3" t="s">
        <v>85</v>
      </c>
      <c r="BL214" s="3" t="s">
        <v>2525</v>
      </c>
      <c r="BM214" s="3" t="s">
        <v>86</v>
      </c>
      <c r="BN214" s="3" t="s">
        <v>675</v>
      </c>
      <c r="BO214" s="3" t="s">
        <v>670</v>
      </c>
      <c r="BP214" s="3" t="s">
        <v>144</v>
      </c>
    </row>
    <row r="215">
      <c r="A215" s="3" t="s">
        <v>2119</v>
      </c>
      <c r="B215" s="3" t="s">
        <v>2120</v>
      </c>
      <c r="C215" s="3" t="s">
        <v>92</v>
      </c>
      <c r="D215" s="3" t="s">
        <v>2121</v>
      </c>
      <c r="I215" s="3">
        <v>37.0</v>
      </c>
      <c r="J215" s="3" t="s">
        <v>2122</v>
      </c>
      <c r="K215" s="3" t="s">
        <v>72</v>
      </c>
      <c r="L215" s="3" t="s">
        <v>73</v>
      </c>
      <c r="M215" s="3" t="s">
        <v>723</v>
      </c>
      <c r="N215" s="3">
        <v>12.121212121212121</v>
      </c>
      <c r="P215" s="3" t="s">
        <v>149</v>
      </c>
      <c r="Q215" s="32" t="s">
        <v>2119</v>
      </c>
      <c r="R215" s="32" t="s">
        <v>76</v>
      </c>
      <c r="S215" s="32"/>
      <c r="T215" s="32"/>
      <c r="W215" s="3" t="s">
        <v>858</v>
      </c>
      <c r="X215" s="3" t="s">
        <v>77</v>
      </c>
      <c r="Y215" s="3" t="s">
        <v>78</v>
      </c>
      <c r="Z215" s="3" t="s">
        <v>2123</v>
      </c>
      <c r="AA215" s="3" t="s">
        <v>2124</v>
      </c>
      <c r="AB215" s="3" t="s">
        <v>2125</v>
      </c>
      <c r="AC215" s="3" t="s">
        <v>2126</v>
      </c>
      <c r="AD215" s="3" t="s">
        <v>2127</v>
      </c>
      <c r="AE215" s="3" t="s">
        <v>83</v>
      </c>
      <c r="AF215" s="3" t="s">
        <v>84</v>
      </c>
      <c r="AG215" s="3" t="s">
        <v>2525</v>
      </c>
      <c r="AH215" s="3" t="s">
        <v>2525</v>
      </c>
      <c r="AI215" s="3" t="s">
        <v>2525</v>
      </c>
      <c r="AJ215" s="3" t="s">
        <v>84</v>
      </c>
      <c r="AK215" s="3" t="s">
        <v>2525</v>
      </c>
      <c r="AL215" s="3" t="s">
        <v>2525</v>
      </c>
      <c r="AM215" s="3" t="s">
        <v>129</v>
      </c>
      <c r="AN215" s="3" t="s">
        <v>129</v>
      </c>
      <c r="AO215" s="3" t="s">
        <v>2525</v>
      </c>
      <c r="AP215" s="3" t="s">
        <v>84</v>
      </c>
      <c r="AR215" s="3" t="s">
        <v>2525</v>
      </c>
      <c r="AS215" s="3" t="s">
        <v>85</v>
      </c>
      <c r="AT215" s="3" t="s">
        <v>2525</v>
      </c>
      <c r="AU215" s="3" t="s">
        <v>2525</v>
      </c>
      <c r="AV215" s="3" t="s">
        <v>2525</v>
      </c>
      <c r="AW215" s="3" t="s">
        <v>2525</v>
      </c>
      <c r="AX215" s="3" t="s">
        <v>2525</v>
      </c>
      <c r="AY215" s="3" t="s">
        <v>2525</v>
      </c>
      <c r="AZ215" s="3" t="s">
        <v>84</v>
      </c>
      <c r="BA215" s="3" t="s">
        <v>129</v>
      </c>
      <c r="BB215" s="3" t="s">
        <v>2525</v>
      </c>
      <c r="BC215" s="3" t="s">
        <v>2525</v>
      </c>
      <c r="BD215" s="3" t="s">
        <v>2525</v>
      </c>
      <c r="BE215" s="3" t="s">
        <v>2525</v>
      </c>
      <c r="BF215" s="3" t="s">
        <v>2525</v>
      </c>
      <c r="BG215" s="3" t="s">
        <v>2525</v>
      </c>
      <c r="BH215" s="3" t="s">
        <v>2525</v>
      </c>
      <c r="BI215" s="3" t="s">
        <v>2525</v>
      </c>
      <c r="BJ215" s="3" t="s">
        <v>84</v>
      </c>
      <c r="BK215" s="3" t="s">
        <v>86</v>
      </c>
      <c r="BL215" s="3" t="s">
        <v>2525</v>
      </c>
      <c r="BN215" s="3" t="s">
        <v>2128</v>
      </c>
      <c r="BO215" s="3" t="s">
        <v>137</v>
      </c>
    </row>
    <row r="216">
      <c r="A216" s="3" t="s">
        <v>2130</v>
      </c>
      <c r="B216" s="3" t="s">
        <v>2131</v>
      </c>
      <c r="C216" s="3" t="s">
        <v>92</v>
      </c>
      <c r="D216" s="3" t="s">
        <v>2132</v>
      </c>
      <c r="I216" s="3">
        <v>36.0</v>
      </c>
      <c r="J216" s="3" t="s">
        <v>71</v>
      </c>
      <c r="K216" s="3" t="s">
        <v>72</v>
      </c>
      <c r="L216" s="3" t="s">
        <v>73</v>
      </c>
      <c r="M216" s="3" t="s">
        <v>1281</v>
      </c>
      <c r="N216" s="3">
        <v>-15.517241379310345</v>
      </c>
      <c r="P216" s="3" t="s">
        <v>149</v>
      </c>
      <c r="Q216" s="32" t="s">
        <v>2130</v>
      </c>
      <c r="R216" s="32" t="s">
        <v>137</v>
      </c>
      <c r="S216" s="32"/>
      <c r="T216" s="32"/>
      <c r="W216" s="3" t="s">
        <v>858</v>
      </c>
      <c r="X216" s="3" t="s">
        <v>77</v>
      </c>
      <c r="Y216" s="3" t="s">
        <v>78</v>
      </c>
      <c r="Z216" s="3" t="s">
        <v>2133</v>
      </c>
      <c r="AA216" s="3" t="s">
        <v>2134</v>
      </c>
      <c r="AB216" s="3" t="s">
        <v>2135</v>
      </c>
      <c r="AC216" s="3" t="s">
        <v>2136</v>
      </c>
      <c r="AE216" s="3" t="s">
        <v>83</v>
      </c>
      <c r="AF216" s="3" t="s">
        <v>2525</v>
      </c>
      <c r="AG216" s="3" t="s">
        <v>2525</v>
      </c>
      <c r="AH216" s="3" t="s">
        <v>2525</v>
      </c>
      <c r="AI216" s="3" t="s">
        <v>2525</v>
      </c>
      <c r="AJ216" s="3" t="s">
        <v>2525</v>
      </c>
      <c r="AK216" s="3" t="s">
        <v>2525</v>
      </c>
      <c r="AL216" s="3" t="s">
        <v>2525</v>
      </c>
      <c r="AM216" s="3" t="s">
        <v>2525</v>
      </c>
      <c r="AN216" s="3" t="s">
        <v>2525</v>
      </c>
      <c r="AO216" s="3" t="s">
        <v>2525</v>
      </c>
      <c r="AP216" s="3" t="s">
        <v>2525</v>
      </c>
      <c r="AR216" s="3" t="s">
        <v>2525</v>
      </c>
      <c r="AS216" s="3" t="s">
        <v>2525</v>
      </c>
      <c r="AT216" s="3" t="s">
        <v>2525</v>
      </c>
      <c r="AU216" s="3" t="s">
        <v>84</v>
      </c>
      <c r="AV216" s="3" t="s">
        <v>2525</v>
      </c>
      <c r="AW216" s="3" t="s">
        <v>84</v>
      </c>
      <c r="AX216" s="3" t="s">
        <v>2525</v>
      </c>
      <c r="AY216" s="3" t="s">
        <v>2525</v>
      </c>
      <c r="AZ216" s="3" t="s">
        <v>2525</v>
      </c>
      <c r="BA216" s="3" t="s">
        <v>84</v>
      </c>
      <c r="BB216" s="3" t="s">
        <v>2525</v>
      </c>
      <c r="BC216" s="3" t="s">
        <v>2525</v>
      </c>
      <c r="BD216" s="3" t="s">
        <v>2525</v>
      </c>
      <c r="BE216" s="3" t="s">
        <v>2525</v>
      </c>
      <c r="BF216" s="3" t="s">
        <v>2525</v>
      </c>
      <c r="BG216" s="3" t="s">
        <v>2525</v>
      </c>
      <c r="BH216" s="3" t="s">
        <v>2525</v>
      </c>
      <c r="BI216" s="3" t="s">
        <v>2525</v>
      </c>
      <c r="BJ216" s="3" t="s">
        <v>85</v>
      </c>
      <c r="BL216" s="3" t="s">
        <v>2525</v>
      </c>
      <c r="BN216" s="3" t="s">
        <v>2137</v>
      </c>
      <c r="BO216" s="3" t="s">
        <v>137</v>
      </c>
    </row>
    <row r="217">
      <c r="A217" s="3" t="s">
        <v>2139</v>
      </c>
      <c r="B217" s="3" t="s">
        <v>2140</v>
      </c>
      <c r="C217" s="3" t="s">
        <v>92</v>
      </c>
      <c r="D217" s="3" t="s">
        <v>2141</v>
      </c>
      <c r="I217" s="3">
        <v>32.0</v>
      </c>
      <c r="J217" s="3" t="s">
        <v>159</v>
      </c>
      <c r="K217" s="3" t="s">
        <v>72</v>
      </c>
      <c r="L217" s="3" t="s">
        <v>73</v>
      </c>
      <c r="M217" s="3" t="s">
        <v>39</v>
      </c>
      <c r="N217" s="3">
        <v>-3.6458333333333335</v>
      </c>
      <c r="P217" s="3" t="s">
        <v>110</v>
      </c>
      <c r="Q217" s="32" t="s">
        <v>2139</v>
      </c>
      <c r="R217" s="32" t="s">
        <v>2142</v>
      </c>
      <c r="S217" s="32"/>
      <c r="T217" s="32"/>
      <c r="W217" s="3" t="s">
        <v>2095</v>
      </c>
      <c r="X217" s="3" t="s">
        <v>77</v>
      </c>
      <c r="Y217" s="3" t="s">
        <v>78</v>
      </c>
      <c r="Z217" s="3" t="s">
        <v>2123</v>
      </c>
      <c r="AA217" s="3" t="s">
        <v>2143</v>
      </c>
      <c r="AB217" s="3" t="s">
        <v>2144</v>
      </c>
      <c r="AC217" s="3" t="s">
        <v>2145</v>
      </c>
      <c r="AD217" s="3" t="s">
        <v>2146</v>
      </c>
      <c r="AE217" s="3" t="s">
        <v>83</v>
      </c>
      <c r="AF217" s="3" t="s">
        <v>2525</v>
      </c>
      <c r="AG217" s="3" t="s">
        <v>129</v>
      </c>
      <c r="AH217" s="3" t="s">
        <v>2525</v>
      </c>
      <c r="AI217" s="3" t="s">
        <v>2525</v>
      </c>
      <c r="AJ217" s="3" t="s">
        <v>2525</v>
      </c>
      <c r="AK217" s="3" t="s">
        <v>2525</v>
      </c>
      <c r="AL217" s="3" t="s">
        <v>2525</v>
      </c>
      <c r="AM217" s="3" t="s">
        <v>2525</v>
      </c>
      <c r="AN217" s="3" t="s">
        <v>2525</v>
      </c>
      <c r="AO217" s="3" t="s">
        <v>2525</v>
      </c>
      <c r="AP217" s="3" t="s">
        <v>85</v>
      </c>
      <c r="AR217" s="3" t="s">
        <v>2525</v>
      </c>
      <c r="AS217" s="3" t="s">
        <v>2525</v>
      </c>
      <c r="AT217" s="3" t="s">
        <v>2525</v>
      </c>
      <c r="AU217" s="3" t="s">
        <v>2525</v>
      </c>
      <c r="AV217" s="3" t="s">
        <v>2525</v>
      </c>
      <c r="AW217" s="3" t="s">
        <v>2525</v>
      </c>
      <c r="AX217" s="3" t="s">
        <v>2525</v>
      </c>
      <c r="AY217" s="3" t="s">
        <v>2525</v>
      </c>
      <c r="AZ217" s="3" t="s">
        <v>2525</v>
      </c>
      <c r="BA217" s="3" t="s">
        <v>84</v>
      </c>
      <c r="BB217" s="3" t="s">
        <v>2525</v>
      </c>
      <c r="BC217" s="3" t="s">
        <v>2525</v>
      </c>
      <c r="BD217" s="3" t="s">
        <v>129</v>
      </c>
      <c r="BE217" s="3" t="s">
        <v>2525</v>
      </c>
      <c r="BF217" s="3" t="s">
        <v>2525</v>
      </c>
      <c r="BG217" s="3" t="s">
        <v>2525</v>
      </c>
      <c r="BH217" s="3" t="s">
        <v>2525</v>
      </c>
      <c r="BI217" s="3" t="s">
        <v>2525</v>
      </c>
      <c r="BJ217" s="3" t="s">
        <v>129</v>
      </c>
      <c r="BK217" s="3" t="s">
        <v>86</v>
      </c>
      <c r="BL217" s="3" t="s">
        <v>2525</v>
      </c>
      <c r="BN217" s="3" t="s">
        <v>2147</v>
      </c>
      <c r="BO217" s="3" t="s">
        <v>2148</v>
      </c>
    </row>
    <row r="218">
      <c r="A218" s="3" t="s">
        <v>2150</v>
      </c>
      <c r="B218" s="3" t="s">
        <v>2151</v>
      </c>
      <c r="C218" s="3" t="s">
        <v>92</v>
      </c>
      <c r="D218" s="3" t="s">
        <v>2152</v>
      </c>
      <c r="I218" s="3">
        <v>33.0</v>
      </c>
      <c r="J218" s="3" t="s">
        <v>94</v>
      </c>
      <c r="K218" s="3" t="s">
        <v>72</v>
      </c>
      <c r="L218" s="3" t="s">
        <v>73</v>
      </c>
      <c r="M218" s="3" t="s">
        <v>40</v>
      </c>
      <c r="N218" s="3">
        <v>-31.60919540229885</v>
      </c>
      <c r="P218" s="3" t="s">
        <v>75</v>
      </c>
      <c r="Q218" s="32" t="s">
        <v>2150</v>
      </c>
      <c r="R218" s="32" t="s">
        <v>2153</v>
      </c>
      <c r="S218" s="32"/>
      <c r="T218" s="32"/>
      <c r="W218" s="3" t="s">
        <v>858</v>
      </c>
      <c r="X218" s="3" t="s">
        <v>77</v>
      </c>
      <c r="Y218" s="3" t="s">
        <v>78</v>
      </c>
      <c r="Z218" s="3" t="s">
        <v>2154</v>
      </c>
      <c r="AA218" s="3" t="s">
        <v>2155</v>
      </c>
      <c r="AB218" s="3" t="s">
        <v>2156</v>
      </c>
      <c r="AC218" s="3" t="s">
        <v>2157</v>
      </c>
      <c r="AE218" s="3" t="s">
        <v>83</v>
      </c>
      <c r="AF218" s="3" t="s">
        <v>2525</v>
      </c>
      <c r="AG218" s="3" t="s">
        <v>2525</v>
      </c>
      <c r="AH218" s="3" t="s">
        <v>2525</v>
      </c>
      <c r="AI218" s="3" t="s">
        <v>2525</v>
      </c>
      <c r="AJ218" s="3" t="s">
        <v>2525</v>
      </c>
      <c r="AK218" s="3" t="s">
        <v>2525</v>
      </c>
      <c r="AL218" s="3" t="s">
        <v>2525</v>
      </c>
      <c r="AM218" s="3" t="s">
        <v>2525</v>
      </c>
      <c r="AN218" s="3" t="s">
        <v>2525</v>
      </c>
      <c r="AO218" s="3" t="s">
        <v>84</v>
      </c>
      <c r="AP218" s="3" t="s">
        <v>2525</v>
      </c>
      <c r="AR218" s="3" t="s">
        <v>2525</v>
      </c>
      <c r="AS218" s="3" t="s">
        <v>2525</v>
      </c>
      <c r="AT218" s="3" t="s">
        <v>2525</v>
      </c>
      <c r="AU218" s="3" t="s">
        <v>84</v>
      </c>
      <c r="AV218" s="3" t="s">
        <v>85</v>
      </c>
      <c r="AW218" s="3" t="s">
        <v>2525</v>
      </c>
      <c r="AX218" s="3" t="s">
        <v>2525</v>
      </c>
      <c r="AY218" s="3" t="s">
        <v>2525</v>
      </c>
      <c r="AZ218" s="3" t="s">
        <v>2525</v>
      </c>
      <c r="BA218" s="3" t="s">
        <v>2525</v>
      </c>
      <c r="BB218" s="3" t="s">
        <v>2525</v>
      </c>
      <c r="BC218" s="3" t="s">
        <v>2525</v>
      </c>
      <c r="BD218" s="3" t="s">
        <v>85</v>
      </c>
      <c r="BE218" s="3" t="s">
        <v>2525</v>
      </c>
      <c r="BF218" s="3" t="s">
        <v>2525</v>
      </c>
      <c r="BG218" s="3" t="s">
        <v>2525</v>
      </c>
      <c r="BH218" s="3" t="s">
        <v>2525</v>
      </c>
      <c r="BI218" s="3" t="s">
        <v>2525</v>
      </c>
      <c r="BJ218" s="3" t="s">
        <v>2525</v>
      </c>
      <c r="BL218" s="3" t="s">
        <v>2525</v>
      </c>
      <c r="BN218" s="3" t="s">
        <v>2158</v>
      </c>
      <c r="BO218" s="3" t="s">
        <v>2159</v>
      </c>
    </row>
    <row r="219">
      <c r="A219" s="3" t="s">
        <v>2161</v>
      </c>
      <c r="B219" s="3" t="s">
        <v>2162</v>
      </c>
      <c r="C219" s="3" t="s">
        <v>92</v>
      </c>
      <c r="D219" s="3" t="s">
        <v>2163</v>
      </c>
      <c r="I219" s="3">
        <v>39.0</v>
      </c>
      <c r="J219" s="3" t="s">
        <v>224</v>
      </c>
      <c r="K219" s="3" t="s">
        <v>72</v>
      </c>
      <c r="L219" s="3" t="s">
        <v>108</v>
      </c>
      <c r="M219" s="3" t="s">
        <v>109</v>
      </c>
      <c r="N219" s="3">
        <v>7.3643410852713185</v>
      </c>
      <c r="P219" s="3" t="s">
        <v>75</v>
      </c>
      <c r="Q219" s="32" t="s">
        <v>2161</v>
      </c>
      <c r="R219" s="32" t="s">
        <v>1429</v>
      </c>
      <c r="S219" s="32"/>
      <c r="T219" s="32"/>
      <c r="W219" s="3" t="s">
        <v>274</v>
      </c>
      <c r="Y219" s="3" t="s">
        <v>78</v>
      </c>
      <c r="Z219" s="3" t="s">
        <v>2164</v>
      </c>
      <c r="AA219" s="3" t="s">
        <v>2165</v>
      </c>
      <c r="AB219" s="3" t="s">
        <v>2166</v>
      </c>
      <c r="AC219" s="3" t="s">
        <v>2167</v>
      </c>
      <c r="AE219" s="3" t="s">
        <v>83</v>
      </c>
      <c r="AF219" s="3" t="s">
        <v>84</v>
      </c>
      <c r="AG219" s="3" t="s">
        <v>2525</v>
      </c>
      <c r="AH219" s="3" t="s">
        <v>84</v>
      </c>
      <c r="AI219" s="3" t="s">
        <v>84</v>
      </c>
      <c r="AJ219" s="3" t="s">
        <v>84</v>
      </c>
      <c r="AK219" s="3" t="s">
        <v>2525</v>
      </c>
      <c r="AL219" s="3" t="s">
        <v>2525</v>
      </c>
      <c r="AM219" s="3" t="s">
        <v>84</v>
      </c>
      <c r="AN219" s="3" t="s">
        <v>2525</v>
      </c>
      <c r="AO219" s="3" t="s">
        <v>2525</v>
      </c>
      <c r="AP219" s="3" t="s">
        <v>2525</v>
      </c>
      <c r="AR219" s="3" t="s">
        <v>2525</v>
      </c>
      <c r="AS219" s="3" t="s">
        <v>85</v>
      </c>
      <c r="AT219" s="3" t="s">
        <v>84</v>
      </c>
      <c r="AU219" s="3" t="s">
        <v>2525</v>
      </c>
      <c r="AV219" s="3" t="s">
        <v>2525</v>
      </c>
      <c r="AW219" s="3" t="s">
        <v>2525</v>
      </c>
      <c r="AX219" s="3" t="s">
        <v>2525</v>
      </c>
      <c r="AY219" s="3" t="s">
        <v>2525</v>
      </c>
      <c r="AZ219" s="3" t="s">
        <v>85</v>
      </c>
      <c r="BA219" s="3" t="s">
        <v>2525</v>
      </c>
      <c r="BB219" s="3" t="s">
        <v>2525</v>
      </c>
      <c r="BC219" s="3" t="s">
        <v>2525</v>
      </c>
      <c r="BD219" s="3" t="s">
        <v>2525</v>
      </c>
      <c r="BE219" s="3" t="s">
        <v>85</v>
      </c>
      <c r="BF219" s="3" t="s">
        <v>2525</v>
      </c>
      <c r="BG219" s="3" t="s">
        <v>2525</v>
      </c>
      <c r="BH219" s="3" t="s">
        <v>2525</v>
      </c>
      <c r="BI219" s="3" t="s">
        <v>2525</v>
      </c>
      <c r="BJ219" s="3" t="s">
        <v>2525</v>
      </c>
      <c r="BL219" s="3" t="s">
        <v>2525</v>
      </c>
      <c r="BN219" s="3" t="s">
        <v>209</v>
      </c>
      <c r="BO219" s="3" t="s">
        <v>210</v>
      </c>
      <c r="BP219" s="3" t="s">
        <v>144</v>
      </c>
    </row>
    <row r="220">
      <c r="A220" s="3" t="s">
        <v>2169</v>
      </c>
      <c r="B220" s="3" t="s">
        <v>2170</v>
      </c>
      <c r="C220" s="3" t="s">
        <v>92</v>
      </c>
      <c r="D220" s="3" t="s">
        <v>2171</v>
      </c>
      <c r="I220" s="3">
        <v>68.0</v>
      </c>
      <c r="J220" s="3" t="s">
        <v>71</v>
      </c>
      <c r="K220" s="3" t="s">
        <v>72</v>
      </c>
      <c r="L220" s="3" t="s">
        <v>73</v>
      </c>
      <c r="M220" s="3" t="s">
        <v>43</v>
      </c>
      <c r="N220" s="3">
        <v>-33.33333333333333</v>
      </c>
      <c r="P220" s="3" t="s">
        <v>149</v>
      </c>
      <c r="Q220" s="32" t="s">
        <v>2169</v>
      </c>
      <c r="R220" s="32" t="s">
        <v>137</v>
      </c>
      <c r="S220" s="32"/>
      <c r="T220" s="32"/>
      <c r="W220" s="3" t="s">
        <v>1578</v>
      </c>
      <c r="X220" s="3" t="s">
        <v>77</v>
      </c>
      <c r="Y220" s="3" t="s">
        <v>138</v>
      </c>
      <c r="Z220" s="3" t="s">
        <v>2172</v>
      </c>
      <c r="AA220" s="3" t="s">
        <v>2173</v>
      </c>
      <c r="AB220" s="3" t="s">
        <v>2174</v>
      </c>
      <c r="AC220" s="3" t="s">
        <v>2175</v>
      </c>
      <c r="AE220" s="3" t="s">
        <v>83</v>
      </c>
      <c r="AF220" s="3" t="s">
        <v>2525</v>
      </c>
      <c r="AG220" s="3" t="s">
        <v>2525</v>
      </c>
      <c r="AH220" s="3" t="s">
        <v>2525</v>
      </c>
      <c r="AI220" s="3" t="s">
        <v>2525</v>
      </c>
      <c r="AJ220" s="3" t="s">
        <v>2525</v>
      </c>
      <c r="AK220" s="3" t="s">
        <v>2525</v>
      </c>
      <c r="AL220" s="3" t="s">
        <v>2525</v>
      </c>
      <c r="AM220" s="3" t="s">
        <v>2525</v>
      </c>
      <c r="AN220" s="3" t="s">
        <v>2525</v>
      </c>
      <c r="AO220" s="3" t="s">
        <v>2525</v>
      </c>
      <c r="AP220" s="3" t="s">
        <v>2525</v>
      </c>
      <c r="AR220" s="3" t="s">
        <v>2525</v>
      </c>
      <c r="AS220" s="3" t="s">
        <v>85</v>
      </c>
      <c r="AT220" s="3" t="s">
        <v>2525</v>
      </c>
      <c r="AU220" s="3" t="s">
        <v>2525</v>
      </c>
      <c r="AV220" s="3" t="s">
        <v>2525</v>
      </c>
      <c r="AW220" s="3" t="s">
        <v>2525</v>
      </c>
      <c r="AX220" s="3" t="s">
        <v>2525</v>
      </c>
      <c r="AY220" s="3" t="s">
        <v>2525</v>
      </c>
      <c r="AZ220" s="3" t="s">
        <v>2525</v>
      </c>
      <c r="BA220" s="3" t="s">
        <v>85</v>
      </c>
      <c r="BB220" s="3" t="s">
        <v>2525</v>
      </c>
      <c r="BC220" s="3" t="s">
        <v>2525</v>
      </c>
      <c r="BD220" s="3" t="s">
        <v>2525</v>
      </c>
      <c r="BE220" s="3" t="s">
        <v>2525</v>
      </c>
      <c r="BF220" s="3" t="s">
        <v>2525</v>
      </c>
      <c r="BG220" s="3" t="s">
        <v>2525</v>
      </c>
      <c r="BH220" s="3" t="s">
        <v>2525</v>
      </c>
      <c r="BI220" s="3" t="s">
        <v>85</v>
      </c>
      <c r="BJ220" s="3" t="s">
        <v>2525</v>
      </c>
      <c r="BL220" s="3" t="s">
        <v>2525</v>
      </c>
      <c r="BN220" s="3" t="s">
        <v>137</v>
      </c>
      <c r="BO220" s="3" t="s">
        <v>137</v>
      </c>
    </row>
    <row r="221">
      <c r="A221" s="3" t="s">
        <v>2177</v>
      </c>
      <c r="B221" s="3" t="s">
        <v>2178</v>
      </c>
      <c r="C221" s="3" t="s">
        <v>92</v>
      </c>
      <c r="D221" s="3" t="s">
        <v>2179</v>
      </c>
      <c r="I221" s="3">
        <v>46.0</v>
      </c>
      <c r="J221" s="3" t="s">
        <v>123</v>
      </c>
      <c r="K221" s="3" t="s">
        <v>72</v>
      </c>
      <c r="L221" s="3" t="s">
        <v>73</v>
      </c>
      <c r="M221" s="3" t="s">
        <v>36</v>
      </c>
      <c r="N221" s="3">
        <v>-30.82191780821918</v>
      </c>
      <c r="P221" s="3" t="s">
        <v>260</v>
      </c>
      <c r="Q221" s="32" t="s">
        <v>2177</v>
      </c>
      <c r="R221" s="32" t="s">
        <v>137</v>
      </c>
      <c r="S221" s="32"/>
      <c r="T221" s="32"/>
      <c r="W221" s="3" t="s">
        <v>2180</v>
      </c>
      <c r="Y221" s="3" t="s">
        <v>78</v>
      </c>
      <c r="Z221" s="3" t="s">
        <v>2181</v>
      </c>
      <c r="AA221" s="3" t="s">
        <v>2182</v>
      </c>
      <c r="AB221" s="3" t="s">
        <v>2183</v>
      </c>
      <c r="AC221" s="3" t="s">
        <v>2184</v>
      </c>
      <c r="AE221" s="3" t="s">
        <v>83</v>
      </c>
      <c r="AF221" s="3" t="s">
        <v>2525</v>
      </c>
      <c r="AG221" s="3" t="s">
        <v>2525</v>
      </c>
      <c r="AH221" s="3" t="s">
        <v>2525</v>
      </c>
      <c r="AI221" s="3" t="s">
        <v>2525</v>
      </c>
      <c r="AJ221" s="3" t="s">
        <v>2525</v>
      </c>
      <c r="AK221" s="3" t="s">
        <v>84</v>
      </c>
      <c r="AL221" s="3" t="s">
        <v>2525</v>
      </c>
      <c r="AM221" s="3" t="s">
        <v>2525</v>
      </c>
      <c r="AN221" s="3" t="s">
        <v>2525</v>
      </c>
      <c r="AO221" s="3" t="s">
        <v>2525</v>
      </c>
      <c r="AP221" s="3" t="s">
        <v>2525</v>
      </c>
      <c r="AR221" s="3" t="s">
        <v>2525</v>
      </c>
      <c r="AS221" s="3" t="s">
        <v>2525</v>
      </c>
      <c r="AT221" s="3" t="s">
        <v>2525</v>
      </c>
      <c r="AU221" s="3" t="s">
        <v>2525</v>
      </c>
      <c r="AV221" s="3" t="s">
        <v>2525</v>
      </c>
      <c r="AW221" s="3" t="s">
        <v>2525</v>
      </c>
      <c r="AX221" s="3" t="s">
        <v>2525</v>
      </c>
      <c r="AY221" s="3" t="s">
        <v>2525</v>
      </c>
      <c r="AZ221" s="3" t="s">
        <v>2525</v>
      </c>
      <c r="BA221" s="3" t="s">
        <v>84</v>
      </c>
      <c r="BB221" s="3" t="s">
        <v>2525</v>
      </c>
      <c r="BC221" s="3" t="s">
        <v>2525</v>
      </c>
      <c r="BD221" s="3" t="s">
        <v>2525</v>
      </c>
      <c r="BE221" s="3" t="s">
        <v>2525</v>
      </c>
      <c r="BF221" s="3" t="s">
        <v>2525</v>
      </c>
      <c r="BG221" s="3" t="s">
        <v>2525</v>
      </c>
      <c r="BH221" s="3" t="s">
        <v>2525</v>
      </c>
      <c r="BI221" s="3" t="s">
        <v>84</v>
      </c>
      <c r="BJ221" s="3" t="s">
        <v>85</v>
      </c>
      <c r="BL221" s="3" t="s">
        <v>2525</v>
      </c>
      <c r="BN221" s="3" t="s">
        <v>143</v>
      </c>
      <c r="BO221" s="3" t="s">
        <v>137</v>
      </c>
    </row>
    <row r="222">
      <c r="A222" s="3" t="s">
        <v>2186</v>
      </c>
      <c r="B222" s="3" t="s">
        <v>2187</v>
      </c>
      <c r="C222" s="3" t="s">
        <v>92</v>
      </c>
      <c r="D222" s="3" t="s">
        <v>2188</v>
      </c>
      <c r="I222" s="3">
        <v>61.0</v>
      </c>
      <c r="J222" s="3" t="s">
        <v>272</v>
      </c>
      <c r="K222" s="3" t="s">
        <v>72</v>
      </c>
      <c r="L222" s="3" t="s">
        <v>73</v>
      </c>
      <c r="M222" s="3" t="s">
        <v>39</v>
      </c>
      <c r="N222" s="3">
        <v>-22.285714285714285</v>
      </c>
      <c r="P222" s="3" t="s">
        <v>136</v>
      </c>
      <c r="Q222" s="32" t="s">
        <v>2186</v>
      </c>
      <c r="R222" s="32" t="s">
        <v>137</v>
      </c>
      <c r="S222" s="32"/>
      <c r="T222" s="32"/>
      <c r="X222" s="3" t="s">
        <v>77</v>
      </c>
      <c r="Y222" s="3" t="s">
        <v>138</v>
      </c>
      <c r="Z222" s="3" t="s">
        <v>2189</v>
      </c>
      <c r="AA222" s="3" t="s">
        <v>2190</v>
      </c>
      <c r="AB222" s="3" t="s">
        <v>2191</v>
      </c>
      <c r="AC222" s="3" t="s">
        <v>2192</v>
      </c>
      <c r="AE222" s="3" t="s">
        <v>83</v>
      </c>
      <c r="AF222" s="3" t="s">
        <v>85</v>
      </c>
      <c r="AG222" s="3" t="s">
        <v>85</v>
      </c>
      <c r="AH222" s="3" t="s">
        <v>2525</v>
      </c>
      <c r="AI222" s="3" t="s">
        <v>2525</v>
      </c>
      <c r="AJ222" s="3" t="s">
        <v>2525</v>
      </c>
      <c r="AK222" s="3" t="s">
        <v>85</v>
      </c>
      <c r="AL222" s="3" t="s">
        <v>2525</v>
      </c>
      <c r="AM222" s="3" t="s">
        <v>85</v>
      </c>
      <c r="AN222" s="3" t="s">
        <v>129</v>
      </c>
      <c r="AO222" s="3" t="s">
        <v>2525</v>
      </c>
      <c r="AP222" s="3" t="s">
        <v>2525</v>
      </c>
      <c r="AR222" s="3" t="s">
        <v>2525</v>
      </c>
      <c r="AS222" s="3" t="s">
        <v>84</v>
      </c>
      <c r="AT222" s="3" t="s">
        <v>2525</v>
      </c>
      <c r="AU222" s="3" t="s">
        <v>2525</v>
      </c>
      <c r="AV222" s="3" t="s">
        <v>2525</v>
      </c>
      <c r="AW222" s="3" t="s">
        <v>2525</v>
      </c>
      <c r="AX222" s="3" t="s">
        <v>2525</v>
      </c>
      <c r="AY222" s="3" t="s">
        <v>2525</v>
      </c>
      <c r="AZ222" s="3" t="s">
        <v>85</v>
      </c>
      <c r="BA222" s="3" t="s">
        <v>84</v>
      </c>
      <c r="BB222" s="3" t="s">
        <v>2525</v>
      </c>
      <c r="BC222" s="3" t="s">
        <v>2525</v>
      </c>
      <c r="BD222" s="3" t="s">
        <v>2525</v>
      </c>
      <c r="BE222" s="3" t="s">
        <v>2525</v>
      </c>
      <c r="BF222" s="3" t="s">
        <v>2525</v>
      </c>
      <c r="BG222" s="3" t="s">
        <v>2525</v>
      </c>
      <c r="BH222" s="3" t="s">
        <v>2525</v>
      </c>
      <c r="BI222" s="3" t="s">
        <v>84</v>
      </c>
      <c r="BJ222" s="3" t="s">
        <v>2525</v>
      </c>
      <c r="BL222" s="3" t="s">
        <v>2525</v>
      </c>
      <c r="BN222" s="3" t="s">
        <v>137</v>
      </c>
      <c r="BO222" s="3" t="s">
        <v>137</v>
      </c>
    </row>
    <row r="223">
      <c r="A223" s="3" t="s">
        <v>2194</v>
      </c>
      <c r="B223" s="3" t="s">
        <v>2195</v>
      </c>
      <c r="C223" s="3" t="s">
        <v>92</v>
      </c>
      <c r="D223" s="3" t="s">
        <v>2196</v>
      </c>
      <c r="I223" s="3">
        <v>50.0</v>
      </c>
      <c r="J223" s="3" t="s">
        <v>71</v>
      </c>
      <c r="K223" s="3" t="s">
        <v>72</v>
      </c>
      <c r="L223" s="3" t="s">
        <v>73</v>
      </c>
      <c r="M223" s="3" t="s">
        <v>2197</v>
      </c>
      <c r="N223" s="3">
        <v>-7.2727272727272725</v>
      </c>
      <c r="P223" s="3" t="s">
        <v>149</v>
      </c>
      <c r="Q223" s="32" t="s">
        <v>2194</v>
      </c>
      <c r="R223" s="32" t="s">
        <v>137</v>
      </c>
      <c r="S223" s="32"/>
      <c r="T223" s="32"/>
      <c r="W223" s="3" t="s">
        <v>858</v>
      </c>
      <c r="Y223" s="3" t="s">
        <v>78</v>
      </c>
      <c r="Z223" s="3" t="s">
        <v>2198</v>
      </c>
      <c r="AA223" s="3" t="s">
        <v>2199</v>
      </c>
      <c r="AB223" s="3" t="s">
        <v>2200</v>
      </c>
      <c r="AC223" s="3" t="s">
        <v>2201</v>
      </c>
      <c r="AE223" s="3" t="s">
        <v>83</v>
      </c>
      <c r="AF223" s="3" t="s">
        <v>2525</v>
      </c>
      <c r="AG223" s="3" t="s">
        <v>2525</v>
      </c>
      <c r="AH223" s="3" t="s">
        <v>2525</v>
      </c>
      <c r="AI223" s="3" t="s">
        <v>2525</v>
      </c>
      <c r="AJ223" s="3" t="s">
        <v>2525</v>
      </c>
      <c r="AK223" s="3" t="s">
        <v>2525</v>
      </c>
      <c r="AL223" s="3" t="s">
        <v>2525</v>
      </c>
      <c r="AM223" s="3" t="s">
        <v>2525</v>
      </c>
      <c r="AN223" s="3" t="s">
        <v>85</v>
      </c>
      <c r="AO223" s="3" t="s">
        <v>2525</v>
      </c>
      <c r="AP223" s="3" t="s">
        <v>2525</v>
      </c>
      <c r="AR223" s="3" t="s">
        <v>2525</v>
      </c>
      <c r="AS223" s="3" t="s">
        <v>2525</v>
      </c>
      <c r="AT223" s="3" t="s">
        <v>2525</v>
      </c>
      <c r="AU223" s="3" t="s">
        <v>2525</v>
      </c>
      <c r="AV223" s="3" t="s">
        <v>2525</v>
      </c>
      <c r="AW223" s="3" t="s">
        <v>2525</v>
      </c>
      <c r="AX223" s="3" t="s">
        <v>2525</v>
      </c>
      <c r="AY223" s="3" t="s">
        <v>2525</v>
      </c>
      <c r="AZ223" s="3" t="s">
        <v>2525</v>
      </c>
      <c r="BA223" s="3" t="s">
        <v>85</v>
      </c>
      <c r="BB223" s="3" t="s">
        <v>2525</v>
      </c>
      <c r="BC223" s="3" t="s">
        <v>2525</v>
      </c>
      <c r="BD223" s="3" t="s">
        <v>2525</v>
      </c>
      <c r="BE223" s="3" t="s">
        <v>2525</v>
      </c>
      <c r="BF223" s="3" t="s">
        <v>2525</v>
      </c>
      <c r="BG223" s="3" t="s">
        <v>2525</v>
      </c>
      <c r="BH223" s="3" t="s">
        <v>2525</v>
      </c>
      <c r="BI223" s="3" t="s">
        <v>2525</v>
      </c>
      <c r="BJ223" s="3" t="s">
        <v>2525</v>
      </c>
      <c r="BL223" s="3" t="s">
        <v>2525</v>
      </c>
      <c r="BN223" s="3" t="s">
        <v>137</v>
      </c>
      <c r="BO223" s="3" t="s">
        <v>137</v>
      </c>
    </row>
    <row r="224">
      <c r="A224" s="3" t="s">
        <v>2203</v>
      </c>
      <c r="B224" s="3" t="s">
        <v>2204</v>
      </c>
      <c r="C224" s="3" t="s">
        <v>92</v>
      </c>
      <c r="D224" s="3" t="s">
        <v>2205</v>
      </c>
      <c r="I224" s="3">
        <v>42.0</v>
      </c>
      <c r="J224" s="3" t="s">
        <v>94</v>
      </c>
      <c r="K224" s="3" t="s">
        <v>72</v>
      </c>
      <c r="L224" s="3" t="s">
        <v>108</v>
      </c>
      <c r="M224" s="3" t="s">
        <v>109</v>
      </c>
      <c r="N224" s="3">
        <v>-4.3478260869565215</v>
      </c>
      <c r="P224" s="3" t="s">
        <v>75</v>
      </c>
      <c r="Q224" s="32" t="s">
        <v>2203</v>
      </c>
      <c r="R224" s="32" t="s">
        <v>2206</v>
      </c>
      <c r="S224" s="32"/>
      <c r="T224" s="32"/>
      <c r="X224" s="3" t="s">
        <v>77</v>
      </c>
      <c r="Y224" s="3" t="s">
        <v>78</v>
      </c>
      <c r="Z224" s="3" t="s">
        <v>1503</v>
      </c>
      <c r="AA224" s="3" t="s">
        <v>2207</v>
      </c>
      <c r="AB224" s="3" t="s">
        <v>2208</v>
      </c>
      <c r="AC224" s="3" t="s">
        <v>2209</v>
      </c>
      <c r="AE224" s="3" t="s">
        <v>83</v>
      </c>
      <c r="AF224" s="3" t="s">
        <v>84</v>
      </c>
      <c r="AG224" s="3" t="s">
        <v>2525</v>
      </c>
      <c r="AH224" s="3" t="s">
        <v>84</v>
      </c>
      <c r="AI224" s="3" t="s">
        <v>84</v>
      </c>
      <c r="AJ224" s="3" t="s">
        <v>84</v>
      </c>
      <c r="AK224" s="3" t="s">
        <v>2525</v>
      </c>
      <c r="AL224" s="3" t="s">
        <v>2525</v>
      </c>
      <c r="AM224" s="3" t="s">
        <v>85</v>
      </c>
      <c r="AN224" s="3" t="s">
        <v>2525</v>
      </c>
      <c r="AO224" s="3" t="s">
        <v>2525</v>
      </c>
      <c r="AP224" s="3" t="s">
        <v>2525</v>
      </c>
      <c r="AR224" s="3" t="s">
        <v>2525</v>
      </c>
      <c r="AS224" s="3" t="s">
        <v>85</v>
      </c>
      <c r="AT224" s="3" t="s">
        <v>85</v>
      </c>
      <c r="AU224" s="3" t="s">
        <v>2525</v>
      </c>
      <c r="AV224" s="3" t="s">
        <v>2525</v>
      </c>
      <c r="AW224" s="3" t="s">
        <v>2525</v>
      </c>
      <c r="AX224" s="3" t="s">
        <v>2525</v>
      </c>
      <c r="AY224" s="3" t="s">
        <v>2525</v>
      </c>
      <c r="AZ224" s="3" t="s">
        <v>2525</v>
      </c>
      <c r="BA224" s="3" t="s">
        <v>2525</v>
      </c>
      <c r="BB224" s="3" t="s">
        <v>2525</v>
      </c>
      <c r="BC224" s="3" t="s">
        <v>2525</v>
      </c>
      <c r="BD224" s="3" t="s">
        <v>2525</v>
      </c>
      <c r="BE224" s="3" t="s">
        <v>84</v>
      </c>
      <c r="BF224" s="3" t="s">
        <v>2525</v>
      </c>
      <c r="BG224" s="3" t="s">
        <v>2525</v>
      </c>
      <c r="BH224" s="3" t="s">
        <v>2525</v>
      </c>
      <c r="BI224" s="3" t="s">
        <v>2525</v>
      </c>
      <c r="BJ224" s="3" t="s">
        <v>2525</v>
      </c>
      <c r="BK224" s="3" t="s">
        <v>86</v>
      </c>
      <c r="BL224" s="3" t="s">
        <v>2525</v>
      </c>
      <c r="BN224" s="3" t="s">
        <v>2210</v>
      </c>
      <c r="BO224" s="3" t="s">
        <v>2211</v>
      </c>
    </row>
    <row r="225">
      <c r="A225" s="3" t="s">
        <v>2213</v>
      </c>
      <c r="B225" s="3" t="s">
        <v>2214</v>
      </c>
      <c r="C225" s="3" t="s">
        <v>92</v>
      </c>
      <c r="D225" s="3" t="s">
        <v>2215</v>
      </c>
      <c r="I225" s="3">
        <v>41.0</v>
      </c>
      <c r="J225" s="3" t="s">
        <v>71</v>
      </c>
      <c r="K225" s="3" t="s">
        <v>72</v>
      </c>
      <c r="L225" s="3" t="s">
        <v>73</v>
      </c>
      <c r="M225" s="3" t="s">
        <v>36</v>
      </c>
      <c r="N225" s="3">
        <v>-21.490196078431374</v>
      </c>
      <c r="P225" s="3" t="s">
        <v>260</v>
      </c>
      <c r="Q225" s="32" t="s">
        <v>2213</v>
      </c>
      <c r="R225" s="32" t="s">
        <v>137</v>
      </c>
      <c r="S225" s="32"/>
      <c r="T225" s="32"/>
      <c r="W225" s="3" t="s">
        <v>1578</v>
      </c>
      <c r="Y225" s="3" t="s">
        <v>78</v>
      </c>
      <c r="Z225" s="3" t="s">
        <v>2216</v>
      </c>
      <c r="AA225" s="3" t="s">
        <v>2217</v>
      </c>
      <c r="AB225" s="3" t="s">
        <v>2218</v>
      </c>
      <c r="AC225" s="3" t="s">
        <v>2219</v>
      </c>
      <c r="AE225" s="3" t="s">
        <v>83</v>
      </c>
      <c r="AF225" s="3" t="s">
        <v>85</v>
      </c>
      <c r="AG225" s="3" t="s">
        <v>2525</v>
      </c>
      <c r="AH225" s="3" t="s">
        <v>2525</v>
      </c>
      <c r="AI225" s="3" t="s">
        <v>2525</v>
      </c>
      <c r="AJ225" s="3" t="s">
        <v>2525</v>
      </c>
      <c r="AK225" s="3" t="s">
        <v>84</v>
      </c>
      <c r="AL225" s="3" t="s">
        <v>2525</v>
      </c>
      <c r="AM225" s="3" t="s">
        <v>2525</v>
      </c>
      <c r="AN225" s="3" t="s">
        <v>84</v>
      </c>
      <c r="AO225" s="3" t="s">
        <v>2525</v>
      </c>
      <c r="AP225" s="3" t="s">
        <v>2525</v>
      </c>
      <c r="AR225" s="3" t="s">
        <v>2525</v>
      </c>
      <c r="AS225" s="3" t="s">
        <v>85</v>
      </c>
      <c r="AT225" s="3" t="s">
        <v>2525</v>
      </c>
      <c r="AU225" s="3" t="s">
        <v>2525</v>
      </c>
      <c r="AV225" s="3" t="s">
        <v>2525</v>
      </c>
      <c r="AW225" s="3" t="s">
        <v>2525</v>
      </c>
      <c r="AX225" s="3" t="s">
        <v>2525</v>
      </c>
      <c r="AY225" s="3" t="s">
        <v>2525</v>
      </c>
      <c r="AZ225" s="3" t="s">
        <v>85</v>
      </c>
      <c r="BA225" s="3" t="s">
        <v>85</v>
      </c>
      <c r="BB225" s="3" t="s">
        <v>2525</v>
      </c>
      <c r="BC225" s="3" t="s">
        <v>2525</v>
      </c>
      <c r="BD225" s="3" t="s">
        <v>85</v>
      </c>
      <c r="BE225" s="3" t="s">
        <v>2525</v>
      </c>
      <c r="BF225" s="3" t="s">
        <v>2525</v>
      </c>
      <c r="BG225" s="3" t="s">
        <v>2525</v>
      </c>
      <c r="BH225" s="3" t="s">
        <v>2525</v>
      </c>
      <c r="BI225" s="3" t="s">
        <v>84</v>
      </c>
      <c r="BJ225" s="3" t="s">
        <v>85</v>
      </c>
      <c r="BL225" s="3" t="s">
        <v>2525</v>
      </c>
      <c r="BN225" s="3" t="s">
        <v>2220</v>
      </c>
      <c r="BO225" s="3" t="s">
        <v>614</v>
      </c>
    </row>
    <row r="226">
      <c r="A226" s="3" t="s">
        <v>2222</v>
      </c>
      <c r="B226" s="3" t="s">
        <v>2223</v>
      </c>
      <c r="C226" s="3" t="s">
        <v>92</v>
      </c>
      <c r="D226" s="3" t="s">
        <v>2224</v>
      </c>
      <c r="I226" s="3">
        <v>53.0</v>
      </c>
      <c r="J226" s="3" t="s">
        <v>71</v>
      </c>
      <c r="K226" s="3" t="s">
        <v>72</v>
      </c>
      <c r="L226" s="3" t="s">
        <v>73</v>
      </c>
      <c r="M226" s="3" t="s">
        <v>36</v>
      </c>
      <c r="N226" s="3">
        <v>-12.790697674418606</v>
      </c>
      <c r="P226" s="3" t="s">
        <v>260</v>
      </c>
      <c r="Q226" s="32" t="s">
        <v>2222</v>
      </c>
      <c r="R226" s="32" t="s">
        <v>137</v>
      </c>
      <c r="S226" s="32"/>
      <c r="T226" s="32"/>
      <c r="W226" s="3" t="s">
        <v>2180</v>
      </c>
      <c r="Y226" s="3" t="s">
        <v>78</v>
      </c>
      <c r="Z226" s="3" t="s">
        <v>2225</v>
      </c>
      <c r="AA226" s="3" t="s">
        <v>2226</v>
      </c>
      <c r="AB226" s="3" t="s">
        <v>2227</v>
      </c>
      <c r="AC226" s="3" t="s">
        <v>2228</v>
      </c>
      <c r="AE226" s="3" t="s">
        <v>83</v>
      </c>
      <c r="AF226" s="3" t="s">
        <v>2525</v>
      </c>
      <c r="AG226" s="3" t="s">
        <v>2525</v>
      </c>
      <c r="AH226" s="3" t="s">
        <v>2525</v>
      </c>
      <c r="AI226" s="3" t="s">
        <v>2525</v>
      </c>
      <c r="AJ226" s="3" t="s">
        <v>2525</v>
      </c>
      <c r="AK226" s="3" t="s">
        <v>84</v>
      </c>
      <c r="AL226" s="3" t="s">
        <v>2525</v>
      </c>
      <c r="AM226" s="3" t="s">
        <v>2525</v>
      </c>
      <c r="AN226" s="3" t="s">
        <v>2525</v>
      </c>
      <c r="AO226" s="3" t="s">
        <v>2525</v>
      </c>
      <c r="AP226" s="3" t="s">
        <v>2525</v>
      </c>
      <c r="AR226" s="3" t="s">
        <v>2525</v>
      </c>
      <c r="AS226" s="3" t="s">
        <v>2525</v>
      </c>
      <c r="AT226" s="3" t="s">
        <v>2525</v>
      </c>
      <c r="AU226" s="3" t="s">
        <v>2525</v>
      </c>
      <c r="AV226" s="3" t="s">
        <v>2525</v>
      </c>
      <c r="AW226" s="3" t="s">
        <v>2525</v>
      </c>
      <c r="AX226" s="3" t="s">
        <v>2525</v>
      </c>
      <c r="AY226" s="3" t="s">
        <v>2525</v>
      </c>
      <c r="AZ226" s="3" t="s">
        <v>85</v>
      </c>
      <c r="BA226" s="3" t="s">
        <v>85</v>
      </c>
      <c r="BB226" s="3" t="s">
        <v>2525</v>
      </c>
      <c r="BC226" s="3" t="s">
        <v>2525</v>
      </c>
      <c r="BD226" s="3" t="s">
        <v>2525</v>
      </c>
      <c r="BE226" s="3" t="s">
        <v>2525</v>
      </c>
      <c r="BF226" s="3" t="s">
        <v>2525</v>
      </c>
      <c r="BG226" s="3" t="s">
        <v>2525</v>
      </c>
      <c r="BH226" s="3" t="s">
        <v>2525</v>
      </c>
      <c r="BI226" s="3" t="s">
        <v>84</v>
      </c>
      <c r="BJ226" s="3" t="s">
        <v>2525</v>
      </c>
      <c r="BL226" s="3" t="s">
        <v>2525</v>
      </c>
      <c r="BN226" s="3" t="s">
        <v>143</v>
      </c>
      <c r="BO226" s="3" t="s">
        <v>137</v>
      </c>
    </row>
    <row r="227">
      <c r="A227" s="3" t="s">
        <v>2230</v>
      </c>
      <c r="B227" s="3" t="s">
        <v>2231</v>
      </c>
      <c r="C227" s="3" t="s">
        <v>92</v>
      </c>
      <c r="D227" s="3" t="s">
        <v>2232</v>
      </c>
      <c r="I227" s="3">
        <v>35.0</v>
      </c>
      <c r="J227" s="3" t="s">
        <v>71</v>
      </c>
      <c r="K227" s="3" t="s">
        <v>72</v>
      </c>
      <c r="L227" s="3" t="s">
        <v>73</v>
      </c>
      <c r="M227" s="3" t="s">
        <v>40</v>
      </c>
      <c r="N227" s="3">
        <v>-2.5</v>
      </c>
      <c r="P227" s="3" t="s">
        <v>149</v>
      </c>
      <c r="Q227" s="32" t="s">
        <v>2230</v>
      </c>
      <c r="R227" s="32" t="s">
        <v>137</v>
      </c>
      <c r="S227" s="32"/>
      <c r="T227" s="32"/>
      <c r="W227" s="3" t="s">
        <v>858</v>
      </c>
      <c r="Y227" s="3" t="s">
        <v>78</v>
      </c>
      <c r="Z227" s="3" t="s">
        <v>2233</v>
      </c>
      <c r="AA227" s="3" t="s">
        <v>2234</v>
      </c>
      <c r="AB227" s="3" t="s">
        <v>2235</v>
      </c>
      <c r="AC227" s="3" t="s">
        <v>2236</v>
      </c>
      <c r="AD227" s="3" t="s">
        <v>2237</v>
      </c>
      <c r="AE227" s="3" t="s">
        <v>83</v>
      </c>
      <c r="AF227" s="3" t="s">
        <v>2525</v>
      </c>
      <c r="AG227" s="3" t="s">
        <v>2525</v>
      </c>
      <c r="AH227" s="3" t="s">
        <v>2525</v>
      </c>
      <c r="AI227" s="3" t="s">
        <v>2525</v>
      </c>
      <c r="AJ227" s="3" t="s">
        <v>2525</v>
      </c>
      <c r="AK227" s="3" t="s">
        <v>2525</v>
      </c>
      <c r="AL227" s="3" t="s">
        <v>2525</v>
      </c>
      <c r="AM227" s="3" t="s">
        <v>2525</v>
      </c>
      <c r="AN227" s="3" t="s">
        <v>2525</v>
      </c>
      <c r="AO227" s="3" t="s">
        <v>129</v>
      </c>
      <c r="AP227" s="3" t="s">
        <v>2525</v>
      </c>
      <c r="AR227" s="3" t="s">
        <v>2525</v>
      </c>
      <c r="AS227" s="3" t="s">
        <v>2525</v>
      </c>
      <c r="AT227" s="3" t="s">
        <v>2525</v>
      </c>
      <c r="AU227" s="3" t="s">
        <v>129</v>
      </c>
      <c r="AV227" s="3" t="s">
        <v>85</v>
      </c>
      <c r="AW227" s="3" t="s">
        <v>2525</v>
      </c>
      <c r="AX227" s="3" t="s">
        <v>2525</v>
      </c>
      <c r="AY227" s="3" t="s">
        <v>2525</v>
      </c>
      <c r="AZ227" s="3" t="s">
        <v>2525</v>
      </c>
      <c r="BA227" s="3" t="s">
        <v>2525</v>
      </c>
      <c r="BB227" s="3" t="s">
        <v>2525</v>
      </c>
      <c r="BC227" s="3" t="s">
        <v>2525</v>
      </c>
      <c r="BD227" s="3" t="s">
        <v>2525</v>
      </c>
      <c r="BE227" s="3" t="s">
        <v>2525</v>
      </c>
      <c r="BF227" s="3" t="s">
        <v>2525</v>
      </c>
      <c r="BG227" s="3" t="s">
        <v>2525</v>
      </c>
      <c r="BH227" s="3" t="s">
        <v>2525</v>
      </c>
      <c r="BI227" s="3" t="s">
        <v>2525</v>
      </c>
      <c r="BJ227" s="3" t="s">
        <v>2525</v>
      </c>
      <c r="BL227" s="3" t="s">
        <v>2525</v>
      </c>
      <c r="BN227" s="3" t="s">
        <v>137</v>
      </c>
      <c r="BO227" s="3" t="s">
        <v>2238</v>
      </c>
    </row>
    <row r="228">
      <c r="A228" s="3" t="s">
        <v>2240</v>
      </c>
      <c r="B228" s="3" t="s">
        <v>2241</v>
      </c>
      <c r="C228" s="3" t="s">
        <v>92</v>
      </c>
      <c r="D228" s="3" t="s">
        <v>2242</v>
      </c>
      <c r="I228" s="3">
        <v>35.0</v>
      </c>
      <c r="J228" s="3" t="s">
        <v>171</v>
      </c>
      <c r="K228" s="3" t="s">
        <v>72</v>
      </c>
      <c r="L228" s="3" t="s">
        <v>73</v>
      </c>
      <c r="M228" s="3" t="s">
        <v>40</v>
      </c>
      <c r="N228" s="3">
        <v>12.663755458515283</v>
      </c>
      <c r="P228" s="3" t="s">
        <v>149</v>
      </c>
      <c r="Q228" s="32" t="s">
        <v>2240</v>
      </c>
      <c r="R228" s="32" t="s">
        <v>2243</v>
      </c>
      <c r="S228" s="32"/>
      <c r="T228" s="32"/>
      <c r="W228" s="3" t="s">
        <v>858</v>
      </c>
      <c r="X228" s="3" t="s">
        <v>77</v>
      </c>
      <c r="Y228" s="3" t="s">
        <v>78</v>
      </c>
      <c r="Z228" s="3" t="s">
        <v>2244</v>
      </c>
      <c r="AA228" s="3" t="s">
        <v>2245</v>
      </c>
      <c r="AB228" s="3" t="s">
        <v>2246</v>
      </c>
      <c r="AC228" s="3" t="s">
        <v>2247</v>
      </c>
      <c r="AE228" s="3" t="s">
        <v>83</v>
      </c>
      <c r="AF228" s="3" t="s">
        <v>2525</v>
      </c>
      <c r="AG228" s="3" t="s">
        <v>2525</v>
      </c>
      <c r="AH228" s="3" t="s">
        <v>2525</v>
      </c>
      <c r="AI228" s="3" t="s">
        <v>2525</v>
      </c>
      <c r="AJ228" s="3" t="s">
        <v>2525</v>
      </c>
      <c r="AK228" s="3" t="s">
        <v>2525</v>
      </c>
      <c r="AL228" s="3" t="s">
        <v>2525</v>
      </c>
      <c r="AM228" s="3" t="s">
        <v>2525</v>
      </c>
      <c r="AN228" s="3" t="s">
        <v>2525</v>
      </c>
      <c r="AO228" s="3" t="s">
        <v>84</v>
      </c>
      <c r="AP228" s="3" t="s">
        <v>2525</v>
      </c>
      <c r="AR228" s="3" t="s">
        <v>2525</v>
      </c>
      <c r="AS228" s="3" t="s">
        <v>2525</v>
      </c>
      <c r="AT228" s="3" t="s">
        <v>2525</v>
      </c>
      <c r="AU228" s="3" t="s">
        <v>84</v>
      </c>
      <c r="AV228" s="3" t="s">
        <v>84</v>
      </c>
      <c r="AW228" s="3" t="s">
        <v>2525</v>
      </c>
      <c r="AX228" s="3" t="s">
        <v>2525</v>
      </c>
      <c r="AY228" s="3" t="s">
        <v>84</v>
      </c>
      <c r="AZ228" s="3" t="s">
        <v>2525</v>
      </c>
      <c r="BA228" s="3" t="s">
        <v>2525</v>
      </c>
      <c r="BB228" s="3" t="s">
        <v>2525</v>
      </c>
      <c r="BC228" s="3" t="s">
        <v>2525</v>
      </c>
      <c r="BD228" s="3" t="s">
        <v>2525</v>
      </c>
      <c r="BE228" s="3" t="s">
        <v>2525</v>
      </c>
      <c r="BF228" s="3" t="s">
        <v>2525</v>
      </c>
      <c r="BG228" s="3" t="s">
        <v>2525</v>
      </c>
      <c r="BH228" s="3" t="s">
        <v>2525</v>
      </c>
      <c r="BI228" s="3" t="s">
        <v>2525</v>
      </c>
      <c r="BJ228" s="3" t="s">
        <v>2525</v>
      </c>
      <c r="BK228" s="3" t="s">
        <v>86</v>
      </c>
      <c r="BL228" s="3" t="s">
        <v>2525</v>
      </c>
      <c r="BN228" s="3" t="s">
        <v>2248</v>
      </c>
      <c r="BO228" s="3" t="s">
        <v>2249</v>
      </c>
    </row>
    <row r="229">
      <c r="A229" s="3" t="s">
        <v>2251</v>
      </c>
      <c r="B229" s="3" t="s">
        <v>2252</v>
      </c>
      <c r="C229" s="3" t="s">
        <v>92</v>
      </c>
      <c r="D229" s="3" t="s">
        <v>2253</v>
      </c>
      <c r="I229" s="3">
        <v>36.0</v>
      </c>
      <c r="J229" s="3" t="s">
        <v>94</v>
      </c>
      <c r="K229" s="3" t="s">
        <v>72</v>
      </c>
      <c r="L229" s="3" t="s">
        <v>73</v>
      </c>
      <c r="M229" s="3" t="s">
        <v>36</v>
      </c>
      <c r="N229" s="3">
        <v>13.94275161588181</v>
      </c>
      <c r="P229" s="3" t="s">
        <v>149</v>
      </c>
      <c r="Q229" s="32" t="s">
        <v>2251</v>
      </c>
      <c r="R229" s="32" t="s">
        <v>137</v>
      </c>
      <c r="S229" s="32"/>
      <c r="T229" s="32"/>
      <c r="X229" s="3" t="s">
        <v>77</v>
      </c>
      <c r="Y229" s="3" t="s">
        <v>78</v>
      </c>
      <c r="Z229" s="3" t="s">
        <v>1522</v>
      </c>
      <c r="AA229" s="3" t="s">
        <v>2254</v>
      </c>
      <c r="AB229" s="3" t="s">
        <v>2255</v>
      </c>
      <c r="AC229" s="3" t="s">
        <v>2256</v>
      </c>
      <c r="AE229" s="3" t="s">
        <v>83</v>
      </c>
      <c r="AF229" s="3" t="s">
        <v>85</v>
      </c>
      <c r="AG229" s="3" t="s">
        <v>85</v>
      </c>
      <c r="AH229" s="3" t="s">
        <v>2525</v>
      </c>
      <c r="AI229" s="3" t="s">
        <v>2525</v>
      </c>
      <c r="AJ229" s="3" t="s">
        <v>2525</v>
      </c>
      <c r="AK229" s="3" t="s">
        <v>84</v>
      </c>
      <c r="AL229" s="3" t="s">
        <v>2525</v>
      </c>
      <c r="AM229" s="3" t="s">
        <v>2525</v>
      </c>
      <c r="AN229" s="3" t="s">
        <v>85</v>
      </c>
      <c r="AO229" s="3" t="s">
        <v>2525</v>
      </c>
      <c r="AP229" s="3" t="s">
        <v>2525</v>
      </c>
      <c r="AR229" s="3" t="s">
        <v>2525</v>
      </c>
      <c r="AS229" s="3" t="s">
        <v>2525</v>
      </c>
      <c r="AT229" s="3" t="s">
        <v>2525</v>
      </c>
      <c r="AU229" s="3" t="s">
        <v>2525</v>
      </c>
      <c r="AV229" s="3" t="s">
        <v>2525</v>
      </c>
      <c r="AW229" s="3" t="s">
        <v>2525</v>
      </c>
      <c r="AX229" s="3" t="s">
        <v>2525</v>
      </c>
      <c r="AY229" s="3" t="s">
        <v>2525</v>
      </c>
      <c r="AZ229" s="3" t="s">
        <v>2525</v>
      </c>
      <c r="BA229" s="3" t="s">
        <v>84</v>
      </c>
      <c r="BB229" s="3" t="s">
        <v>2525</v>
      </c>
      <c r="BC229" s="3" t="s">
        <v>2525</v>
      </c>
      <c r="BD229" s="3" t="s">
        <v>2525</v>
      </c>
      <c r="BE229" s="3" t="s">
        <v>2525</v>
      </c>
      <c r="BF229" s="3" t="s">
        <v>2525</v>
      </c>
      <c r="BG229" s="3" t="s">
        <v>2525</v>
      </c>
      <c r="BH229" s="3" t="s">
        <v>2525</v>
      </c>
      <c r="BI229" s="3" t="s">
        <v>2525</v>
      </c>
      <c r="BJ229" s="3" t="s">
        <v>84</v>
      </c>
      <c r="BK229" s="3" t="s">
        <v>86</v>
      </c>
      <c r="BL229" s="3" t="s">
        <v>2525</v>
      </c>
      <c r="BN229" s="3" t="s">
        <v>2257</v>
      </c>
      <c r="BO229" s="3" t="s">
        <v>137</v>
      </c>
    </row>
    <row r="230">
      <c r="A230" s="3" t="s">
        <v>2259</v>
      </c>
      <c r="B230" s="3" t="s">
        <v>2260</v>
      </c>
      <c r="C230" s="3" t="s">
        <v>92</v>
      </c>
      <c r="D230" s="3" t="s">
        <v>2261</v>
      </c>
      <c r="I230" s="3">
        <v>34.0</v>
      </c>
      <c r="J230" s="3" t="s">
        <v>94</v>
      </c>
      <c r="K230" s="3" t="s">
        <v>72</v>
      </c>
      <c r="L230" s="3" t="s">
        <v>108</v>
      </c>
      <c r="M230" s="3" t="s">
        <v>109</v>
      </c>
      <c r="N230" s="3">
        <v>16.41025641025641</v>
      </c>
      <c r="P230" s="3" t="s">
        <v>110</v>
      </c>
      <c r="Q230" s="32" t="s">
        <v>2259</v>
      </c>
      <c r="R230" s="32" t="s">
        <v>2262</v>
      </c>
      <c r="S230" s="32"/>
      <c r="T230" s="32"/>
      <c r="Y230" s="3" t="s">
        <v>78</v>
      </c>
      <c r="AA230" s="3" t="s">
        <v>2263</v>
      </c>
      <c r="AB230" s="3" t="s">
        <v>2536</v>
      </c>
      <c r="AC230" s="3" t="s">
        <v>2265</v>
      </c>
      <c r="AE230" s="3" t="s">
        <v>83</v>
      </c>
      <c r="AF230" s="3" t="s">
        <v>2525</v>
      </c>
      <c r="AG230" s="3" t="s">
        <v>2525</v>
      </c>
      <c r="AH230" s="3" t="s">
        <v>2525</v>
      </c>
      <c r="AI230" s="3" t="s">
        <v>84</v>
      </c>
      <c r="AJ230" s="3" t="s">
        <v>2525</v>
      </c>
      <c r="AK230" s="3" t="s">
        <v>2525</v>
      </c>
      <c r="AL230" s="3" t="s">
        <v>2525</v>
      </c>
      <c r="AM230" s="3" t="s">
        <v>2525</v>
      </c>
      <c r="AN230" s="3" t="s">
        <v>2525</v>
      </c>
      <c r="AO230" s="3" t="s">
        <v>2525</v>
      </c>
      <c r="AP230" s="3" t="s">
        <v>2525</v>
      </c>
      <c r="AR230" s="3" t="s">
        <v>2525</v>
      </c>
      <c r="AS230" s="3" t="s">
        <v>2525</v>
      </c>
      <c r="AT230" s="3" t="s">
        <v>2525</v>
      </c>
      <c r="AU230" s="3" t="s">
        <v>2525</v>
      </c>
      <c r="AV230" s="3" t="s">
        <v>2525</v>
      </c>
      <c r="AW230" s="3" t="s">
        <v>2525</v>
      </c>
      <c r="AX230" s="3" t="s">
        <v>2525</v>
      </c>
      <c r="AY230" s="3" t="s">
        <v>2525</v>
      </c>
      <c r="AZ230" s="3" t="s">
        <v>2525</v>
      </c>
      <c r="BA230" s="3" t="s">
        <v>2525</v>
      </c>
      <c r="BB230" s="3" t="s">
        <v>2525</v>
      </c>
      <c r="BC230" s="3" t="s">
        <v>2525</v>
      </c>
      <c r="BD230" s="3" t="s">
        <v>2525</v>
      </c>
      <c r="BE230" s="3" t="s">
        <v>84</v>
      </c>
      <c r="BF230" s="3" t="s">
        <v>2525</v>
      </c>
      <c r="BG230" s="3" t="s">
        <v>2525</v>
      </c>
      <c r="BH230" s="3" t="s">
        <v>2525</v>
      </c>
      <c r="BI230" s="3" t="s">
        <v>2525</v>
      </c>
      <c r="BJ230" s="3" t="s">
        <v>2525</v>
      </c>
      <c r="BL230" s="3" t="s">
        <v>2525</v>
      </c>
      <c r="BN230" s="3" t="s">
        <v>2266</v>
      </c>
      <c r="BO230" s="3" t="s">
        <v>2267</v>
      </c>
    </row>
    <row r="231">
      <c r="A231" s="3" t="s">
        <v>2269</v>
      </c>
      <c r="B231" s="3" t="s">
        <v>2270</v>
      </c>
      <c r="C231" s="3" t="s">
        <v>92</v>
      </c>
      <c r="D231" s="3" t="s">
        <v>2271</v>
      </c>
      <c r="I231" s="3">
        <v>36.0</v>
      </c>
      <c r="J231" s="3" t="s">
        <v>94</v>
      </c>
      <c r="K231" s="3" t="s">
        <v>72</v>
      </c>
      <c r="L231" s="3" t="s">
        <v>108</v>
      </c>
      <c r="M231" s="3" t="s">
        <v>109</v>
      </c>
      <c r="N231" s="3">
        <v>-1.3157894736842104</v>
      </c>
      <c r="P231" s="3" t="s">
        <v>110</v>
      </c>
      <c r="Q231" s="32" t="s">
        <v>2269</v>
      </c>
      <c r="R231" s="32" t="s">
        <v>2262</v>
      </c>
      <c r="S231" s="32"/>
      <c r="T231" s="32"/>
      <c r="X231" s="3" t="s">
        <v>77</v>
      </c>
      <c r="Y231" s="3" t="s">
        <v>78</v>
      </c>
      <c r="AA231" s="3" t="s">
        <v>2272</v>
      </c>
      <c r="AB231" s="3" t="s">
        <v>1378</v>
      </c>
      <c r="AC231" s="3" t="s">
        <v>2273</v>
      </c>
      <c r="AD231" s="3" t="s">
        <v>2274</v>
      </c>
      <c r="AE231" s="3" t="s">
        <v>83</v>
      </c>
      <c r="AF231" s="3" t="s">
        <v>2525</v>
      </c>
      <c r="AG231" s="3" t="s">
        <v>2525</v>
      </c>
      <c r="AH231" s="3" t="s">
        <v>2525</v>
      </c>
      <c r="AI231" s="3" t="s">
        <v>129</v>
      </c>
      <c r="AJ231" s="3" t="s">
        <v>2525</v>
      </c>
      <c r="AK231" s="3" t="s">
        <v>2525</v>
      </c>
      <c r="AL231" s="3" t="s">
        <v>2525</v>
      </c>
      <c r="AM231" s="3" t="s">
        <v>2525</v>
      </c>
      <c r="AN231" s="3" t="s">
        <v>2525</v>
      </c>
      <c r="AO231" s="3" t="s">
        <v>2525</v>
      </c>
      <c r="AP231" s="3" t="s">
        <v>2525</v>
      </c>
      <c r="AR231" s="3" t="s">
        <v>2525</v>
      </c>
      <c r="AS231" s="3" t="s">
        <v>2525</v>
      </c>
      <c r="AT231" s="3" t="s">
        <v>2525</v>
      </c>
      <c r="AU231" s="3" t="s">
        <v>2525</v>
      </c>
      <c r="AV231" s="3" t="s">
        <v>2525</v>
      </c>
      <c r="AW231" s="3" t="s">
        <v>2525</v>
      </c>
      <c r="AX231" s="3" t="s">
        <v>2525</v>
      </c>
      <c r="AY231" s="3" t="s">
        <v>2525</v>
      </c>
      <c r="AZ231" s="3" t="s">
        <v>2525</v>
      </c>
      <c r="BA231" s="3" t="s">
        <v>2525</v>
      </c>
      <c r="BB231" s="3" t="s">
        <v>2525</v>
      </c>
      <c r="BC231" s="3" t="s">
        <v>84</v>
      </c>
      <c r="BD231" s="3" t="s">
        <v>2525</v>
      </c>
      <c r="BE231" s="3" t="s">
        <v>129</v>
      </c>
      <c r="BF231" s="3" t="s">
        <v>2525</v>
      </c>
      <c r="BG231" s="3" t="s">
        <v>2525</v>
      </c>
      <c r="BH231" s="3" t="s">
        <v>2525</v>
      </c>
      <c r="BI231" s="3" t="s">
        <v>2525</v>
      </c>
      <c r="BJ231" s="3" t="s">
        <v>2525</v>
      </c>
      <c r="BK231" s="3" t="s">
        <v>86</v>
      </c>
      <c r="BL231" s="3" t="s">
        <v>2525</v>
      </c>
      <c r="BN231" s="3" t="s">
        <v>2266</v>
      </c>
      <c r="BO231" s="3" t="s">
        <v>2267</v>
      </c>
    </row>
    <row r="232">
      <c r="A232" s="3" t="s">
        <v>2276</v>
      </c>
      <c r="B232" s="3" t="s">
        <v>2277</v>
      </c>
      <c r="C232" s="3" t="s">
        <v>92</v>
      </c>
      <c r="D232" s="3" t="s">
        <v>2278</v>
      </c>
      <c r="I232" s="3">
        <v>50.0</v>
      </c>
      <c r="J232" s="3" t="s">
        <v>823</v>
      </c>
      <c r="K232" s="3" t="s">
        <v>72</v>
      </c>
      <c r="L232" s="3" t="s">
        <v>73</v>
      </c>
      <c r="M232" s="3" t="s">
        <v>285</v>
      </c>
      <c r="N232" s="3">
        <v>-29.72972972972973</v>
      </c>
      <c r="P232" s="3" t="s">
        <v>149</v>
      </c>
      <c r="Q232" s="32" t="s">
        <v>2276</v>
      </c>
      <c r="R232" s="32" t="s">
        <v>137</v>
      </c>
      <c r="S232" s="32"/>
      <c r="T232" s="32"/>
      <c r="W232" s="3" t="s">
        <v>858</v>
      </c>
      <c r="Y232" s="3" t="s">
        <v>78</v>
      </c>
      <c r="Z232" s="3" t="s">
        <v>2279</v>
      </c>
      <c r="AA232" s="3" t="s">
        <v>2280</v>
      </c>
      <c r="AB232" s="3" t="s">
        <v>2281</v>
      </c>
      <c r="AC232" s="3" t="s">
        <v>2282</v>
      </c>
      <c r="AD232" s="3" t="s">
        <v>2283</v>
      </c>
      <c r="AE232" s="3" t="s">
        <v>83</v>
      </c>
      <c r="AF232" s="3" t="s">
        <v>85</v>
      </c>
      <c r="AG232" s="3" t="s">
        <v>2525</v>
      </c>
      <c r="AH232" s="3" t="s">
        <v>2525</v>
      </c>
      <c r="AI232" s="3" t="s">
        <v>2525</v>
      </c>
      <c r="AJ232" s="3" t="s">
        <v>2525</v>
      </c>
      <c r="AK232" s="3" t="s">
        <v>2525</v>
      </c>
      <c r="AL232" s="3" t="s">
        <v>2525</v>
      </c>
      <c r="AM232" s="3" t="s">
        <v>2525</v>
      </c>
      <c r="AN232" s="3" t="s">
        <v>2525</v>
      </c>
      <c r="AO232" s="3" t="s">
        <v>2525</v>
      </c>
      <c r="AP232" s="3" t="s">
        <v>84</v>
      </c>
      <c r="AR232" s="3" t="s">
        <v>2525</v>
      </c>
      <c r="AS232" s="3" t="s">
        <v>2525</v>
      </c>
      <c r="AT232" s="3" t="s">
        <v>2525</v>
      </c>
      <c r="AU232" s="3" t="s">
        <v>129</v>
      </c>
      <c r="AV232" s="3" t="s">
        <v>2525</v>
      </c>
      <c r="AW232" s="3" t="s">
        <v>129</v>
      </c>
      <c r="AX232" s="3" t="s">
        <v>2525</v>
      </c>
      <c r="AY232" s="3" t="s">
        <v>2525</v>
      </c>
      <c r="AZ232" s="3" t="s">
        <v>2525</v>
      </c>
      <c r="BA232" s="3" t="s">
        <v>84</v>
      </c>
      <c r="BB232" s="3" t="s">
        <v>2525</v>
      </c>
      <c r="BC232" s="3" t="s">
        <v>2525</v>
      </c>
      <c r="BD232" s="3" t="s">
        <v>2525</v>
      </c>
      <c r="BE232" s="3" t="s">
        <v>2525</v>
      </c>
      <c r="BF232" s="3" t="s">
        <v>2525</v>
      </c>
      <c r="BG232" s="3" t="s">
        <v>2525</v>
      </c>
      <c r="BH232" s="3" t="s">
        <v>2525</v>
      </c>
      <c r="BI232" s="3" t="s">
        <v>2525</v>
      </c>
      <c r="BJ232" s="3" t="s">
        <v>85</v>
      </c>
      <c r="BL232" s="3" t="s">
        <v>2525</v>
      </c>
      <c r="BN232" s="3" t="s">
        <v>137</v>
      </c>
      <c r="BO232" s="3" t="s">
        <v>137</v>
      </c>
    </row>
    <row r="233">
      <c r="A233" s="3" t="s">
        <v>2285</v>
      </c>
      <c r="B233" s="3" t="s">
        <v>2286</v>
      </c>
      <c r="C233" s="3" t="s">
        <v>92</v>
      </c>
      <c r="D233" s="3" t="s">
        <v>2287</v>
      </c>
      <c r="I233" s="3">
        <v>25.0</v>
      </c>
      <c r="J233" s="3" t="s">
        <v>159</v>
      </c>
      <c r="K233" s="3" t="s">
        <v>72</v>
      </c>
      <c r="L233" s="3" t="s">
        <v>73</v>
      </c>
      <c r="M233" s="3" t="s">
        <v>39</v>
      </c>
      <c r="N233" s="3">
        <v>-27.311827956989248</v>
      </c>
      <c r="P233" s="3" t="s">
        <v>75</v>
      </c>
      <c r="Q233" s="32" t="s">
        <v>2285</v>
      </c>
      <c r="R233" s="32" t="s">
        <v>454</v>
      </c>
      <c r="S233" s="32"/>
      <c r="T233" s="32"/>
      <c r="W233" s="3" t="s">
        <v>193</v>
      </c>
      <c r="X233" s="3" t="s">
        <v>77</v>
      </c>
      <c r="Y233" s="3" t="s">
        <v>78</v>
      </c>
      <c r="Z233" s="3" t="s">
        <v>1291</v>
      </c>
      <c r="AA233" s="3" t="s">
        <v>2288</v>
      </c>
      <c r="AB233" s="3" t="s">
        <v>2537</v>
      </c>
      <c r="AC233" s="3" t="s">
        <v>2290</v>
      </c>
      <c r="AE233" s="3" t="s">
        <v>83</v>
      </c>
      <c r="AF233" s="3" t="s">
        <v>84</v>
      </c>
      <c r="AG233" s="3" t="s">
        <v>84</v>
      </c>
      <c r="AH233" s="3" t="s">
        <v>2525</v>
      </c>
      <c r="AI233" s="3" t="s">
        <v>2525</v>
      </c>
      <c r="AJ233" s="3" t="s">
        <v>2525</v>
      </c>
      <c r="AK233" s="3" t="s">
        <v>85</v>
      </c>
      <c r="AL233" s="3" t="s">
        <v>2525</v>
      </c>
      <c r="AM233" s="3" t="s">
        <v>85</v>
      </c>
      <c r="AN233" s="3" t="s">
        <v>84</v>
      </c>
      <c r="AO233" s="3" t="s">
        <v>2525</v>
      </c>
      <c r="AP233" s="3" t="s">
        <v>85</v>
      </c>
      <c r="AR233" s="3" t="s">
        <v>2525</v>
      </c>
      <c r="AS233" s="3" t="s">
        <v>84</v>
      </c>
      <c r="AT233" s="3" t="s">
        <v>2525</v>
      </c>
      <c r="AU233" s="3" t="s">
        <v>2525</v>
      </c>
      <c r="AV233" s="3" t="s">
        <v>2525</v>
      </c>
      <c r="AW233" s="3" t="s">
        <v>2525</v>
      </c>
      <c r="AX233" s="3" t="s">
        <v>2525</v>
      </c>
      <c r="AY233" s="3" t="s">
        <v>2525</v>
      </c>
      <c r="AZ233" s="3" t="s">
        <v>84</v>
      </c>
      <c r="BA233" s="3" t="s">
        <v>84</v>
      </c>
      <c r="BB233" s="3" t="s">
        <v>2525</v>
      </c>
      <c r="BC233" s="3" t="s">
        <v>2525</v>
      </c>
      <c r="BD233" s="3" t="s">
        <v>85</v>
      </c>
      <c r="BE233" s="3" t="s">
        <v>2525</v>
      </c>
      <c r="BF233" s="3" t="s">
        <v>2525</v>
      </c>
      <c r="BG233" s="3" t="s">
        <v>2525</v>
      </c>
      <c r="BH233" s="3" t="s">
        <v>2525</v>
      </c>
      <c r="BI233" s="3" t="s">
        <v>2525</v>
      </c>
      <c r="BJ233" s="3" t="s">
        <v>85</v>
      </c>
      <c r="BK233" s="3" t="s">
        <v>86</v>
      </c>
      <c r="BL233" s="3" t="s">
        <v>2525</v>
      </c>
      <c r="BN233" s="3" t="s">
        <v>2291</v>
      </c>
      <c r="BO233" s="3" t="s">
        <v>517</v>
      </c>
    </row>
    <row r="234">
      <c r="A234" s="3" t="s">
        <v>2293</v>
      </c>
      <c r="B234" s="3" t="s">
        <v>2294</v>
      </c>
      <c r="C234" s="3" t="s">
        <v>92</v>
      </c>
      <c r="D234" s="3" t="s">
        <v>2295</v>
      </c>
      <c r="I234" s="3">
        <v>15.0</v>
      </c>
      <c r="J234" s="3" t="s">
        <v>71</v>
      </c>
      <c r="K234" s="3" t="s">
        <v>72</v>
      </c>
      <c r="L234" s="3" t="s">
        <v>2525</v>
      </c>
      <c r="M234" s="3" t="s">
        <v>492</v>
      </c>
      <c r="P234" s="3" t="s">
        <v>110</v>
      </c>
      <c r="Q234" s="32" t="s">
        <v>2293</v>
      </c>
      <c r="R234" s="32" t="s">
        <v>2296</v>
      </c>
      <c r="S234" s="32"/>
      <c r="T234" s="32"/>
      <c r="X234" s="3" t="s">
        <v>77</v>
      </c>
      <c r="Y234" s="3" t="s">
        <v>78</v>
      </c>
      <c r="Z234" s="3" t="s">
        <v>2297</v>
      </c>
      <c r="AA234" s="3" t="s">
        <v>2298</v>
      </c>
      <c r="AB234" s="3" t="s">
        <v>2299</v>
      </c>
      <c r="AC234" s="3" t="s">
        <v>2300</v>
      </c>
      <c r="AE234" s="3" t="s">
        <v>83</v>
      </c>
      <c r="AF234" s="3" t="s">
        <v>2525</v>
      </c>
      <c r="AG234" s="3" t="s">
        <v>2525</v>
      </c>
      <c r="AH234" s="3" t="s">
        <v>2525</v>
      </c>
      <c r="AI234" s="3" t="s">
        <v>2525</v>
      </c>
      <c r="AJ234" s="3" t="s">
        <v>2525</v>
      </c>
      <c r="AK234" s="3" t="s">
        <v>2525</v>
      </c>
      <c r="AL234" s="3" t="s">
        <v>2525</v>
      </c>
      <c r="AM234" s="3" t="s">
        <v>2525</v>
      </c>
      <c r="AN234" s="3" t="s">
        <v>2525</v>
      </c>
      <c r="AO234" s="3" t="s">
        <v>2525</v>
      </c>
      <c r="AP234" s="3" t="s">
        <v>2525</v>
      </c>
      <c r="AR234" s="3" t="s">
        <v>2525</v>
      </c>
      <c r="AS234" s="3" t="s">
        <v>2525</v>
      </c>
      <c r="AT234" s="3" t="s">
        <v>2525</v>
      </c>
      <c r="AU234" s="3" t="s">
        <v>2525</v>
      </c>
      <c r="AV234" s="3" t="s">
        <v>85</v>
      </c>
      <c r="AW234" s="3" t="s">
        <v>2525</v>
      </c>
      <c r="AX234" s="3" t="s">
        <v>2525</v>
      </c>
      <c r="AY234" s="3" t="s">
        <v>2525</v>
      </c>
      <c r="AZ234" s="3" t="s">
        <v>2525</v>
      </c>
      <c r="BA234" s="3" t="s">
        <v>2525</v>
      </c>
      <c r="BB234" s="3" t="s">
        <v>2525</v>
      </c>
      <c r="BC234" s="3" t="s">
        <v>2525</v>
      </c>
      <c r="BD234" s="3" t="s">
        <v>2525</v>
      </c>
      <c r="BE234" s="3" t="s">
        <v>2525</v>
      </c>
      <c r="BF234" s="3" t="s">
        <v>2525</v>
      </c>
      <c r="BG234" s="3" t="s">
        <v>2525</v>
      </c>
      <c r="BH234" s="3" t="s">
        <v>2525</v>
      </c>
      <c r="BI234" s="3" t="s">
        <v>2525</v>
      </c>
      <c r="BJ234" s="3" t="s">
        <v>2525</v>
      </c>
      <c r="BK234" s="3" t="s">
        <v>86</v>
      </c>
      <c r="BL234" s="3" t="s">
        <v>2525</v>
      </c>
    </row>
    <row r="235">
      <c r="A235" s="3" t="s">
        <v>2302</v>
      </c>
      <c r="B235" s="3" t="s">
        <v>2303</v>
      </c>
      <c r="C235" s="3" t="s">
        <v>92</v>
      </c>
      <c r="D235" s="3" t="s">
        <v>2304</v>
      </c>
      <c r="I235" s="3">
        <v>20.0</v>
      </c>
      <c r="J235" s="3" t="s">
        <v>71</v>
      </c>
      <c r="K235" s="3" t="s">
        <v>72</v>
      </c>
      <c r="L235" s="3" t="s">
        <v>2525</v>
      </c>
      <c r="M235" s="3" t="s">
        <v>2305</v>
      </c>
      <c r="P235" s="3" t="s">
        <v>110</v>
      </c>
      <c r="Q235" s="32" t="s">
        <v>2302</v>
      </c>
      <c r="R235" s="32" t="s">
        <v>584</v>
      </c>
      <c r="S235" s="32"/>
      <c r="T235" s="32"/>
      <c r="X235" s="3" t="s">
        <v>77</v>
      </c>
      <c r="Y235" s="3" t="s">
        <v>78</v>
      </c>
      <c r="Z235" s="3" t="s">
        <v>2306</v>
      </c>
      <c r="AA235" s="3" t="s">
        <v>585</v>
      </c>
      <c r="AB235" s="3" t="s">
        <v>2307</v>
      </c>
      <c r="AC235" s="3" t="s">
        <v>2308</v>
      </c>
      <c r="AE235" s="3" t="s">
        <v>83</v>
      </c>
      <c r="AF235" s="3" t="s">
        <v>2525</v>
      </c>
      <c r="AG235" s="3" t="s">
        <v>2525</v>
      </c>
      <c r="AH235" s="3" t="s">
        <v>2525</v>
      </c>
      <c r="AI235" s="3" t="s">
        <v>2525</v>
      </c>
      <c r="AJ235" s="3" t="s">
        <v>2525</v>
      </c>
      <c r="AK235" s="3" t="s">
        <v>2525</v>
      </c>
      <c r="AL235" s="3" t="s">
        <v>2525</v>
      </c>
      <c r="AM235" s="3" t="s">
        <v>2525</v>
      </c>
      <c r="AN235" s="3" t="s">
        <v>2525</v>
      </c>
      <c r="AO235" s="3" t="s">
        <v>2525</v>
      </c>
      <c r="AP235" s="3" t="s">
        <v>2525</v>
      </c>
      <c r="AR235" s="3" t="s">
        <v>2525</v>
      </c>
      <c r="AS235" s="3" t="s">
        <v>2525</v>
      </c>
      <c r="AT235" s="3" t="s">
        <v>2525</v>
      </c>
      <c r="AU235" s="3" t="s">
        <v>2525</v>
      </c>
      <c r="AV235" s="3" t="s">
        <v>85</v>
      </c>
      <c r="AW235" s="3" t="s">
        <v>2525</v>
      </c>
      <c r="AX235" s="3" t="s">
        <v>2525</v>
      </c>
      <c r="AY235" s="3" t="s">
        <v>2525</v>
      </c>
      <c r="AZ235" s="3" t="s">
        <v>2525</v>
      </c>
      <c r="BA235" s="3" t="s">
        <v>2525</v>
      </c>
      <c r="BB235" s="3" t="s">
        <v>2525</v>
      </c>
      <c r="BC235" s="3" t="s">
        <v>2525</v>
      </c>
      <c r="BD235" s="3" t="s">
        <v>2525</v>
      </c>
      <c r="BE235" s="3" t="s">
        <v>2525</v>
      </c>
      <c r="BF235" s="3" t="s">
        <v>2525</v>
      </c>
      <c r="BG235" s="3" t="s">
        <v>2525</v>
      </c>
      <c r="BH235" s="3" t="s">
        <v>2525</v>
      </c>
      <c r="BI235" s="3" t="s">
        <v>2525</v>
      </c>
      <c r="BJ235" s="3" t="s">
        <v>2525</v>
      </c>
      <c r="BK235" s="3" t="s">
        <v>86</v>
      </c>
      <c r="BL235" s="3" t="s">
        <v>2525</v>
      </c>
      <c r="BN235" s="3" t="s">
        <v>370</v>
      </c>
    </row>
    <row r="236">
      <c r="A236" s="3" t="s">
        <v>2310</v>
      </c>
      <c r="B236" s="3" t="s">
        <v>2311</v>
      </c>
      <c r="C236" s="3" t="s">
        <v>92</v>
      </c>
      <c r="D236" s="3" t="s">
        <v>2312</v>
      </c>
      <c r="I236" s="3">
        <v>21.0</v>
      </c>
      <c r="J236" s="3" t="s">
        <v>630</v>
      </c>
      <c r="K236" s="3" t="s">
        <v>72</v>
      </c>
      <c r="L236" s="3" t="s">
        <v>108</v>
      </c>
      <c r="M236" s="3" t="s">
        <v>2525</v>
      </c>
      <c r="P236" s="3" t="s">
        <v>110</v>
      </c>
      <c r="Q236" s="32" t="s">
        <v>2310</v>
      </c>
      <c r="R236" s="32"/>
      <c r="S236" s="32"/>
      <c r="T236" s="32"/>
      <c r="Z236" s="3" t="s">
        <v>2313</v>
      </c>
      <c r="AA236" s="3" t="s">
        <v>2314</v>
      </c>
      <c r="AB236" s="3" t="s">
        <v>2315</v>
      </c>
      <c r="AC236" s="3" t="s">
        <v>2538</v>
      </c>
      <c r="AE236" s="3" t="s">
        <v>83</v>
      </c>
      <c r="BL236" s="3" t="s">
        <v>2525</v>
      </c>
    </row>
    <row r="237">
      <c r="A237" s="3" t="s">
        <v>2318</v>
      </c>
      <c r="B237" s="3" t="s">
        <v>2319</v>
      </c>
      <c r="C237" s="3" t="s">
        <v>92</v>
      </c>
      <c r="D237" s="3" t="s">
        <v>2320</v>
      </c>
      <c r="I237" s="3">
        <v>17.0</v>
      </c>
      <c r="J237" s="3" t="s">
        <v>71</v>
      </c>
      <c r="K237" s="3" t="s">
        <v>72</v>
      </c>
      <c r="L237" s="3" t="s">
        <v>73</v>
      </c>
      <c r="M237" s="3" t="s">
        <v>74</v>
      </c>
      <c r="P237" s="3" t="s">
        <v>110</v>
      </c>
      <c r="Q237" s="32" t="s">
        <v>2318</v>
      </c>
      <c r="R237" s="32" t="s">
        <v>2321</v>
      </c>
      <c r="S237" s="32"/>
      <c r="T237" s="32"/>
      <c r="X237" s="3" t="s">
        <v>77</v>
      </c>
      <c r="Y237" s="3" t="s">
        <v>78</v>
      </c>
      <c r="Z237" s="3" t="s">
        <v>2322</v>
      </c>
      <c r="AA237" s="3" t="s">
        <v>2323</v>
      </c>
      <c r="AB237" s="3" t="s">
        <v>2324</v>
      </c>
      <c r="AC237" s="3" t="s">
        <v>2325</v>
      </c>
      <c r="AE237" s="3" t="s">
        <v>83</v>
      </c>
      <c r="AF237" s="3" t="s">
        <v>84</v>
      </c>
      <c r="AG237" s="3" t="s">
        <v>84</v>
      </c>
      <c r="AH237" s="3" t="s">
        <v>2525</v>
      </c>
      <c r="AI237" s="3" t="s">
        <v>2525</v>
      </c>
      <c r="AJ237" s="3" t="s">
        <v>2525</v>
      </c>
      <c r="AK237" s="3" t="s">
        <v>85</v>
      </c>
      <c r="AL237" s="3" t="s">
        <v>85</v>
      </c>
      <c r="AM237" s="3" t="s">
        <v>85</v>
      </c>
      <c r="AN237" s="3" t="s">
        <v>85</v>
      </c>
      <c r="AO237" s="3" t="s">
        <v>2525</v>
      </c>
      <c r="AP237" s="3" t="s">
        <v>2525</v>
      </c>
      <c r="AR237" s="3" t="s">
        <v>2525</v>
      </c>
      <c r="AS237" s="3" t="s">
        <v>85</v>
      </c>
      <c r="AT237" s="3" t="s">
        <v>2525</v>
      </c>
      <c r="AU237" s="3" t="s">
        <v>2525</v>
      </c>
      <c r="AV237" s="3" t="s">
        <v>2525</v>
      </c>
      <c r="AW237" s="3" t="s">
        <v>2525</v>
      </c>
      <c r="AX237" s="3" t="s">
        <v>2525</v>
      </c>
      <c r="AY237" s="3" t="s">
        <v>2525</v>
      </c>
      <c r="AZ237" s="3" t="s">
        <v>2525</v>
      </c>
      <c r="BA237" s="3" t="s">
        <v>85</v>
      </c>
      <c r="BB237" s="3" t="s">
        <v>2525</v>
      </c>
      <c r="BC237" s="3" t="s">
        <v>84</v>
      </c>
      <c r="BD237" s="3" t="s">
        <v>84</v>
      </c>
      <c r="BE237" s="3" t="s">
        <v>2525</v>
      </c>
      <c r="BF237" s="3" t="s">
        <v>2525</v>
      </c>
      <c r="BG237" s="3" t="s">
        <v>2525</v>
      </c>
      <c r="BH237" s="3" t="s">
        <v>2525</v>
      </c>
      <c r="BI237" s="3" t="s">
        <v>2525</v>
      </c>
      <c r="BJ237" s="3" t="s">
        <v>85</v>
      </c>
      <c r="BK237" s="3" t="s">
        <v>86</v>
      </c>
      <c r="BL237" s="3" t="s">
        <v>2525</v>
      </c>
      <c r="BM237" s="3" t="s">
        <v>86</v>
      </c>
      <c r="BN237" s="3" t="s">
        <v>2326</v>
      </c>
      <c r="BO237" s="3" t="s">
        <v>2327</v>
      </c>
      <c r="BP237" s="3" t="s">
        <v>1224</v>
      </c>
    </row>
    <row r="238">
      <c r="A238" s="3" t="s">
        <v>2329</v>
      </c>
      <c r="B238" s="3" t="s">
        <v>2330</v>
      </c>
      <c r="C238" s="3" t="s">
        <v>92</v>
      </c>
      <c r="D238" s="3" t="s">
        <v>2331</v>
      </c>
      <c r="E238" s="3" t="s">
        <v>2332</v>
      </c>
      <c r="I238" s="3">
        <v>22.0</v>
      </c>
      <c r="J238" s="3" t="s">
        <v>630</v>
      </c>
      <c r="K238" s="3" t="s">
        <v>72</v>
      </c>
      <c r="L238" s="3" t="s">
        <v>73</v>
      </c>
      <c r="M238" s="3" t="s">
        <v>41</v>
      </c>
      <c r="P238" s="3" t="s">
        <v>149</v>
      </c>
      <c r="Q238" s="32" t="s">
        <v>2329</v>
      </c>
      <c r="R238" s="32"/>
      <c r="S238" s="32"/>
      <c r="T238" s="32"/>
      <c r="Y238" s="3" t="s">
        <v>78</v>
      </c>
      <c r="AA238" s="3" t="s">
        <v>2333</v>
      </c>
      <c r="AB238" s="3" t="s">
        <v>2539</v>
      </c>
      <c r="AC238" s="3" t="s">
        <v>2540</v>
      </c>
      <c r="AE238" s="3" t="s">
        <v>83</v>
      </c>
      <c r="AF238" s="3" t="s">
        <v>2525</v>
      </c>
      <c r="AG238" s="3" t="s">
        <v>2525</v>
      </c>
      <c r="AH238" s="3" t="s">
        <v>2525</v>
      </c>
      <c r="AI238" s="3" t="s">
        <v>2525</v>
      </c>
      <c r="AJ238" s="3" t="s">
        <v>2525</v>
      </c>
      <c r="AK238" s="3" t="s">
        <v>2525</v>
      </c>
      <c r="AL238" s="3" t="s">
        <v>2525</v>
      </c>
      <c r="AM238" s="3" t="s">
        <v>2525</v>
      </c>
      <c r="AN238" s="3" t="s">
        <v>2525</v>
      </c>
      <c r="AO238" s="3" t="s">
        <v>2525</v>
      </c>
      <c r="AP238" s="3" t="s">
        <v>84</v>
      </c>
      <c r="AR238" s="3" t="s">
        <v>2525</v>
      </c>
      <c r="AS238" s="3" t="s">
        <v>2525</v>
      </c>
      <c r="AT238" s="3" t="s">
        <v>2525</v>
      </c>
      <c r="AU238" s="3" t="s">
        <v>2525</v>
      </c>
      <c r="AV238" s="3" t="s">
        <v>2525</v>
      </c>
      <c r="AW238" s="3" t="s">
        <v>2525</v>
      </c>
      <c r="AX238" s="3" t="s">
        <v>2525</v>
      </c>
      <c r="AY238" s="3" t="s">
        <v>2525</v>
      </c>
      <c r="AZ238" s="3" t="s">
        <v>2525</v>
      </c>
      <c r="BA238" s="3" t="s">
        <v>2525</v>
      </c>
      <c r="BB238" s="3" t="s">
        <v>2525</v>
      </c>
      <c r="BC238" s="3" t="s">
        <v>2525</v>
      </c>
      <c r="BD238" s="3" t="s">
        <v>2525</v>
      </c>
      <c r="BE238" s="3" t="s">
        <v>2525</v>
      </c>
      <c r="BF238" s="3" t="s">
        <v>2525</v>
      </c>
      <c r="BG238" s="3" t="s">
        <v>2525</v>
      </c>
      <c r="BH238" s="3" t="s">
        <v>2525</v>
      </c>
      <c r="BI238" s="3" t="s">
        <v>2525</v>
      </c>
      <c r="BJ238" s="3" t="s">
        <v>2525</v>
      </c>
      <c r="BL238" s="3" t="s">
        <v>2525</v>
      </c>
    </row>
    <row r="239">
      <c r="A239" s="3" t="s">
        <v>2337</v>
      </c>
      <c r="B239" s="3" t="s">
        <v>2338</v>
      </c>
      <c r="C239" s="3" t="s">
        <v>70</v>
      </c>
      <c r="D239" s="3" t="s">
        <v>2339</v>
      </c>
      <c r="E239" s="3" t="s">
        <v>2340</v>
      </c>
      <c r="I239" s="3">
        <v>30.0</v>
      </c>
      <c r="J239" s="3" t="s">
        <v>630</v>
      </c>
      <c r="K239" s="3" t="s">
        <v>72</v>
      </c>
      <c r="L239" s="3" t="s">
        <v>2525</v>
      </c>
      <c r="M239" s="3" t="s">
        <v>2341</v>
      </c>
      <c r="P239" s="3" t="s">
        <v>149</v>
      </c>
      <c r="Q239" s="32" t="s">
        <v>2337</v>
      </c>
      <c r="R239" s="32"/>
      <c r="S239" s="32"/>
      <c r="T239" s="32"/>
      <c r="X239" s="3" t="s">
        <v>77</v>
      </c>
      <c r="Y239" s="3" t="s">
        <v>78</v>
      </c>
      <c r="Z239" s="3" t="s">
        <v>2342</v>
      </c>
      <c r="AA239" s="3" t="s">
        <v>2343</v>
      </c>
      <c r="AB239" s="3" t="s">
        <v>2344</v>
      </c>
      <c r="AC239" s="3" t="s">
        <v>2541</v>
      </c>
      <c r="AE239" s="3" t="s">
        <v>83</v>
      </c>
      <c r="BK239" s="3" t="s">
        <v>86</v>
      </c>
      <c r="BL239" s="3" t="s">
        <v>86</v>
      </c>
    </row>
    <row r="240">
      <c r="A240" s="3" t="s">
        <v>2347</v>
      </c>
      <c r="B240" s="3" t="s">
        <v>2348</v>
      </c>
      <c r="C240" s="3" t="s">
        <v>70</v>
      </c>
      <c r="D240" s="3" t="s">
        <v>2349</v>
      </c>
      <c r="E240" s="3" t="s">
        <v>2350</v>
      </c>
      <c r="I240" s="3">
        <v>32.0</v>
      </c>
      <c r="J240" s="3" t="s">
        <v>630</v>
      </c>
      <c r="K240" s="3" t="s">
        <v>72</v>
      </c>
      <c r="L240" s="3" t="s">
        <v>2525</v>
      </c>
      <c r="M240" s="3" t="s">
        <v>2351</v>
      </c>
      <c r="P240" s="3" t="s">
        <v>149</v>
      </c>
      <c r="Q240" s="32" t="s">
        <v>2347</v>
      </c>
      <c r="R240" s="32"/>
      <c r="S240" s="32"/>
      <c r="T240" s="32"/>
      <c r="X240" s="3" t="s">
        <v>77</v>
      </c>
      <c r="Y240" s="3" t="s">
        <v>78</v>
      </c>
      <c r="Z240" s="3" t="s">
        <v>2352</v>
      </c>
      <c r="AA240" s="3" t="s">
        <v>2353</v>
      </c>
      <c r="AB240" s="3" t="s">
        <v>2354</v>
      </c>
      <c r="AC240" s="3" t="s">
        <v>2542</v>
      </c>
      <c r="AE240" s="3" t="s">
        <v>83</v>
      </c>
      <c r="AF240" s="3" t="s">
        <v>2525</v>
      </c>
      <c r="AG240" s="3" t="s">
        <v>2525</v>
      </c>
      <c r="AH240" s="3" t="s">
        <v>2525</v>
      </c>
      <c r="AI240" s="3" t="s">
        <v>2525</v>
      </c>
      <c r="AJ240" s="3" t="s">
        <v>2525</v>
      </c>
      <c r="AK240" s="3" t="s">
        <v>2525</v>
      </c>
      <c r="AL240" s="3" t="s">
        <v>2525</v>
      </c>
      <c r="AM240" s="3" t="s">
        <v>2525</v>
      </c>
      <c r="AN240" s="3" t="s">
        <v>2525</v>
      </c>
      <c r="AO240" s="3" t="s">
        <v>2525</v>
      </c>
      <c r="AP240" s="3" t="s">
        <v>2525</v>
      </c>
      <c r="AR240" s="3" t="s">
        <v>84</v>
      </c>
      <c r="AS240" s="3" t="s">
        <v>2525</v>
      </c>
      <c r="AT240" s="3" t="s">
        <v>2525</v>
      </c>
      <c r="AU240" s="3" t="s">
        <v>2525</v>
      </c>
      <c r="AV240" s="3" t="s">
        <v>2525</v>
      </c>
      <c r="AW240" s="3" t="s">
        <v>2525</v>
      </c>
      <c r="AX240" s="3" t="s">
        <v>2525</v>
      </c>
      <c r="AY240" s="3" t="s">
        <v>2525</v>
      </c>
      <c r="AZ240" s="3" t="s">
        <v>2525</v>
      </c>
      <c r="BA240" s="3" t="s">
        <v>2525</v>
      </c>
      <c r="BB240" s="3" t="s">
        <v>2525</v>
      </c>
      <c r="BC240" s="3" t="s">
        <v>2525</v>
      </c>
      <c r="BD240" s="3" t="s">
        <v>2525</v>
      </c>
      <c r="BE240" s="3" t="s">
        <v>2525</v>
      </c>
      <c r="BF240" s="3" t="s">
        <v>2525</v>
      </c>
      <c r="BG240" s="3" t="s">
        <v>2525</v>
      </c>
      <c r="BH240" s="3" t="s">
        <v>2525</v>
      </c>
      <c r="BI240" s="3" t="s">
        <v>2525</v>
      </c>
      <c r="BJ240" s="3" t="s">
        <v>2525</v>
      </c>
      <c r="BK240" s="3" t="s">
        <v>86</v>
      </c>
      <c r="BL240" s="3" t="s">
        <v>86</v>
      </c>
    </row>
    <row r="241">
      <c r="A241" s="3" t="s">
        <v>2357</v>
      </c>
      <c r="B241" s="3" t="s">
        <v>2358</v>
      </c>
      <c r="C241" s="3" t="s">
        <v>92</v>
      </c>
      <c r="D241" s="3" t="s">
        <v>2359</v>
      </c>
      <c r="I241" s="3">
        <v>10.0</v>
      </c>
      <c r="J241" s="3" t="s">
        <v>71</v>
      </c>
      <c r="K241" s="3" t="s">
        <v>72</v>
      </c>
      <c r="L241" s="3" t="s">
        <v>108</v>
      </c>
      <c r="M241" s="3" t="s">
        <v>109</v>
      </c>
      <c r="P241" s="3" t="s">
        <v>2525</v>
      </c>
      <c r="Q241" s="32" t="s">
        <v>2357</v>
      </c>
      <c r="R241" s="32" t="s">
        <v>2360</v>
      </c>
      <c r="S241" s="32"/>
      <c r="T241" s="32"/>
      <c r="Y241" s="3" t="s">
        <v>138</v>
      </c>
      <c r="Z241" s="3" t="s">
        <v>2361</v>
      </c>
      <c r="AA241" s="3" t="s">
        <v>2362</v>
      </c>
      <c r="AB241" s="3" t="s">
        <v>2363</v>
      </c>
      <c r="AC241" s="3" t="s">
        <v>2364</v>
      </c>
      <c r="AE241" s="3" t="s">
        <v>83</v>
      </c>
      <c r="BL241" s="3" t="s">
        <v>2525</v>
      </c>
    </row>
    <row r="242">
      <c r="A242" s="3" t="s">
        <v>2366</v>
      </c>
      <c r="B242" s="3" t="s">
        <v>2367</v>
      </c>
      <c r="C242" s="3" t="s">
        <v>92</v>
      </c>
      <c r="D242" s="3" t="s">
        <v>2368</v>
      </c>
      <c r="I242" s="3">
        <v>10.0</v>
      </c>
      <c r="J242" s="3" t="s">
        <v>630</v>
      </c>
      <c r="K242" s="3" t="s">
        <v>72</v>
      </c>
      <c r="L242" s="3" t="s">
        <v>108</v>
      </c>
      <c r="M242" s="3" t="s">
        <v>109</v>
      </c>
      <c r="P242" s="3" t="s">
        <v>110</v>
      </c>
      <c r="Q242" s="32" t="s">
        <v>2366</v>
      </c>
      <c r="R242" s="32" t="s">
        <v>2360</v>
      </c>
      <c r="S242" s="32"/>
      <c r="T242" s="32"/>
      <c r="Y242" s="3" t="s">
        <v>138</v>
      </c>
      <c r="Z242" s="3" t="s">
        <v>2369</v>
      </c>
      <c r="AA242" s="3" t="s">
        <v>2370</v>
      </c>
      <c r="AB242" s="3" t="s">
        <v>2371</v>
      </c>
      <c r="AC242" s="3" t="s">
        <v>2372</v>
      </c>
      <c r="AE242" s="3" t="s">
        <v>83</v>
      </c>
      <c r="BL242" s="3" t="s">
        <v>2525</v>
      </c>
    </row>
    <row r="243">
      <c r="A243" s="3" t="s">
        <v>2374</v>
      </c>
      <c r="B243" s="3" t="s">
        <v>2375</v>
      </c>
      <c r="C243" s="3" t="s">
        <v>92</v>
      </c>
      <c r="D243" s="3" t="s">
        <v>2376</v>
      </c>
      <c r="I243" s="3">
        <v>18.0</v>
      </c>
      <c r="J243" s="3" t="s">
        <v>71</v>
      </c>
      <c r="K243" s="3" t="s">
        <v>72</v>
      </c>
      <c r="L243" s="3" t="s">
        <v>108</v>
      </c>
      <c r="M243" s="3" t="s">
        <v>109</v>
      </c>
      <c r="P243" s="3" t="s">
        <v>110</v>
      </c>
      <c r="Q243" s="32" t="s">
        <v>2374</v>
      </c>
      <c r="R243" s="32" t="s">
        <v>204</v>
      </c>
      <c r="S243" s="32"/>
      <c r="T243" s="32"/>
      <c r="Y243" s="3" t="s">
        <v>138</v>
      </c>
      <c r="Z243" s="3" t="s">
        <v>2374</v>
      </c>
      <c r="AA243" s="3" t="s">
        <v>2377</v>
      </c>
      <c r="AB243" s="3" t="s">
        <v>2378</v>
      </c>
      <c r="AC243" s="3" t="s">
        <v>2379</v>
      </c>
      <c r="AE243" s="3" t="s">
        <v>83</v>
      </c>
      <c r="AF243" s="3" t="s">
        <v>2525</v>
      </c>
      <c r="AG243" s="3" t="s">
        <v>2525</v>
      </c>
      <c r="AH243" s="3" t="s">
        <v>85</v>
      </c>
      <c r="AI243" s="3" t="s">
        <v>85</v>
      </c>
      <c r="AJ243" s="3" t="s">
        <v>2525</v>
      </c>
      <c r="AK243" s="3" t="s">
        <v>2525</v>
      </c>
      <c r="AL243" s="3" t="s">
        <v>2525</v>
      </c>
      <c r="AM243" s="3" t="s">
        <v>2525</v>
      </c>
      <c r="AN243" s="3" t="s">
        <v>2525</v>
      </c>
      <c r="AO243" s="3" t="s">
        <v>2525</v>
      </c>
      <c r="AP243" s="3" t="s">
        <v>2525</v>
      </c>
      <c r="AR243" s="3" t="s">
        <v>2525</v>
      </c>
      <c r="AS243" s="3" t="s">
        <v>2525</v>
      </c>
      <c r="AT243" s="3" t="s">
        <v>2525</v>
      </c>
      <c r="AU243" s="3" t="s">
        <v>2525</v>
      </c>
      <c r="AV243" s="3" t="s">
        <v>2525</v>
      </c>
      <c r="AW243" s="3" t="s">
        <v>2525</v>
      </c>
      <c r="AX243" s="3" t="s">
        <v>2525</v>
      </c>
      <c r="AY243" s="3" t="s">
        <v>2525</v>
      </c>
      <c r="AZ243" s="3" t="s">
        <v>2525</v>
      </c>
      <c r="BA243" s="3" t="s">
        <v>2525</v>
      </c>
      <c r="BB243" s="3" t="s">
        <v>2525</v>
      </c>
      <c r="BC243" s="3" t="s">
        <v>2525</v>
      </c>
      <c r="BD243" s="3" t="s">
        <v>2525</v>
      </c>
      <c r="BE243" s="3" t="s">
        <v>129</v>
      </c>
      <c r="BF243" s="3" t="s">
        <v>2525</v>
      </c>
      <c r="BG243" s="3" t="s">
        <v>2525</v>
      </c>
      <c r="BH243" s="3" t="s">
        <v>2525</v>
      </c>
      <c r="BI243" s="3" t="s">
        <v>2525</v>
      </c>
      <c r="BJ243" s="3" t="s">
        <v>2525</v>
      </c>
      <c r="BL243" s="3" t="s">
        <v>2525</v>
      </c>
    </row>
    <row r="244">
      <c r="A244" s="3" t="s">
        <v>2381</v>
      </c>
      <c r="B244" s="3" t="s">
        <v>2382</v>
      </c>
      <c r="C244" s="3" t="s">
        <v>92</v>
      </c>
      <c r="D244" s="3" t="s">
        <v>2383</v>
      </c>
      <c r="I244" s="3">
        <v>15.0</v>
      </c>
      <c r="J244" s="3" t="s">
        <v>71</v>
      </c>
      <c r="K244" s="3" t="s">
        <v>72</v>
      </c>
      <c r="L244" s="3" t="s">
        <v>2525</v>
      </c>
      <c r="M244" s="3" t="s">
        <v>1250</v>
      </c>
      <c r="P244" s="3" t="s">
        <v>110</v>
      </c>
      <c r="Q244" s="32" t="s">
        <v>2381</v>
      </c>
      <c r="R244" s="32" t="s">
        <v>2384</v>
      </c>
      <c r="S244" s="32"/>
      <c r="T244" s="32"/>
      <c r="Y244" s="3" t="s">
        <v>138</v>
      </c>
      <c r="Z244" s="3" t="s">
        <v>2385</v>
      </c>
      <c r="AA244" s="3" t="s">
        <v>2386</v>
      </c>
      <c r="AB244" s="3" t="s">
        <v>2387</v>
      </c>
      <c r="AC244" s="3" t="s">
        <v>2388</v>
      </c>
      <c r="AE244" s="3" t="s">
        <v>83</v>
      </c>
      <c r="AF244" s="3" t="s">
        <v>2525</v>
      </c>
      <c r="AG244" s="3" t="s">
        <v>2525</v>
      </c>
      <c r="AH244" s="3" t="s">
        <v>2525</v>
      </c>
      <c r="AI244" s="3" t="s">
        <v>2525</v>
      </c>
      <c r="AJ244" s="3" t="s">
        <v>2525</v>
      </c>
      <c r="AK244" s="3" t="s">
        <v>2525</v>
      </c>
      <c r="AL244" s="3" t="s">
        <v>2525</v>
      </c>
      <c r="AM244" s="3" t="s">
        <v>2525</v>
      </c>
      <c r="AN244" s="3" t="s">
        <v>2525</v>
      </c>
      <c r="AO244" s="3" t="s">
        <v>2525</v>
      </c>
      <c r="AP244" s="3" t="s">
        <v>2525</v>
      </c>
      <c r="AR244" s="3" t="s">
        <v>85</v>
      </c>
      <c r="AS244" s="3" t="s">
        <v>2525</v>
      </c>
      <c r="AT244" s="3" t="s">
        <v>2525</v>
      </c>
      <c r="AU244" s="3" t="s">
        <v>2525</v>
      </c>
      <c r="AV244" s="3" t="s">
        <v>2525</v>
      </c>
      <c r="AW244" s="3" t="s">
        <v>2525</v>
      </c>
      <c r="AX244" s="3" t="s">
        <v>2525</v>
      </c>
      <c r="AY244" s="3" t="s">
        <v>2525</v>
      </c>
      <c r="AZ244" s="3" t="s">
        <v>2525</v>
      </c>
      <c r="BA244" s="3" t="s">
        <v>2525</v>
      </c>
      <c r="BB244" s="3" t="s">
        <v>2525</v>
      </c>
      <c r="BC244" s="3" t="s">
        <v>2525</v>
      </c>
      <c r="BD244" s="3" t="s">
        <v>2525</v>
      </c>
      <c r="BE244" s="3" t="s">
        <v>2525</v>
      </c>
      <c r="BF244" s="3" t="s">
        <v>84</v>
      </c>
      <c r="BG244" s="3" t="s">
        <v>2525</v>
      </c>
      <c r="BH244" s="3" t="s">
        <v>2525</v>
      </c>
      <c r="BI244" s="3" t="s">
        <v>2525</v>
      </c>
      <c r="BJ244" s="3" t="s">
        <v>2525</v>
      </c>
      <c r="BL244" s="3" t="s">
        <v>2525</v>
      </c>
      <c r="BO244" s="3" t="s">
        <v>2389</v>
      </c>
    </row>
    <row r="245">
      <c r="A245" s="3" t="s">
        <v>2391</v>
      </c>
      <c r="B245" s="3" t="s">
        <v>2392</v>
      </c>
      <c r="C245" s="3" t="s">
        <v>92</v>
      </c>
      <c r="D245" s="3" t="s">
        <v>383</v>
      </c>
      <c r="E245" s="3" t="s">
        <v>2393</v>
      </c>
      <c r="I245" s="3">
        <v>16.0</v>
      </c>
      <c r="J245" s="3" t="s">
        <v>71</v>
      </c>
      <c r="K245" s="3" t="s">
        <v>72</v>
      </c>
      <c r="L245" s="3" t="s">
        <v>2525</v>
      </c>
      <c r="M245" s="3" t="s">
        <v>442</v>
      </c>
      <c r="P245" s="3" t="s">
        <v>110</v>
      </c>
      <c r="Q245" s="32" t="s">
        <v>2391</v>
      </c>
      <c r="R245" s="32" t="s">
        <v>2394</v>
      </c>
      <c r="S245" s="32"/>
      <c r="T245" s="32"/>
      <c r="Y245" s="3" t="s">
        <v>78</v>
      </c>
      <c r="Z245" s="3" t="s">
        <v>2395</v>
      </c>
      <c r="AA245" s="3" t="s">
        <v>2396</v>
      </c>
      <c r="AB245" s="3" t="s">
        <v>2397</v>
      </c>
      <c r="AC245" s="3" t="s">
        <v>2398</v>
      </c>
      <c r="AE245" s="3" t="s">
        <v>83</v>
      </c>
      <c r="AF245" s="3" t="s">
        <v>2525</v>
      </c>
      <c r="AG245" s="3" t="s">
        <v>2525</v>
      </c>
      <c r="AH245" s="3" t="s">
        <v>2525</v>
      </c>
      <c r="AI245" s="3" t="s">
        <v>2525</v>
      </c>
      <c r="AJ245" s="3" t="s">
        <v>2525</v>
      </c>
      <c r="AK245" s="3" t="s">
        <v>2525</v>
      </c>
      <c r="AL245" s="3" t="s">
        <v>2525</v>
      </c>
      <c r="AM245" s="3" t="s">
        <v>2525</v>
      </c>
      <c r="AN245" s="3" t="s">
        <v>2525</v>
      </c>
      <c r="AO245" s="3" t="s">
        <v>2525</v>
      </c>
      <c r="AP245" s="3" t="s">
        <v>2525</v>
      </c>
      <c r="AR245" s="3" t="s">
        <v>85</v>
      </c>
      <c r="AS245" s="3" t="s">
        <v>2525</v>
      </c>
      <c r="AT245" s="3" t="s">
        <v>2525</v>
      </c>
      <c r="AU245" s="3" t="s">
        <v>2525</v>
      </c>
      <c r="AV245" s="3" t="s">
        <v>2525</v>
      </c>
      <c r="AW245" s="3" t="s">
        <v>2525</v>
      </c>
      <c r="AX245" s="3" t="s">
        <v>2525</v>
      </c>
      <c r="AY245" s="3" t="s">
        <v>2525</v>
      </c>
      <c r="AZ245" s="3" t="s">
        <v>2525</v>
      </c>
      <c r="BA245" s="3" t="s">
        <v>2525</v>
      </c>
      <c r="BB245" s="3" t="s">
        <v>2525</v>
      </c>
      <c r="BC245" s="3" t="s">
        <v>84</v>
      </c>
      <c r="BD245" s="3" t="s">
        <v>2525</v>
      </c>
      <c r="BE245" s="3" t="s">
        <v>2525</v>
      </c>
      <c r="BF245" s="3" t="s">
        <v>129</v>
      </c>
      <c r="BG245" s="3" t="s">
        <v>2525</v>
      </c>
      <c r="BH245" s="3" t="s">
        <v>2525</v>
      </c>
      <c r="BI245" s="3" t="s">
        <v>2525</v>
      </c>
      <c r="BJ245" s="3" t="s">
        <v>2525</v>
      </c>
      <c r="BL245" s="3" t="s">
        <v>2525</v>
      </c>
      <c r="BN245" s="3" t="s">
        <v>2399</v>
      </c>
      <c r="BO245" s="3" t="s">
        <v>2400</v>
      </c>
    </row>
    <row r="246">
      <c r="A246" s="3" t="s">
        <v>2543</v>
      </c>
      <c r="B246" s="3" t="s">
        <v>2403</v>
      </c>
      <c r="C246" s="3" t="s">
        <v>92</v>
      </c>
      <c r="D246" s="3" t="s">
        <v>2404</v>
      </c>
      <c r="I246" s="3">
        <v>28.0</v>
      </c>
      <c r="J246" s="3" t="s">
        <v>2405</v>
      </c>
      <c r="K246" s="3" t="s">
        <v>72</v>
      </c>
      <c r="L246" s="3" t="s">
        <v>2525</v>
      </c>
      <c r="M246" s="3" t="s">
        <v>109</v>
      </c>
      <c r="P246" s="3" t="s">
        <v>149</v>
      </c>
      <c r="Q246" s="32" t="s">
        <v>2543</v>
      </c>
      <c r="R246" s="32"/>
      <c r="S246" s="32"/>
      <c r="T246" s="32"/>
      <c r="Y246" s="3" t="s">
        <v>78</v>
      </c>
      <c r="AA246" s="3" t="s">
        <v>2406</v>
      </c>
      <c r="AB246" s="3" t="s">
        <v>2407</v>
      </c>
      <c r="AC246" s="3" t="s">
        <v>2544</v>
      </c>
      <c r="AE246" s="3" t="s">
        <v>83</v>
      </c>
      <c r="AF246" s="3" t="s">
        <v>2525</v>
      </c>
      <c r="AG246" s="3" t="s">
        <v>2525</v>
      </c>
      <c r="AH246" s="3" t="s">
        <v>84</v>
      </c>
      <c r="AI246" s="3" t="s">
        <v>84</v>
      </c>
      <c r="AJ246" s="3" t="s">
        <v>2525</v>
      </c>
      <c r="AK246" s="3" t="s">
        <v>2525</v>
      </c>
      <c r="AL246" s="3" t="s">
        <v>2525</v>
      </c>
      <c r="AM246" s="3" t="s">
        <v>2525</v>
      </c>
      <c r="AN246" s="3" t="s">
        <v>2525</v>
      </c>
      <c r="AO246" s="3" t="s">
        <v>2525</v>
      </c>
      <c r="AP246" s="3" t="s">
        <v>2525</v>
      </c>
      <c r="AR246" s="3" t="s">
        <v>2525</v>
      </c>
      <c r="AS246" s="3" t="s">
        <v>2525</v>
      </c>
      <c r="AT246" s="3" t="s">
        <v>2525</v>
      </c>
      <c r="AU246" s="3" t="s">
        <v>2525</v>
      </c>
      <c r="AV246" s="3" t="s">
        <v>2525</v>
      </c>
      <c r="AW246" s="3" t="s">
        <v>2525</v>
      </c>
      <c r="AX246" s="3" t="s">
        <v>2525</v>
      </c>
      <c r="AY246" s="3" t="s">
        <v>2525</v>
      </c>
      <c r="AZ246" s="3" t="s">
        <v>2525</v>
      </c>
      <c r="BA246" s="3" t="s">
        <v>2525</v>
      </c>
      <c r="BB246" s="3" t="s">
        <v>2525</v>
      </c>
      <c r="BC246" s="3" t="s">
        <v>2525</v>
      </c>
      <c r="BD246" s="3" t="s">
        <v>2525</v>
      </c>
      <c r="BE246" s="3" t="s">
        <v>2525</v>
      </c>
      <c r="BF246" s="3" t="s">
        <v>2525</v>
      </c>
      <c r="BG246" s="3" t="s">
        <v>2525</v>
      </c>
      <c r="BH246" s="3" t="s">
        <v>2525</v>
      </c>
      <c r="BI246" s="3" t="s">
        <v>2525</v>
      </c>
      <c r="BJ246" s="3" t="s">
        <v>2525</v>
      </c>
      <c r="BL246" s="3" t="s">
        <v>2525</v>
      </c>
      <c r="BM246" s="3" t="s">
        <v>86</v>
      </c>
      <c r="BP246" s="3" t="s">
        <v>2409</v>
      </c>
    </row>
    <row r="247">
      <c r="A247" s="3" t="s">
        <v>2393</v>
      </c>
      <c r="B247" s="3" t="s">
        <v>2411</v>
      </c>
      <c r="C247" s="3" t="s">
        <v>92</v>
      </c>
      <c r="D247" s="3" t="s">
        <v>2545</v>
      </c>
      <c r="E247" s="3" t="s">
        <v>2391</v>
      </c>
      <c r="I247" s="3">
        <v>17.0</v>
      </c>
      <c r="J247" s="3" t="s">
        <v>71</v>
      </c>
      <c r="K247" s="3" t="s">
        <v>72</v>
      </c>
      <c r="L247" s="3" t="s">
        <v>2525</v>
      </c>
      <c r="M247" s="3" t="s">
        <v>235</v>
      </c>
      <c r="P247" s="3" t="s">
        <v>110</v>
      </c>
      <c r="Q247" s="32" t="s">
        <v>2393</v>
      </c>
      <c r="R247" s="32" t="s">
        <v>2394</v>
      </c>
      <c r="S247" s="32"/>
      <c r="T247" s="32"/>
      <c r="Y247" s="3" t="s">
        <v>78</v>
      </c>
      <c r="Z247" s="3" t="s">
        <v>2413</v>
      </c>
      <c r="AA247" s="3" t="s">
        <v>2414</v>
      </c>
      <c r="AB247" s="3" t="s">
        <v>2415</v>
      </c>
      <c r="AC247" s="3" t="s">
        <v>2416</v>
      </c>
      <c r="AE247" s="3" t="s">
        <v>83</v>
      </c>
      <c r="AF247" s="3" t="s">
        <v>2525</v>
      </c>
      <c r="AG247" s="3" t="s">
        <v>2525</v>
      </c>
      <c r="AH247" s="3" t="s">
        <v>2525</v>
      </c>
      <c r="AI247" s="3" t="s">
        <v>2525</v>
      </c>
      <c r="AJ247" s="3" t="s">
        <v>2525</v>
      </c>
      <c r="AK247" s="3" t="s">
        <v>2525</v>
      </c>
      <c r="AL247" s="3" t="s">
        <v>2525</v>
      </c>
      <c r="AM247" s="3" t="s">
        <v>2525</v>
      </c>
      <c r="AN247" s="3" t="s">
        <v>2525</v>
      </c>
      <c r="AO247" s="3" t="s">
        <v>2525</v>
      </c>
      <c r="AP247" s="3" t="s">
        <v>2525</v>
      </c>
      <c r="AR247" s="3" t="s">
        <v>85</v>
      </c>
      <c r="AS247" s="3" t="s">
        <v>2525</v>
      </c>
      <c r="AT247" s="3" t="s">
        <v>2525</v>
      </c>
      <c r="AU247" s="3" t="s">
        <v>2525</v>
      </c>
      <c r="AV247" s="3" t="s">
        <v>2525</v>
      </c>
      <c r="AW247" s="3" t="s">
        <v>2525</v>
      </c>
      <c r="AX247" s="3" t="s">
        <v>2525</v>
      </c>
      <c r="AY247" s="3" t="s">
        <v>2525</v>
      </c>
      <c r="AZ247" s="3" t="s">
        <v>2525</v>
      </c>
      <c r="BA247" s="3" t="s">
        <v>2525</v>
      </c>
      <c r="BB247" s="3" t="s">
        <v>2525</v>
      </c>
      <c r="BC247" s="3" t="s">
        <v>2525</v>
      </c>
      <c r="BD247" s="3" t="s">
        <v>2525</v>
      </c>
      <c r="BE247" s="3" t="s">
        <v>2525</v>
      </c>
      <c r="BF247" s="3" t="s">
        <v>84</v>
      </c>
      <c r="BG247" s="3" t="s">
        <v>2525</v>
      </c>
      <c r="BH247" s="3" t="s">
        <v>2525</v>
      </c>
      <c r="BI247" s="3" t="s">
        <v>2525</v>
      </c>
      <c r="BJ247" s="3" t="s">
        <v>2525</v>
      </c>
      <c r="BL247" s="3" t="s">
        <v>2525</v>
      </c>
      <c r="BO247" s="3" t="s">
        <v>2400</v>
      </c>
    </row>
    <row r="248">
      <c r="A248" s="3" t="s">
        <v>2418</v>
      </c>
      <c r="B248" s="3" t="s">
        <v>2419</v>
      </c>
      <c r="C248" s="3" t="s">
        <v>92</v>
      </c>
      <c r="D248" s="3" t="s">
        <v>2420</v>
      </c>
      <c r="I248" s="3">
        <v>13.0</v>
      </c>
      <c r="J248" s="3" t="s">
        <v>71</v>
      </c>
      <c r="K248" s="3" t="s">
        <v>72</v>
      </c>
      <c r="L248" s="3" t="s">
        <v>2525</v>
      </c>
      <c r="M248" s="3" t="s">
        <v>2421</v>
      </c>
      <c r="P248" s="3" t="s">
        <v>110</v>
      </c>
      <c r="Q248" s="32" t="s">
        <v>2418</v>
      </c>
      <c r="R248" s="32" t="s">
        <v>2422</v>
      </c>
      <c r="S248" s="32"/>
      <c r="T248" s="32"/>
      <c r="X248" s="3" t="s">
        <v>77</v>
      </c>
      <c r="Y248" s="3" t="s">
        <v>78</v>
      </c>
      <c r="Z248" s="3" t="s">
        <v>2423</v>
      </c>
      <c r="AA248" s="3" t="s">
        <v>2424</v>
      </c>
      <c r="AB248" s="3" t="s">
        <v>2425</v>
      </c>
      <c r="AC248" s="3" t="s">
        <v>2426</v>
      </c>
      <c r="AE248" s="3" t="s">
        <v>83</v>
      </c>
      <c r="AF248" s="3" t="s">
        <v>2525</v>
      </c>
      <c r="AG248" s="3" t="s">
        <v>2525</v>
      </c>
      <c r="AH248" s="3" t="s">
        <v>2525</v>
      </c>
      <c r="AI248" s="3" t="s">
        <v>2525</v>
      </c>
      <c r="AJ248" s="3" t="s">
        <v>2525</v>
      </c>
      <c r="AK248" s="3" t="s">
        <v>2525</v>
      </c>
      <c r="AL248" s="3" t="s">
        <v>2525</v>
      </c>
      <c r="AM248" s="3" t="s">
        <v>2525</v>
      </c>
      <c r="AN248" s="3" t="s">
        <v>2525</v>
      </c>
      <c r="AO248" s="3" t="s">
        <v>2525</v>
      </c>
      <c r="AP248" s="3" t="s">
        <v>2525</v>
      </c>
      <c r="AR248" s="3" t="s">
        <v>2525</v>
      </c>
      <c r="AS248" s="3" t="s">
        <v>2525</v>
      </c>
      <c r="AT248" s="3" t="s">
        <v>2525</v>
      </c>
      <c r="AU248" s="3" t="s">
        <v>2525</v>
      </c>
      <c r="AV248" s="3" t="s">
        <v>2525</v>
      </c>
      <c r="AW248" s="3" t="s">
        <v>2525</v>
      </c>
      <c r="AX248" s="3" t="s">
        <v>2525</v>
      </c>
      <c r="AY248" s="3" t="s">
        <v>2525</v>
      </c>
      <c r="AZ248" s="3" t="s">
        <v>2525</v>
      </c>
      <c r="BA248" s="3" t="s">
        <v>2525</v>
      </c>
      <c r="BB248" s="3" t="s">
        <v>2525</v>
      </c>
      <c r="BC248" s="3" t="s">
        <v>84</v>
      </c>
      <c r="BD248" s="3" t="s">
        <v>2525</v>
      </c>
      <c r="BE248" s="3" t="s">
        <v>2525</v>
      </c>
      <c r="BF248" s="3" t="s">
        <v>129</v>
      </c>
      <c r="BG248" s="3" t="s">
        <v>2525</v>
      </c>
      <c r="BH248" s="3" t="s">
        <v>2525</v>
      </c>
      <c r="BI248" s="3" t="s">
        <v>2525</v>
      </c>
      <c r="BJ248" s="3" t="s">
        <v>2525</v>
      </c>
      <c r="BK248" s="3" t="s">
        <v>86</v>
      </c>
      <c r="BL248" s="3" t="s">
        <v>2525</v>
      </c>
    </row>
    <row r="249">
      <c r="A249" s="3" t="s">
        <v>2428</v>
      </c>
      <c r="B249" s="3" t="s">
        <v>2429</v>
      </c>
      <c r="C249" s="3" t="s">
        <v>92</v>
      </c>
      <c r="D249" s="3" t="s">
        <v>2430</v>
      </c>
      <c r="I249" s="3">
        <v>20.0</v>
      </c>
      <c r="J249" s="3" t="s">
        <v>2405</v>
      </c>
      <c r="K249" s="3" t="s">
        <v>72</v>
      </c>
      <c r="L249" s="3" t="s">
        <v>108</v>
      </c>
      <c r="M249" s="3" t="s">
        <v>2431</v>
      </c>
      <c r="P249" s="3" t="s">
        <v>149</v>
      </c>
      <c r="Q249" s="32" t="s">
        <v>2428</v>
      </c>
      <c r="R249" s="32"/>
      <c r="S249" s="32"/>
      <c r="T249" s="32"/>
      <c r="Y249" s="3" t="s">
        <v>138</v>
      </c>
      <c r="Z249" s="3" t="s">
        <v>2432</v>
      </c>
      <c r="AA249" s="3" t="s">
        <v>2433</v>
      </c>
      <c r="AB249" s="3" t="s">
        <v>2434</v>
      </c>
      <c r="AC249" s="3" t="s">
        <v>2435</v>
      </c>
      <c r="AE249" s="3" t="s">
        <v>83</v>
      </c>
      <c r="AF249" s="3" t="s">
        <v>2525</v>
      </c>
      <c r="AG249" s="3" t="s">
        <v>2525</v>
      </c>
      <c r="AH249" s="3" t="s">
        <v>2525</v>
      </c>
      <c r="AI249" s="3" t="s">
        <v>84</v>
      </c>
      <c r="AJ249" s="3" t="s">
        <v>2525</v>
      </c>
      <c r="AK249" s="3" t="s">
        <v>2525</v>
      </c>
      <c r="AL249" s="3" t="s">
        <v>2525</v>
      </c>
      <c r="AM249" s="3" t="s">
        <v>2525</v>
      </c>
      <c r="AN249" s="3" t="s">
        <v>2525</v>
      </c>
      <c r="AO249" s="3" t="s">
        <v>2525</v>
      </c>
      <c r="AP249" s="3" t="s">
        <v>2525</v>
      </c>
      <c r="AR249" s="3" t="s">
        <v>2525</v>
      </c>
      <c r="AS249" s="3" t="s">
        <v>2525</v>
      </c>
      <c r="AT249" s="3" t="s">
        <v>84</v>
      </c>
      <c r="AU249" s="3" t="s">
        <v>2525</v>
      </c>
      <c r="AV249" s="3" t="s">
        <v>2525</v>
      </c>
      <c r="AW249" s="3" t="s">
        <v>2525</v>
      </c>
      <c r="AX249" s="3" t="s">
        <v>2525</v>
      </c>
      <c r="AY249" s="3" t="s">
        <v>2525</v>
      </c>
      <c r="AZ249" s="3" t="s">
        <v>2525</v>
      </c>
      <c r="BA249" s="3" t="s">
        <v>2525</v>
      </c>
      <c r="BB249" s="3" t="s">
        <v>2525</v>
      </c>
      <c r="BC249" s="3" t="s">
        <v>2525</v>
      </c>
      <c r="BD249" s="3" t="s">
        <v>2525</v>
      </c>
      <c r="BE249" s="3" t="s">
        <v>2525</v>
      </c>
      <c r="BF249" s="3" t="s">
        <v>2525</v>
      </c>
      <c r="BG249" s="3" t="s">
        <v>2525</v>
      </c>
      <c r="BH249" s="3" t="s">
        <v>2525</v>
      </c>
      <c r="BI249" s="3" t="s">
        <v>2525</v>
      </c>
      <c r="BJ249" s="3" t="s">
        <v>2525</v>
      </c>
      <c r="BL249" s="3" t="s">
        <v>2525</v>
      </c>
    </row>
    <row r="250">
      <c r="A250" s="3" t="s">
        <v>2437</v>
      </c>
      <c r="B250" s="3" t="s">
        <v>2438</v>
      </c>
      <c r="C250" s="3" t="s">
        <v>92</v>
      </c>
      <c r="D250" s="3" t="s">
        <v>2439</v>
      </c>
      <c r="I250" s="3">
        <v>15.0</v>
      </c>
      <c r="J250" s="3" t="s">
        <v>2405</v>
      </c>
      <c r="K250" s="3" t="s">
        <v>72</v>
      </c>
      <c r="L250" s="3" t="s">
        <v>108</v>
      </c>
      <c r="M250" s="3" t="s">
        <v>2440</v>
      </c>
      <c r="P250" s="3" t="s">
        <v>149</v>
      </c>
      <c r="Q250" s="32" t="s">
        <v>2437</v>
      </c>
      <c r="R250" s="32"/>
      <c r="S250" s="32"/>
      <c r="T250" s="32"/>
      <c r="Y250" s="3" t="s">
        <v>138</v>
      </c>
      <c r="Z250" s="3" t="s">
        <v>2441</v>
      </c>
      <c r="AA250" s="3" t="s">
        <v>2442</v>
      </c>
      <c r="AB250" s="3" t="s">
        <v>2443</v>
      </c>
      <c r="AC250" s="3" t="s">
        <v>2444</v>
      </c>
      <c r="AE250" s="3" t="s">
        <v>83</v>
      </c>
      <c r="AF250" s="3" t="s">
        <v>2525</v>
      </c>
      <c r="AG250" s="3" t="s">
        <v>2525</v>
      </c>
      <c r="AH250" s="3" t="s">
        <v>84</v>
      </c>
      <c r="AI250" s="3" t="s">
        <v>84</v>
      </c>
      <c r="AJ250" s="3" t="s">
        <v>2525</v>
      </c>
      <c r="AK250" s="3" t="s">
        <v>2525</v>
      </c>
      <c r="AL250" s="3" t="s">
        <v>2525</v>
      </c>
      <c r="AM250" s="3" t="s">
        <v>2525</v>
      </c>
      <c r="AN250" s="3" t="s">
        <v>2525</v>
      </c>
      <c r="AO250" s="3" t="s">
        <v>2525</v>
      </c>
      <c r="AP250" s="3" t="s">
        <v>2525</v>
      </c>
      <c r="AR250" s="3" t="s">
        <v>2525</v>
      </c>
      <c r="AS250" s="3" t="s">
        <v>2525</v>
      </c>
      <c r="AT250" s="3" t="s">
        <v>84</v>
      </c>
      <c r="AU250" s="3" t="s">
        <v>2525</v>
      </c>
      <c r="AV250" s="3" t="s">
        <v>2525</v>
      </c>
      <c r="AW250" s="3" t="s">
        <v>2525</v>
      </c>
      <c r="AX250" s="3" t="s">
        <v>2525</v>
      </c>
      <c r="AY250" s="3" t="s">
        <v>2525</v>
      </c>
      <c r="AZ250" s="3" t="s">
        <v>2525</v>
      </c>
      <c r="BA250" s="3" t="s">
        <v>2525</v>
      </c>
      <c r="BB250" s="3" t="s">
        <v>2525</v>
      </c>
      <c r="BC250" s="3" t="s">
        <v>2525</v>
      </c>
      <c r="BD250" s="3" t="s">
        <v>2525</v>
      </c>
      <c r="BE250" s="3" t="s">
        <v>2525</v>
      </c>
      <c r="BF250" s="3" t="s">
        <v>2525</v>
      </c>
      <c r="BG250" s="3" t="s">
        <v>2525</v>
      </c>
      <c r="BH250" s="3" t="s">
        <v>2525</v>
      </c>
      <c r="BI250" s="3" t="s">
        <v>2525</v>
      </c>
      <c r="BJ250" s="3" t="s">
        <v>2525</v>
      </c>
      <c r="BL250" s="3" t="s">
        <v>2525</v>
      </c>
      <c r="BM250" s="3" t="s">
        <v>86</v>
      </c>
      <c r="BN250" s="3" t="s">
        <v>2445</v>
      </c>
      <c r="BO250" s="3" t="s">
        <v>2446</v>
      </c>
      <c r="BP250" s="3" t="s">
        <v>2447</v>
      </c>
    </row>
    <row r="251">
      <c r="A251" s="3" t="s">
        <v>2449</v>
      </c>
      <c r="B251" s="3" t="s">
        <v>2450</v>
      </c>
      <c r="C251" s="3" t="s">
        <v>92</v>
      </c>
      <c r="D251" s="3" t="s">
        <v>2451</v>
      </c>
      <c r="I251" s="3">
        <v>17.0</v>
      </c>
      <c r="J251" s="3" t="s">
        <v>630</v>
      </c>
      <c r="K251" s="3" t="s">
        <v>72</v>
      </c>
      <c r="L251" s="3" t="s">
        <v>108</v>
      </c>
      <c r="M251" s="3" t="s">
        <v>2525</v>
      </c>
      <c r="P251" s="3" t="s">
        <v>110</v>
      </c>
      <c r="Q251" s="32" t="s">
        <v>2449</v>
      </c>
      <c r="R251" s="32"/>
      <c r="S251" s="32"/>
      <c r="T251" s="32"/>
      <c r="Z251" s="3" t="s">
        <v>2452</v>
      </c>
      <c r="AA251" s="3" t="s">
        <v>2453</v>
      </c>
      <c r="AB251" s="3" t="s">
        <v>2454</v>
      </c>
      <c r="AC251" s="3" t="s">
        <v>2546</v>
      </c>
      <c r="AE251" s="3" t="s">
        <v>83</v>
      </c>
      <c r="BL251" s="3" t="s">
        <v>2525</v>
      </c>
    </row>
    <row r="252">
      <c r="A252" s="3" t="s">
        <v>2457</v>
      </c>
      <c r="B252" s="3" t="s">
        <v>2458</v>
      </c>
      <c r="C252" s="3" t="s">
        <v>92</v>
      </c>
      <c r="D252" s="3" t="s">
        <v>2459</v>
      </c>
      <c r="I252" s="3">
        <v>15.0</v>
      </c>
      <c r="J252" s="3" t="s">
        <v>630</v>
      </c>
      <c r="K252" s="3" t="s">
        <v>72</v>
      </c>
      <c r="L252" s="3" t="s">
        <v>108</v>
      </c>
      <c r="M252" s="3" t="s">
        <v>2525</v>
      </c>
      <c r="P252" s="3" t="s">
        <v>110</v>
      </c>
      <c r="Q252" s="32" t="s">
        <v>2457</v>
      </c>
      <c r="R252" s="32"/>
      <c r="S252" s="32"/>
      <c r="T252" s="32"/>
      <c r="Z252" s="3" t="s">
        <v>2460</v>
      </c>
      <c r="AA252" s="3" t="s">
        <v>2461</v>
      </c>
      <c r="AB252" s="3" t="s">
        <v>2462</v>
      </c>
      <c r="AC252" s="3" t="s">
        <v>2547</v>
      </c>
      <c r="AE252" s="3" t="s">
        <v>83</v>
      </c>
      <c r="BL252" s="3" t="s">
        <v>2525</v>
      </c>
    </row>
    <row r="253">
      <c r="A253" s="3" t="s">
        <v>2465</v>
      </c>
      <c r="B253" s="3" t="s">
        <v>2466</v>
      </c>
      <c r="C253" s="3" t="s">
        <v>92</v>
      </c>
      <c r="D253" s="3" t="s">
        <v>2548</v>
      </c>
      <c r="I253" s="3">
        <v>6.0</v>
      </c>
      <c r="J253" s="3" t="s">
        <v>630</v>
      </c>
      <c r="K253" s="3" t="s">
        <v>72</v>
      </c>
      <c r="L253" s="3" t="s">
        <v>108</v>
      </c>
      <c r="M253" s="3" t="s">
        <v>44</v>
      </c>
      <c r="O253" s="3" t="s">
        <v>77</v>
      </c>
      <c r="P253" s="3" t="s">
        <v>110</v>
      </c>
      <c r="Q253" s="32" t="s">
        <v>2465</v>
      </c>
      <c r="R253" s="32"/>
      <c r="S253" s="32"/>
      <c r="T253" s="32"/>
      <c r="Z253" s="3" t="s">
        <v>2468</v>
      </c>
      <c r="AA253" s="3" t="s">
        <v>2469</v>
      </c>
      <c r="AB253" s="3" t="s">
        <v>2470</v>
      </c>
      <c r="AC253" s="3" t="s">
        <v>2549</v>
      </c>
      <c r="AE253" s="3" t="s">
        <v>83</v>
      </c>
      <c r="BL253" s="3" t="s">
        <v>2525</v>
      </c>
    </row>
    <row r="254">
      <c r="A254" s="3" t="s">
        <v>2473</v>
      </c>
      <c r="B254" s="3" t="s">
        <v>2474</v>
      </c>
      <c r="C254" s="3" t="s">
        <v>92</v>
      </c>
      <c r="D254" s="3" t="s">
        <v>2475</v>
      </c>
      <c r="I254" s="3">
        <v>32.0</v>
      </c>
      <c r="J254" s="3" t="s">
        <v>2405</v>
      </c>
      <c r="K254" s="3" t="s">
        <v>72</v>
      </c>
      <c r="L254" s="3" t="s">
        <v>73</v>
      </c>
      <c r="M254" s="3" t="s">
        <v>2476</v>
      </c>
      <c r="P254" s="3" t="s">
        <v>149</v>
      </c>
      <c r="Q254" s="32" t="s">
        <v>2473</v>
      </c>
      <c r="R254" s="32"/>
      <c r="S254" s="32"/>
      <c r="T254" s="32"/>
      <c r="X254" s="3" t="s">
        <v>77</v>
      </c>
      <c r="Y254" s="3" t="s">
        <v>138</v>
      </c>
      <c r="Z254" s="3" t="s">
        <v>2477</v>
      </c>
      <c r="AA254" s="3" t="s">
        <v>2478</v>
      </c>
      <c r="AB254" s="3" t="s">
        <v>2479</v>
      </c>
      <c r="AC254" s="3" t="s">
        <v>2480</v>
      </c>
      <c r="AE254" s="3" t="s">
        <v>83</v>
      </c>
      <c r="AF254" s="3" t="s">
        <v>84</v>
      </c>
      <c r="AG254" s="3" t="s">
        <v>2525</v>
      </c>
      <c r="AH254" s="3" t="s">
        <v>2525</v>
      </c>
      <c r="AI254" s="3" t="s">
        <v>2525</v>
      </c>
      <c r="AJ254" s="3" t="s">
        <v>84</v>
      </c>
      <c r="AK254" s="3" t="s">
        <v>84</v>
      </c>
      <c r="AL254" s="3" t="s">
        <v>2525</v>
      </c>
      <c r="AM254" s="3" t="s">
        <v>129</v>
      </c>
      <c r="AN254" s="3" t="s">
        <v>129</v>
      </c>
      <c r="AO254" s="3" t="s">
        <v>2525</v>
      </c>
      <c r="AP254" s="3" t="s">
        <v>2525</v>
      </c>
      <c r="AR254" s="3" t="s">
        <v>2525</v>
      </c>
      <c r="AS254" s="3" t="s">
        <v>2525</v>
      </c>
      <c r="AT254" s="3" t="s">
        <v>2525</v>
      </c>
      <c r="AU254" s="3" t="s">
        <v>84</v>
      </c>
      <c r="AV254" s="3" t="s">
        <v>2525</v>
      </c>
      <c r="AW254" s="3" t="s">
        <v>2525</v>
      </c>
      <c r="AX254" s="3" t="s">
        <v>2525</v>
      </c>
      <c r="AY254" s="3" t="s">
        <v>2525</v>
      </c>
      <c r="AZ254" s="3" t="s">
        <v>2525</v>
      </c>
      <c r="BA254" s="3" t="s">
        <v>129</v>
      </c>
      <c r="BB254" s="3" t="s">
        <v>2525</v>
      </c>
      <c r="BC254" s="3" t="s">
        <v>2525</v>
      </c>
      <c r="BD254" s="3" t="s">
        <v>2525</v>
      </c>
      <c r="BE254" s="3" t="s">
        <v>2525</v>
      </c>
      <c r="BF254" s="3" t="s">
        <v>2525</v>
      </c>
      <c r="BG254" s="3" t="s">
        <v>2525</v>
      </c>
      <c r="BH254" s="3" t="s">
        <v>2525</v>
      </c>
      <c r="BI254" s="3" t="s">
        <v>2525</v>
      </c>
      <c r="BJ254" s="3" t="s">
        <v>2525</v>
      </c>
      <c r="BK254" s="3" t="s">
        <v>86</v>
      </c>
      <c r="BL254" s="3" t="s">
        <v>2525</v>
      </c>
      <c r="BM254" s="3" t="s">
        <v>86</v>
      </c>
      <c r="BN254" s="3" t="s">
        <v>2481</v>
      </c>
      <c r="BO254" s="3" t="s">
        <v>2482</v>
      </c>
      <c r="BP254" s="3" t="s">
        <v>2483</v>
      </c>
    </row>
    <row r="255">
      <c r="A255" s="3" t="s">
        <v>2485</v>
      </c>
      <c r="B255" s="3" t="s">
        <v>2486</v>
      </c>
      <c r="C255" s="3" t="s">
        <v>92</v>
      </c>
      <c r="I255" s="3">
        <v>11.0</v>
      </c>
      <c r="J255" s="3" t="s">
        <v>630</v>
      </c>
      <c r="K255" s="3" t="s">
        <v>72</v>
      </c>
      <c r="L255" s="3" t="s">
        <v>108</v>
      </c>
      <c r="M255" s="3" t="s">
        <v>44</v>
      </c>
      <c r="P255" s="3" t="s">
        <v>110</v>
      </c>
      <c r="Q255" s="32" t="s">
        <v>2485</v>
      </c>
      <c r="R255" s="32" t="s">
        <v>2360</v>
      </c>
      <c r="S255" s="32"/>
      <c r="T255" s="32"/>
      <c r="Y255" s="3" t="s">
        <v>78</v>
      </c>
      <c r="Z255" s="3" t="s">
        <v>2487</v>
      </c>
      <c r="AA255" s="3" t="s">
        <v>2488</v>
      </c>
      <c r="AB255" s="3" t="s">
        <v>2489</v>
      </c>
      <c r="AC255" s="3" t="s">
        <v>2490</v>
      </c>
      <c r="AE255" s="3" t="s">
        <v>83</v>
      </c>
      <c r="AF255" s="3" t="s">
        <v>84</v>
      </c>
      <c r="AG255" s="3" t="s">
        <v>2525</v>
      </c>
      <c r="AH255" s="3" t="s">
        <v>2525</v>
      </c>
      <c r="AI255" s="3" t="s">
        <v>2525</v>
      </c>
      <c r="AJ255" s="3" t="s">
        <v>84</v>
      </c>
      <c r="AK255" s="3" t="s">
        <v>2525</v>
      </c>
      <c r="AL255" s="3" t="s">
        <v>2525</v>
      </c>
      <c r="AM255" s="3" t="s">
        <v>84</v>
      </c>
      <c r="AN255" s="3" t="s">
        <v>2525</v>
      </c>
      <c r="AO255" s="3" t="s">
        <v>2525</v>
      </c>
      <c r="AP255" s="3" t="s">
        <v>2525</v>
      </c>
      <c r="AR255" s="3" t="s">
        <v>2525</v>
      </c>
      <c r="AS255" s="3" t="s">
        <v>2525</v>
      </c>
      <c r="AT255" s="3" t="s">
        <v>84</v>
      </c>
      <c r="AU255" s="3" t="s">
        <v>2525</v>
      </c>
      <c r="AV255" s="3" t="s">
        <v>2525</v>
      </c>
      <c r="AW255" s="3" t="s">
        <v>2525</v>
      </c>
      <c r="AX255" s="3" t="s">
        <v>2525</v>
      </c>
      <c r="AY255" s="3" t="s">
        <v>2525</v>
      </c>
      <c r="AZ255" s="3" t="s">
        <v>2525</v>
      </c>
      <c r="BA255" s="3" t="s">
        <v>2525</v>
      </c>
      <c r="BB255" s="3" t="s">
        <v>2525</v>
      </c>
      <c r="BC255" s="3" t="s">
        <v>2525</v>
      </c>
      <c r="BD255" s="3" t="s">
        <v>2525</v>
      </c>
      <c r="BE255" s="3" t="s">
        <v>2525</v>
      </c>
      <c r="BF255" s="3" t="s">
        <v>2525</v>
      </c>
      <c r="BG255" s="3" t="s">
        <v>2525</v>
      </c>
      <c r="BH255" s="3" t="s">
        <v>2525</v>
      </c>
      <c r="BI255" s="3" t="s">
        <v>2525</v>
      </c>
      <c r="BJ255" s="3" t="s">
        <v>2525</v>
      </c>
      <c r="BL255" s="3" t="s">
        <v>2525</v>
      </c>
    </row>
    <row r="256">
      <c r="A256" s="3" t="s">
        <v>2332</v>
      </c>
      <c r="B256" s="3" t="s">
        <v>2492</v>
      </c>
      <c r="C256" s="3" t="s">
        <v>70</v>
      </c>
      <c r="D256" s="3" t="s">
        <v>2493</v>
      </c>
      <c r="E256" s="3" t="s">
        <v>2494</v>
      </c>
      <c r="I256" s="3">
        <v>18.0</v>
      </c>
      <c r="J256" s="3" t="s">
        <v>71</v>
      </c>
      <c r="K256" s="3" t="s">
        <v>72</v>
      </c>
      <c r="L256" s="3" t="s">
        <v>2525</v>
      </c>
      <c r="M256" s="3" t="s">
        <v>285</v>
      </c>
      <c r="P256" s="3" t="s">
        <v>149</v>
      </c>
      <c r="Q256" s="32" t="s">
        <v>2332</v>
      </c>
      <c r="R256" s="32"/>
      <c r="S256" s="32"/>
      <c r="T256" s="32"/>
      <c r="W256" s="3" t="s">
        <v>287</v>
      </c>
      <c r="Y256" s="3" t="s">
        <v>78</v>
      </c>
      <c r="AA256" s="3" t="s">
        <v>2495</v>
      </c>
      <c r="AB256" s="3" t="s">
        <v>2496</v>
      </c>
      <c r="AC256" s="3" t="s">
        <v>2550</v>
      </c>
      <c r="AE256" s="3" t="s">
        <v>83</v>
      </c>
      <c r="AF256" s="3" t="s">
        <v>2525</v>
      </c>
      <c r="AG256" s="3" t="s">
        <v>2525</v>
      </c>
      <c r="AH256" s="3" t="s">
        <v>2525</v>
      </c>
      <c r="AI256" s="3" t="s">
        <v>2525</v>
      </c>
      <c r="AJ256" s="3" t="s">
        <v>2525</v>
      </c>
      <c r="AK256" s="3" t="s">
        <v>2525</v>
      </c>
      <c r="AL256" s="3" t="s">
        <v>2525</v>
      </c>
      <c r="AM256" s="3" t="s">
        <v>2525</v>
      </c>
      <c r="AN256" s="3" t="s">
        <v>85</v>
      </c>
      <c r="AO256" s="3" t="s">
        <v>2525</v>
      </c>
      <c r="AP256" s="3" t="s">
        <v>84</v>
      </c>
      <c r="AR256" s="3" t="s">
        <v>2525</v>
      </c>
      <c r="AS256" s="3" t="s">
        <v>2525</v>
      </c>
      <c r="AT256" s="3" t="s">
        <v>2525</v>
      </c>
      <c r="AU256" s="3" t="s">
        <v>2525</v>
      </c>
      <c r="AV256" s="3" t="s">
        <v>2525</v>
      </c>
      <c r="AW256" s="3" t="s">
        <v>85</v>
      </c>
      <c r="AX256" s="3" t="s">
        <v>2525</v>
      </c>
      <c r="AY256" s="3" t="s">
        <v>2525</v>
      </c>
      <c r="AZ256" s="3" t="s">
        <v>2525</v>
      </c>
      <c r="BA256" s="3" t="s">
        <v>84</v>
      </c>
      <c r="BB256" s="3" t="s">
        <v>2525</v>
      </c>
      <c r="BC256" s="3" t="s">
        <v>2525</v>
      </c>
      <c r="BD256" s="3" t="s">
        <v>2525</v>
      </c>
      <c r="BE256" s="3" t="s">
        <v>2525</v>
      </c>
      <c r="BF256" s="3" t="s">
        <v>2525</v>
      </c>
      <c r="BG256" s="3" t="s">
        <v>2525</v>
      </c>
      <c r="BH256" s="3" t="s">
        <v>2525</v>
      </c>
      <c r="BI256" s="3" t="s">
        <v>2525</v>
      </c>
      <c r="BJ256" s="3" t="s">
        <v>85</v>
      </c>
      <c r="BL256" s="3" t="s">
        <v>86</v>
      </c>
      <c r="BM256" s="3" t="s">
        <v>86</v>
      </c>
      <c r="BP256" s="3" t="s">
        <v>2498</v>
      </c>
    </row>
    <row r="257">
      <c r="A257" s="3" t="s">
        <v>2500</v>
      </c>
      <c r="B257" s="3" t="s">
        <v>2501</v>
      </c>
      <c r="C257" s="3" t="s">
        <v>92</v>
      </c>
      <c r="D257" s="3" t="s">
        <v>2502</v>
      </c>
      <c r="I257" s="3">
        <v>38.0</v>
      </c>
      <c r="J257" s="3" t="s">
        <v>630</v>
      </c>
      <c r="K257" s="3" t="s">
        <v>72</v>
      </c>
      <c r="L257" s="3" t="s">
        <v>2525</v>
      </c>
      <c r="M257" s="3" t="s">
        <v>2503</v>
      </c>
      <c r="P257" s="3" t="s">
        <v>149</v>
      </c>
      <c r="Q257" s="32" t="s">
        <v>2500</v>
      </c>
      <c r="R257" s="32"/>
      <c r="S257" s="32"/>
      <c r="T257" s="32"/>
      <c r="W257" s="3" t="s">
        <v>287</v>
      </c>
      <c r="Y257" s="3" t="s">
        <v>78</v>
      </c>
      <c r="Z257" s="3" t="s">
        <v>2504</v>
      </c>
      <c r="AA257" s="3" t="s">
        <v>2505</v>
      </c>
      <c r="AB257" s="3" t="s">
        <v>2506</v>
      </c>
      <c r="AC257" s="3" t="s">
        <v>2551</v>
      </c>
      <c r="AE257" s="3" t="s">
        <v>83</v>
      </c>
      <c r="AF257" s="3" t="s">
        <v>2525</v>
      </c>
      <c r="AG257" s="3" t="s">
        <v>2525</v>
      </c>
      <c r="AH257" s="3" t="s">
        <v>2525</v>
      </c>
      <c r="AI257" s="3" t="s">
        <v>2525</v>
      </c>
      <c r="AJ257" s="3" t="s">
        <v>2525</v>
      </c>
      <c r="AK257" s="3" t="s">
        <v>2525</v>
      </c>
      <c r="AL257" s="3" t="s">
        <v>2525</v>
      </c>
      <c r="AM257" s="3" t="s">
        <v>2525</v>
      </c>
      <c r="AN257" s="3" t="s">
        <v>85</v>
      </c>
      <c r="AO257" s="3" t="s">
        <v>2525</v>
      </c>
      <c r="AP257" s="3" t="s">
        <v>84</v>
      </c>
      <c r="AR257" s="3" t="s">
        <v>2525</v>
      </c>
      <c r="AS257" s="3" t="s">
        <v>2525</v>
      </c>
      <c r="AT257" s="3" t="s">
        <v>2525</v>
      </c>
      <c r="AU257" s="3" t="s">
        <v>2525</v>
      </c>
      <c r="AV257" s="3" t="s">
        <v>2525</v>
      </c>
      <c r="AW257" s="3" t="s">
        <v>85</v>
      </c>
      <c r="AX257" s="3" t="s">
        <v>2525</v>
      </c>
      <c r="AY257" s="3" t="s">
        <v>2525</v>
      </c>
      <c r="AZ257" s="3" t="s">
        <v>2525</v>
      </c>
      <c r="BA257" s="3" t="s">
        <v>84</v>
      </c>
      <c r="BB257" s="3" t="s">
        <v>2525</v>
      </c>
      <c r="BC257" s="3" t="s">
        <v>2525</v>
      </c>
      <c r="BD257" s="3" t="s">
        <v>2525</v>
      </c>
      <c r="BE257" s="3" t="s">
        <v>2525</v>
      </c>
      <c r="BF257" s="3" t="s">
        <v>2525</v>
      </c>
      <c r="BG257" s="3" t="s">
        <v>2525</v>
      </c>
      <c r="BH257" s="3" t="s">
        <v>2525</v>
      </c>
      <c r="BI257" s="3" t="s">
        <v>2525</v>
      </c>
      <c r="BJ257" s="3" t="s">
        <v>2525</v>
      </c>
      <c r="BL257" s="3" t="s">
        <v>2525</v>
      </c>
      <c r="BM257" s="3" t="s">
        <v>86</v>
      </c>
      <c r="BP257" s="3" t="s">
        <v>1269</v>
      </c>
    </row>
    <row r="258">
      <c r="A258" s="3" t="s">
        <v>2509</v>
      </c>
      <c r="B258" s="3" t="s">
        <v>2510</v>
      </c>
      <c r="C258" s="3" t="s">
        <v>92</v>
      </c>
      <c r="I258" s="3">
        <v>20.0</v>
      </c>
      <c r="J258" s="3" t="s">
        <v>2405</v>
      </c>
      <c r="K258" s="3" t="s">
        <v>72</v>
      </c>
      <c r="L258" s="3" t="s">
        <v>108</v>
      </c>
      <c r="M258" s="3" t="s">
        <v>109</v>
      </c>
      <c r="P258" s="3" t="s">
        <v>149</v>
      </c>
      <c r="Q258" s="32" t="s">
        <v>2509</v>
      </c>
      <c r="R258" s="32"/>
      <c r="S258" s="32"/>
      <c r="T258" s="32"/>
      <c r="Y258" s="3" t="s">
        <v>138</v>
      </c>
      <c r="AA258" s="3" t="s">
        <v>2511</v>
      </c>
      <c r="AB258" s="3" t="s">
        <v>2512</v>
      </c>
      <c r="AC258" s="3" t="s">
        <v>2513</v>
      </c>
      <c r="AE258" s="3" t="s">
        <v>83</v>
      </c>
      <c r="AF258" s="3" t="s">
        <v>2525</v>
      </c>
      <c r="AG258" s="3" t="s">
        <v>2525</v>
      </c>
      <c r="AH258" s="3" t="s">
        <v>1027</v>
      </c>
      <c r="AI258" s="3" t="s">
        <v>2525</v>
      </c>
      <c r="AJ258" s="3" t="s">
        <v>1027</v>
      </c>
      <c r="AK258" s="3" t="s">
        <v>2525</v>
      </c>
      <c r="AL258" s="3" t="s">
        <v>2525</v>
      </c>
      <c r="AM258" s="3" t="s">
        <v>2525</v>
      </c>
      <c r="AN258" s="3" t="s">
        <v>2525</v>
      </c>
      <c r="AO258" s="3" t="s">
        <v>2525</v>
      </c>
      <c r="AP258" s="3" t="s">
        <v>2525</v>
      </c>
      <c r="AR258" s="3" t="s">
        <v>2525</v>
      </c>
      <c r="AS258" s="3" t="s">
        <v>2525</v>
      </c>
      <c r="AT258" s="3" t="s">
        <v>2525</v>
      </c>
      <c r="AU258" s="3" t="s">
        <v>2525</v>
      </c>
      <c r="AV258" s="3" t="s">
        <v>2525</v>
      </c>
      <c r="AW258" s="3" t="s">
        <v>2525</v>
      </c>
      <c r="AX258" s="3" t="s">
        <v>2525</v>
      </c>
      <c r="AY258" s="3" t="s">
        <v>2525</v>
      </c>
      <c r="AZ258" s="3" t="s">
        <v>2525</v>
      </c>
      <c r="BA258" s="3" t="s">
        <v>2525</v>
      </c>
      <c r="BB258" s="3" t="s">
        <v>2525</v>
      </c>
      <c r="BC258" s="3" t="s">
        <v>2525</v>
      </c>
      <c r="BD258" s="3" t="s">
        <v>2525</v>
      </c>
      <c r="BE258" s="3" t="s">
        <v>2525</v>
      </c>
      <c r="BF258" s="3" t="s">
        <v>2525</v>
      </c>
      <c r="BG258" s="3" t="s">
        <v>2525</v>
      </c>
      <c r="BH258" s="3" t="s">
        <v>2525</v>
      </c>
      <c r="BI258" s="3" t="s">
        <v>2525</v>
      </c>
      <c r="BJ258" s="3" t="s">
        <v>2525</v>
      </c>
      <c r="BL258" s="3" t="s">
        <v>2525</v>
      </c>
      <c r="BM258" s="3" t="s">
        <v>86</v>
      </c>
      <c r="BP258" s="3" t="s">
        <v>2514</v>
      </c>
    </row>
    <row r="259">
      <c r="A259" s="3" t="s">
        <v>2516</v>
      </c>
      <c r="B259" s="3" t="s">
        <v>2517</v>
      </c>
      <c r="C259" s="3" t="s">
        <v>92</v>
      </c>
      <c r="J259" s="3" t="s">
        <v>71</v>
      </c>
      <c r="K259" s="3" t="s">
        <v>72</v>
      </c>
      <c r="L259" s="3" t="s">
        <v>108</v>
      </c>
      <c r="M259" s="3" t="s">
        <v>1010</v>
      </c>
      <c r="P259" s="3" t="s">
        <v>149</v>
      </c>
      <c r="Q259" s="32" t="s">
        <v>2516</v>
      </c>
      <c r="R259" s="32"/>
      <c r="S259" s="32"/>
      <c r="T259" s="32"/>
      <c r="Y259" s="3" t="s">
        <v>78</v>
      </c>
      <c r="AA259" s="3" t="s">
        <v>2518</v>
      </c>
      <c r="AB259" s="3" t="s">
        <v>2519</v>
      </c>
      <c r="AC259" s="3" t="s">
        <v>2520</v>
      </c>
      <c r="AE259" s="3" t="s">
        <v>83</v>
      </c>
      <c r="BL259" s="3" t="s">
        <v>2525</v>
      </c>
      <c r="BM259" s="3" t="s">
        <v>86</v>
      </c>
      <c r="BP259" s="3" t="s">
        <v>2521</v>
      </c>
    </row>
    <row r="260">
      <c r="Q260" s="32"/>
      <c r="R260" s="32"/>
      <c r="S260" s="32"/>
      <c r="T260" s="32"/>
    </row>
    <row r="261">
      <c r="Q261" s="32"/>
      <c r="R261" s="32"/>
      <c r="S261" s="32"/>
      <c r="T261" s="32"/>
    </row>
    <row r="262">
      <c r="Q262" s="32"/>
      <c r="R262" s="32"/>
      <c r="S262" s="32"/>
      <c r="T262" s="32"/>
    </row>
    <row r="263">
      <c r="Q263" s="32"/>
      <c r="R263" s="32"/>
      <c r="S263" s="32"/>
      <c r="T263" s="32"/>
    </row>
    <row r="264">
      <c r="Q264" s="32"/>
      <c r="R264" s="32"/>
      <c r="S264" s="32"/>
      <c r="T264" s="32"/>
    </row>
    <row r="265">
      <c r="Q265" s="32"/>
      <c r="R265" s="32"/>
      <c r="S265" s="32"/>
      <c r="T265" s="32"/>
    </row>
    <row r="266">
      <c r="Q266" s="32"/>
      <c r="R266" s="32"/>
      <c r="S266" s="32"/>
      <c r="T266" s="32"/>
    </row>
    <row r="267">
      <c r="Q267" s="32"/>
      <c r="R267" s="32"/>
      <c r="S267" s="32"/>
      <c r="T267" s="32"/>
    </row>
    <row r="268">
      <c r="Q268" s="32"/>
      <c r="R268" s="32"/>
      <c r="S268" s="32"/>
      <c r="T268" s="32"/>
    </row>
    <row r="269">
      <c r="Q269" s="32"/>
      <c r="R269" s="32"/>
      <c r="S269" s="32"/>
      <c r="T269" s="32"/>
    </row>
    <row r="270">
      <c r="Q270" s="32"/>
      <c r="R270" s="32"/>
      <c r="S270" s="32"/>
      <c r="T270" s="32"/>
    </row>
    <row r="271">
      <c r="Q271" s="32"/>
      <c r="R271" s="32"/>
      <c r="S271" s="32"/>
      <c r="T271" s="32"/>
    </row>
    <row r="272">
      <c r="Q272" s="32"/>
      <c r="R272" s="32"/>
      <c r="S272" s="32"/>
      <c r="T272" s="32"/>
    </row>
    <row r="273">
      <c r="Q273" s="32"/>
      <c r="R273" s="32"/>
      <c r="S273" s="32"/>
      <c r="T273" s="32"/>
    </row>
    <row r="274">
      <c r="Q274" s="32"/>
      <c r="R274" s="32"/>
      <c r="S274" s="32"/>
      <c r="T274" s="32"/>
    </row>
    <row r="275">
      <c r="Q275" s="32"/>
      <c r="R275" s="32"/>
      <c r="S275" s="32"/>
      <c r="T275" s="32"/>
    </row>
    <row r="276">
      <c r="Q276" s="32"/>
      <c r="R276" s="32"/>
      <c r="S276" s="32"/>
      <c r="T276" s="32"/>
    </row>
    <row r="277">
      <c r="Q277" s="32"/>
      <c r="R277" s="32"/>
      <c r="S277" s="32"/>
      <c r="T277" s="32"/>
    </row>
    <row r="278">
      <c r="Q278" s="32"/>
      <c r="R278" s="32"/>
      <c r="S278" s="32"/>
      <c r="T278" s="32"/>
    </row>
    <row r="279">
      <c r="Q279" s="32"/>
      <c r="R279" s="32"/>
      <c r="S279" s="32"/>
      <c r="T279" s="32"/>
    </row>
    <row r="280">
      <c r="Q280" s="32"/>
      <c r="R280" s="32"/>
      <c r="S280" s="32"/>
      <c r="T280" s="32"/>
    </row>
    <row r="281">
      <c r="Q281" s="32"/>
      <c r="R281" s="32"/>
      <c r="S281" s="32"/>
      <c r="T281" s="32"/>
    </row>
    <row r="282">
      <c r="Q282" s="32"/>
      <c r="R282" s="32"/>
      <c r="S282" s="32"/>
      <c r="T282" s="32"/>
    </row>
    <row r="283">
      <c r="Q283" s="32"/>
      <c r="R283" s="32"/>
      <c r="S283" s="32"/>
      <c r="T283" s="32"/>
    </row>
    <row r="284">
      <c r="Q284" s="32"/>
      <c r="R284" s="32"/>
      <c r="S284" s="32"/>
      <c r="T284" s="32"/>
    </row>
    <row r="285">
      <c r="Q285" s="32"/>
      <c r="R285" s="32"/>
      <c r="S285" s="32"/>
      <c r="T285" s="32"/>
    </row>
    <row r="286">
      <c r="Q286" s="32"/>
      <c r="R286" s="32"/>
      <c r="S286" s="32"/>
      <c r="T286" s="32"/>
    </row>
    <row r="287">
      <c r="Q287" s="32"/>
      <c r="R287" s="32"/>
      <c r="S287" s="32"/>
      <c r="T287" s="32"/>
    </row>
    <row r="288">
      <c r="Q288" s="32"/>
      <c r="R288" s="32"/>
      <c r="S288" s="32"/>
      <c r="T288" s="32"/>
    </row>
    <row r="289">
      <c r="Q289" s="32"/>
      <c r="R289" s="32"/>
      <c r="S289" s="32"/>
      <c r="T289" s="32"/>
    </row>
    <row r="290">
      <c r="Q290" s="32"/>
      <c r="R290" s="32"/>
      <c r="S290" s="32"/>
      <c r="T290" s="32"/>
    </row>
    <row r="291">
      <c r="Q291" s="32"/>
      <c r="R291" s="32"/>
      <c r="S291" s="32"/>
      <c r="T291" s="32"/>
    </row>
    <row r="292">
      <c r="Q292" s="32"/>
      <c r="R292" s="32"/>
      <c r="S292" s="32"/>
      <c r="T292" s="32"/>
    </row>
    <row r="293">
      <c r="Q293" s="32"/>
      <c r="R293" s="32"/>
      <c r="S293" s="32"/>
      <c r="T293" s="32"/>
    </row>
    <row r="294">
      <c r="Q294" s="32"/>
      <c r="R294" s="32"/>
      <c r="S294" s="32"/>
      <c r="T294" s="32"/>
    </row>
    <row r="295">
      <c r="Q295" s="32"/>
      <c r="R295" s="32"/>
      <c r="S295" s="32"/>
      <c r="T295" s="32"/>
    </row>
    <row r="296">
      <c r="Q296" s="32"/>
      <c r="R296" s="32"/>
      <c r="S296" s="32"/>
      <c r="T296" s="32"/>
    </row>
    <row r="297">
      <c r="Q297" s="32"/>
      <c r="R297" s="32"/>
      <c r="S297" s="32"/>
      <c r="T297" s="32"/>
    </row>
    <row r="298">
      <c r="Q298" s="32"/>
      <c r="R298" s="32"/>
      <c r="S298" s="32"/>
      <c r="T298" s="32"/>
    </row>
    <row r="299">
      <c r="Q299" s="32"/>
      <c r="R299" s="32"/>
      <c r="S299" s="32"/>
      <c r="T299" s="32"/>
    </row>
    <row r="300">
      <c r="Q300" s="32"/>
      <c r="R300" s="32"/>
      <c r="S300" s="32"/>
      <c r="T300" s="32"/>
    </row>
    <row r="301">
      <c r="Q301" s="32"/>
      <c r="R301" s="32"/>
      <c r="S301" s="32"/>
      <c r="T301" s="32"/>
    </row>
    <row r="302">
      <c r="Q302" s="32"/>
      <c r="R302" s="32"/>
      <c r="S302" s="32"/>
      <c r="T302" s="32"/>
    </row>
    <row r="303">
      <c r="Q303" s="32"/>
      <c r="R303" s="32"/>
      <c r="S303" s="32"/>
      <c r="T303" s="32"/>
    </row>
    <row r="304">
      <c r="Q304" s="32"/>
      <c r="R304" s="32"/>
      <c r="S304" s="32"/>
      <c r="T304" s="32"/>
    </row>
    <row r="305">
      <c r="Q305" s="32"/>
      <c r="R305" s="32"/>
      <c r="S305" s="32"/>
      <c r="T305" s="32"/>
    </row>
    <row r="306">
      <c r="Q306" s="32"/>
      <c r="R306" s="32"/>
      <c r="S306" s="32"/>
      <c r="T306" s="32"/>
    </row>
    <row r="307">
      <c r="Q307" s="32"/>
      <c r="R307" s="32"/>
      <c r="S307" s="32"/>
      <c r="T307" s="32"/>
    </row>
    <row r="308">
      <c r="Q308" s="32"/>
      <c r="R308" s="32"/>
      <c r="S308" s="32"/>
      <c r="T308" s="32"/>
    </row>
    <row r="309">
      <c r="Q309" s="32"/>
      <c r="R309" s="32"/>
      <c r="S309" s="32"/>
      <c r="T309" s="32"/>
    </row>
    <row r="310">
      <c r="Q310" s="32"/>
      <c r="R310" s="32"/>
      <c r="S310" s="32"/>
      <c r="T310" s="32"/>
    </row>
    <row r="311">
      <c r="Q311" s="32"/>
      <c r="R311" s="32"/>
      <c r="S311" s="32"/>
      <c r="T311" s="32"/>
    </row>
    <row r="312">
      <c r="Q312" s="32"/>
      <c r="R312" s="32"/>
      <c r="S312" s="32"/>
      <c r="T312" s="32"/>
    </row>
    <row r="313">
      <c r="Q313" s="32"/>
      <c r="R313" s="32"/>
      <c r="S313" s="32"/>
      <c r="T313" s="32"/>
    </row>
    <row r="314">
      <c r="Q314" s="32"/>
      <c r="R314" s="32"/>
      <c r="S314" s="32"/>
      <c r="T314" s="32"/>
    </row>
    <row r="315">
      <c r="Q315" s="32"/>
      <c r="R315" s="32"/>
      <c r="S315" s="32"/>
      <c r="T315" s="32"/>
    </row>
    <row r="316">
      <c r="Q316" s="32"/>
      <c r="R316" s="32"/>
      <c r="S316" s="32"/>
      <c r="T316" s="32"/>
    </row>
    <row r="317">
      <c r="Q317" s="32"/>
      <c r="R317" s="32"/>
      <c r="S317" s="32"/>
      <c r="T317" s="32"/>
    </row>
    <row r="318">
      <c r="Q318" s="32"/>
      <c r="R318" s="32"/>
      <c r="S318" s="32"/>
      <c r="T318" s="32"/>
    </row>
    <row r="319">
      <c r="Q319" s="32"/>
      <c r="R319" s="32"/>
      <c r="S319" s="32"/>
      <c r="T319" s="32"/>
    </row>
    <row r="320">
      <c r="Q320" s="32"/>
      <c r="R320" s="32"/>
      <c r="S320" s="32"/>
      <c r="T320" s="32"/>
    </row>
    <row r="321">
      <c r="Q321" s="32"/>
      <c r="R321" s="32"/>
      <c r="S321" s="32"/>
      <c r="T321" s="32"/>
    </row>
    <row r="322">
      <c r="Q322" s="32"/>
      <c r="R322" s="32"/>
      <c r="S322" s="32"/>
      <c r="T322" s="32"/>
    </row>
    <row r="323">
      <c r="Q323" s="32"/>
      <c r="R323" s="32"/>
      <c r="S323" s="32"/>
      <c r="T323" s="32"/>
    </row>
    <row r="324">
      <c r="Q324" s="32"/>
      <c r="R324" s="32"/>
      <c r="S324" s="32"/>
      <c r="T324" s="32"/>
    </row>
    <row r="325">
      <c r="Q325" s="32"/>
      <c r="R325" s="32"/>
      <c r="S325" s="32"/>
      <c r="T325" s="32"/>
    </row>
    <row r="326">
      <c r="Q326" s="32"/>
      <c r="R326" s="32"/>
      <c r="S326" s="32"/>
      <c r="T326" s="32"/>
    </row>
    <row r="327">
      <c r="Q327" s="32"/>
      <c r="R327" s="32"/>
      <c r="S327" s="32"/>
      <c r="T327" s="32"/>
    </row>
    <row r="328">
      <c r="Q328" s="32"/>
      <c r="R328" s="32"/>
      <c r="S328" s="32"/>
      <c r="T328" s="32"/>
    </row>
    <row r="329">
      <c r="Q329" s="32"/>
      <c r="R329" s="32"/>
      <c r="S329" s="32"/>
      <c r="T329" s="32"/>
    </row>
    <row r="330">
      <c r="Q330" s="32"/>
      <c r="R330" s="32"/>
      <c r="S330" s="32"/>
      <c r="T330" s="32"/>
    </row>
    <row r="331">
      <c r="Q331" s="32"/>
      <c r="R331" s="32"/>
      <c r="S331" s="32"/>
      <c r="T331" s="32"/>
    </row>
    <row r="332">
      <c r="Q332" s="32"/>
      <c r="R332" s="32"/>
      <c r="S332" s="32"/>
      <c r="T332" s="32"/>
    </row>
    <row r="333">
      <c r="Q333" s="32"/>
      <c r="R333" s="32"/>
      <c r="S333" s="32"/>
      <c r="T333" s="32"/>
    </row>
    <row r="334">
      <c r="Q334" s="32"/>
      <c r="R334" s="32"/>
      <c r="S334" s="32"/>
      <c r="T334" s="32"/>
    </row>
    <row r="335">
      <c r="Q335" s="32"/>
      <c r="R335" s="32"/>
      <c r="S335" s="32"/>
      <c r="T335" s="32"/>
    </row>
    <row r="336">
      <c r="Q336" s="32"/>
      <c r="R336" s="32"/>
      <c r="S336" s="32"/>
      <c r="T336" s="32"/>
    </row>
    <row r="337">
      <c r="Q337" s="32"/>
      <c r="R337" s="32"/>
      <c r="S337" s="32"/>
      <c r="T337" s="32"/>
    </row>
    <row r="338">
      <c r="Q338" s="32"/>
      <c r="R338" s="32"/>
      <c r="S338" s="32"/>
      <c r="T338" s="32"/>
    </row>
    <row r="339">
      <c r="Q339" s="32"/>
      <c r="R339" s="32"/>
      <c r="S339" s="32"/>
      <c r="T339" s="32"/>
    </row>
    <row r="340">
      <c r="Q340" s="32"/>
      <c r="R340" s="32"/>
      <c r="S340" s="32"/>
      <c r="T340" s="32"/>
    </row>
    <row r="341">
      <c r="Q341" s="32"/>
      <c r="R341" s="32"/>
      <c r="S341" s="32"/>
      <c r="T341" s="32"/>
    </row>
    <row r="342">
      <c r="Q342" s="32"/>
      <c r="R342" s="32"/>
      <c r="S342" s="32"/>
      <c r="T342" s="32"/>
    </row>
    <row r="343">
      <c r="Q343" s="32"/>
      <c r="R343" s="32"/>
      <c r="S343" s="32"/>
      <c r="T343" s="32"/>
    </row>
    <row r="344">
      <c r="Q344" s="32"/>
      <c r="R344" s="32"/>
      <c r="S344" s="32"/>
      <c r="T344" s="32"/>
    </row>
    <row r="345">
      <c r="Q345" s="32"/>
      <c r="R345" s="32"/>
      <c r="S345" s="32"/>
      <c r="T345" s="32"/>
    </row>
    <row r="346">
      <c r="Q346" s="32"/>
      <c r="R346" s="32"/>
      <c r="S346" s="32"/>
      <c r="T346" s="32"/>
    </row>
    <row r="347">
      <c r="Q347" s="32"/>
      <c r="R347" s="32"/>
      <c r="S347" s="32"/>
      <c r="T347" s="32"/>
    </row>
    <row r="348">
      <c r="Q348" s="32"/>
      <c r="R348" s="32"/>
      <c r="S348" s="32"/>
      <c r="T348" s="32"/>
    </row>
    <row r="349">
      <c r="Q349" s="32"/>
      <c r="R349" s="32"/>
      <c r="S349" s="32"/>
      <c r="T349" s="32"/>
    </row>
    <row r="350">
      <c r="Q350" s="32"/>
      <c r="R350" s="32"/>
      <c r="S350" s="32"/>
      <c r="T350" s="32"/>
    </row>
    <row r="351">
      <c r="Q351" s="32"/>
      <c r="R351" s="32"/>
      <c r="S351" s="32"/>
      <c r="T351" s="32"/>
    </row>
    <row r="352">
      <c r="Q352" s="32"/>
      <c r="R352" s="32"/>
      <c r="S352" s="32"/>
      <c r="T352" s="32"/>
    </row>
    <row r="353">
      <c r="Q353" s="32"/>
      <c r="R353" s="32"/>
      <c r="S353" s="32"/>
      <c r="T353" s="32"/>
    </row>
    <row r="354">
      <c r="Q354" s="32"/>
      <c r="R354" s="32"/>
      <c r="S354" s="32"/>
      <c r="T354" s="32"/>
    </row>
    <row r="355">
      <c r="Q355" s="32"/>
      <c r="R355" s="32"/>
      <c r="S355" s="32"/>
      <c r="T355" s="32"/>
    </row>
    <row r="356">
      <c r="Q356" s="32"/>
      <c r="R356" s="32"/>
      <c r="S356" s="32"/>
      <c r="T356" s="32"/>
    </row>
    <row r="357">
      <c r="Q357" s="32"/>
      <c r="R357" s="32"/>
      <c r="S357" s="32"/>
      <c r="T357" s="32"/>
    </row>
    <row r="358">
      <c r="Q358" s="32"/>
      <c r="R358" s="32"/>
      <c r="S358" s="32"/>
      <c r="T358" s="32"/>
    </row>
    <row r="359">
      <c r="Q359" s="32"/>
      <c r="R359" s="32"/>
      <c r="S359" s="32"/>
      <c r="T359" s="32"/>
    </row>
    <row r="360">
      <c r="Q360" s="32"/>
      <c r="R360" s="32"/>
      <c r="S360" s="32"/>
      <c r="T360" s="32"/>
    </row>
    <row r="361">
      <c r="Q361" s="32"/>
      <c r="R361" s="32"/>
      <c r="S361" s="32"/>
      <c r="T361" s="32"/>
    </row>
    <row r="362">
      <c r="Q362" s="32"/>
      <c r="R362" s="32"/>
      <c r="S362" s="32"/>
      <c r="T362" s="32"/>
    </row>
    <row r="363">
      <c r="Q363" s="32"/>
      <c r="R363" s="32"/>
      <c r="S363" s="32"/>
      <c r="T363" s="32"/>
    </row>
    <row r="364">
      <c r="Q364" s="32"/>
      <c r="R364" s="32"/>
      <c r="S364" s="32"/>
      <c r="T364" s="32"/>
    </row>
    <row r="365">
      <c r="Q365" s="32"/>
      <c r="R365" s="32"/>
      <c r="S365" s="32"/>
      <c r="T365" s="32"/>
    </row>
    <row r="366">
      <c r="Q366" s="32"/>
      <c r="R366" s="32"/>
      <c r="S366" s="32"/>
      <c r="T366" s="32"/>
    </row>
    <row r="367">
      <c r="Q367" s="32"/>
      <c r="R367" s="32"/>
      <c r="S367" s="32"/>
      <c r="T367" s="32"/>
    </row>
    <row r="368">
      <c r="Q368" s="32"/>
      <c r="R368" s="32"/>
      <c r="S368" s="32"/>
      <c r="T368" s="32"/>
    </row>
    <row r="369">
      <c r="Q369" s="32"/>
      <c r="R369" s="32"/>
      <c r="S369" s="32"/>
      <c r="T369" s="32"/>
    </row>
    <row r="370">
      <c r="Q370" s="32"/>
      <c r="R370" s="32"/>
      <c r="S370" s="32"/>
      <c r="T370" s="32"/>
    </row>
    <row r="371">
      <c r="Q371" s="32"/>
      <c r="R371" s="32"/>
      <c r="S371" s="32"/>
      <c r="T371" s="32"/>
    </row>
    <row r="372">
      <c r="Q372" s="32"/>
      <c r="R372" s="32"/>
      <c r="S372" s="32"/>
      <c r="T372" s="32"/>
    </row>
    <row r="373">
      <c r="Q373" s="32"/>
      <c r="R373" s="32"/>
      <c r="S373" s="32"/>
      <c r="T373" s="32"/>
    </row>
    <row r="374">
      <c r="Q374" s="32"/>
      <c r="R374" s="32"/>
      <c r="S374" s="32"/>
      <c r="T374" s="32"/>
    </row>
    <row r="375">
      <c r="Q375" s="32"/>
      <c r="R375" s="32"/>
      <c r="S375" s="32"/>
      <c r="T375" s="32"/>
    </row>
    <row r="376">
      <c r="Q376" s="32"/>
      <c r="R376" s="32"/>
      <c r="S376" s="32"/>
      <c r="T376" s="32"/>
    </row>
    <row r="377">
      <c r="Q377" s="32"/>
      <c r="R377" s="32"/>
      <c r="S377" s="32"/>
      <c r="T377" s="32"/>
    </row>
    <row r="378">
      <c r="Q378" s="32"/>
      <c r="R378" s="32"/>
      <c r="S378" s="32"/>
      <c r="T378" s="32"/>
    </row>
    <row r="379">
      <c r="Q379" s="32"/>
      <c r="R379" s="32"/>
      <c r="S379" s="32"/>
      <c r="T379" s="32"/>
    </row>
    <row r="380">
      <c r="Q380" s="32"/>
      <c r="R380" s="32"/>
      <c r="S380" s="32"/>
      <c r="T380" s="32"/>
    </row>
    <row r="381">
      <c r="Q381" s="32"/>
      <c r="R381" s="32"/>
      <c r="S381" s="32"/>
      <c r="T381" s="32"/>
    </row>
    <row r="382">
      <c r="Q382" s="32"/>
      <c r="R382" s="32"/>
      <c r="S382" s="32"/>
      <c r="T382" s="32"/>
    </row>
    <row r="383">
      <c r="Q383" s="32"/>
      <c r="R383" s="32"/>
      <c r="S383" s="32"/>
      <c r="T383" s="32"/>
    </row>
    <row r="384">
      <c r="Q384" s="32"/>
      <c r="R384" s="32"/>
      <c r="S384" s="32"/>
      <c r="T384" s="32"/>
    </row>
    <row r="385">
      <c r="Q385" s="32"/>
      <c r="R385" s="32"/>
      <c r="S385" s="32"/>
      <c r="T385" s="32"/>
    </row>
    <row r="386">
      <c r="Q386" s="32"/>
      <c r="R386" s="32"/>
      <c r="S386" s="32"/>
      <c r="T386" s="32"/>
    </row>
    <row r="387">
      <c r="Q387" s="32"/>
      <c r="R387" s="32"/>
      <c r="S387" s="32"/>
      <c r="T387" s="32"/>
    </row>
    <row r="388">
      <c r="Q388" s="32"/>
      <c r="R388" s="32"/>
      <c r="S388" s="32"/>
      <c r="T388" s="32"/>
    </row>
    <row r="389">
      <c r="Q389" s="32"/>
      <c r="R389" s="32"/>
      <c r="S389" s="32"/>
      <c r="T389" s="32"/>
    </row>
    <row r="390">
      <c r="Q390" s="32"/>
      <c r="R390" s="32"/>
      <c r="S390" s="32"/>
      <c r="T390" s="32"/>
    </row>
    <row r="391">
      <c r="Q391" s="32"/>
      <c r="R391" s="32"/>
      <c r="S391" s="32"/>
      <c r="T391" s="32"/>
    </row>
    <row r="392">
      <c r="Q392" s="32"/>
      <c r="R392" s="32"/>
      <c r="S392" s="32"/>
      <c r="T392" s="32"/>
    </row>
    <row r="393">
      <c r="Q393" s="32"/>
      <c r="R393" s="32"/>
      <c r="S393" s="32"/>
      <c r="T393" s="32"/>
    </row>
    <row r="394">
      <c r="Q394" s="32"/>
      <c r="R394" s="32"/>
      <c r="S394" s="32"/>
      <c r="T394" s="32"/>
    </row>
    <row r="395">
      <c r="Q395" s="32"/>
      <c r="R395" s="32"/>
      <c r="S395" s="32"/>
      <c r="T395" s="32"/>
    </row>
    <row r="396">
      <c r="Q396" s="32"/>
      <c r="R396" s="32"/>
      <c r="S396" s="32"/>
      <c r="T396" s="32"/>
    </row>
    <row r="397">
      <c r="Q397" s="32"/>
      <c r="R397" s="32"/>
      <c r="S397" s="32"/>
      <c r="T397" s="32"/>
    </row>
    <row r="398">
      <c r="Q398" s="32"/>
      <c r="R398" s="32"/>
      <c r="S398" s="32"/>
      <c r="T398" s="32"/>
    </row>
    <row r="399">
      <c r="Q399" s="32"/>
      <c r="R399" s="32"/>
      <c r="S399" s="32"/>
      <c r="T399" s="32"/>
    </row>
    <row r="400">
      <c r="Q400" s="32"/>
      <c r="R400" s="32"/>
      <c r="S400" s="32"/>
      <c r="T400" s="32"/>
    </row>
    <row r="401">
      <c r="Q401" s="32"/>
      <c r="R401" s="32"/>
      <c r="S401" s="32"/>
      <c r="T401" s="32"/>
    </row>
    <row r="402">
      <c r="Q402" s="32"/>
      <c r="R402" s="32"/>
      <c r="S402" s="32"/>
      <c r="T402" s="32"/>
    </row>
    <row r="403">
      <c r="Q403" s="32"/>
      <c r="R403" s="32"/>
      <c r="S403" s="32"/>
      <c r="T403" s="32"/>
    </row>
    <row r="404">
      <c r="Q404" s="32"/>
      <c r="R404" s="32"/>
      <c r="S404" s="32"/>
      <c r="T404" s="32"/>
    </row>
    <row r="405">
      <c r="Q405" s="32"/>
      <c r="R405" s="32"/>
      <c r="S405" s="32"/>
      <c r="T405" s="32"/>
    </row>
    <row r="406">
      <c r="Q406" s="32"/>
      <c r="R406" s="32"/>
      <c r="S406" s="32"/>
      <c r="T406" s="32"/>
    </row>
    <row r="407">
      <c r="Q407" s="32"/>
      <c r="R407" s="32"/>
      <c r="S407" s="32"/>
      <c r="T407" s="32"/>
    </row>
    <row r="408">
      <c r="Q408" s="32"/>
      <c r="R408" s="32"/>
      <c r="S408" s="32"/>
      <c r="T408" s="32"/>
    </row>
    <row r="409">
      <c r="Q409" s="32"/>
      <c r="R409" s="32"/>
      <c r="S409" s="32"/>
      <c r="T409" s="32"/>
    </row>
    <row r="410">
      <c r="Q410" s="32"/>
      <c r="R410" s="32"/>
      <c r="S410" s="32"/>
      <c r="T410" s="32"/>
    </row>
    <row r="411">
      <c r="Q411" s="32"/>
      <c r="R411" s="32"/>
      <c r="S411" s="32"/>
      <c r="T411" s="32"/>
    </row>
    <row r="412">
      <c r="Q412" s="32"/>
      <c r="R412" s="32"/>
      <c r="S412" s="32"/>
      <c r="T412" s="32"/>
    </row>
    <row r="413">
      <c r="Q413" s="32"/>
      <c r="R413" s="32"/>
      <c r="S413" s="32"/>
      <c r="T413" s="32"/>
    </row>
    <row r="414">
      <c r="Q414" s="32"/>
      <c r="R414" s="32"/>
      <c r="S414" s="32"/>
      <c r="T414" s="32"/>
    </row>
    <row r="415">
      <c r="Q415" s="32"/>
      <c r="R415" s="32"/>
      <c r="S415" s="32"/>
      <c r="T415" s="32"/>
    </row>
    <row r="416">
      <c r="Q416" s="32"/>
      <c r="R416" s="32"/>
      <c r="S416" s="32"/>
      <c r="T416" s="32"/>
    </row>
    <row r="417">
      <c r="Q417" s="32"/>
      <c r="R417" s="32"/>
      <c r="S417" s="32"/>
      <c r="T417" s="32"/>
    </row>
    <row r="418">
      <c r="Q418" s="32"/>
      <c r="R418" s="32"/>
      <c r="S418" s="32"/>
      <c r="T418" s="32"/>
    </row>
    <row r="419">
      <c r="Q419" s="32"/>
      <c r="R419" s="32"/>
      <c r="S419" s="32"/>
      <c r="T419" s="32"/>
    </row>
    <row r="420">
      <c r="Q420" s="32"/>
      <c r="R420" s="32"/>
      <c r="S420" s="32"/>
      <c r="T420" s="32"/>
    </row>
    <row r="421">
      <c r="Q421" s="32"/>
      <c r="R421" s="32"/>
      <c r="S421" s="32"/>
      <c r="T421" s="32"/>
    </row>
    <row r="422">
      <c r="Q422" s="32"/>
      <c r="R422" s="32"/>
      <c r="S422" s="32"/>
      <c r="T422" s="32"/>
    </row>
    <row r="423">
      <c r="Q423" s="32"/>
      <c r="R423" s="32"/>
      <c r="S423" s="32"/>
      <c r="T423" s="32"/>
    </row>
    <row r="424">
      <c r="Q424" s="32"/>
      <c r="R424" s="32"/>
      <c r="S424" s="32"/>
      <c r="T424" s="32"/>
    </row>
    <row r="425">
      <c r="Q425" s="32"/>
      <c r="R425" s="32"/>
      <c r="S425" s="32"/>
      <c r="T425" s="32"/>
    </row>
    <row r="426">
      <c r="Q426" s="32"/>
      <c r="R426" s="32"/>
      <c r="S426" s="32"/>
      <c r="T426" s="32"/>
    </row>
    <row r="427">
      <c r="Q427" s="32"/>
      <c r="R427" s="32"/>
      <c r="S427" s="32"/>
      <c r="T427" s="32"/>
    </row>
    <row r="428">
      <c r="Q428" s="32"/>
      <c r="R428" s="32"/>
      <c r="S428" s="32"/>
      <c r="T428" s="32"/>
    </row>
    <row r="429">
      <c r="Q429" s="32"/>
      <c r="R429" s="32"/>
      <c r="S429" s="32"/>
      <c r="T429" s="32"/>
    </row>
    <row r="430">
      <c r="Q430" s="32"/>
      <c r="R430" s="32"/>
      <c r="S430" s="32"/>
      <c r="T430" s="32"/>
    </row>
    <row r="431">
      <c r="Q431" s="32"/>
      <c r="R431" s="32"/>
      <c r="S431" s="32"/>
      <c r="T431" s="32"/>
    </row>
    <row r="432">
      <c r="Q432" s="32"/>
      <c r="R432" s="32"/>
      <c r="S432" s="32"/>
      <c r="T432" s="32"/>
    </row>
    <row r="433">
      <c r="Q433" s="32"/>
      <c r="R433" s="32"/>
      <c r="S433" s="32"/>
      <c r="T433" s="32"/>
    </row>
    <row r="434">
      <c r="Q434" s="32"/>
      <c r="R434" s="32"/>
      <c r="S434" s="32"/>
      <c r="T434" s="32"/>
    </row>
    <row r="435">
      <c r="Q435" s="32"/>
      <c r="R435" s="32"/>
      <c r="S435" s="32"/>
      <c r="T435" s="32"/>
    </row>
    <row r="436">
      <c r="Q436" s="32"/>
      <c r="R436" s="32"/>
      <c r="S436" s="32"/>
      <c r="T436" s="32"/>
    </row>
    <row r="437">
      <c r="Q437" s="32"/>
      <c r="R437" s="32"/>
      <c r="S437" s="32"/>
      <c r="T437" s="32"/>
    </row>
    <row r="438">
      <c r="Q438" s="32"/>
      <c r="R438" s="32"/>
      <c r="S438" s="32"/>
      <c r="T438" s="32"/>
    </row>
    <row r="439">
      <c r="Q439" s="32"/>
      <c r="R439" s="32"/>
      <c r="S439" s="32"/>
      <c r="T439" s="32"/>
    </row>
    <row r="440">
      <c r="Q440" s="32"/>
      <c r="R440" s="32"/>
      <c r="S440" s="32"/>
      <c r="T440" s="32"/>
    </row>
    <row r="441">
      <c r="Q441" s="32"/>
      <c r="R441" s="32"/>
      <c r="S441" s="32"/>
      <c r="T441" s="32"/>
    </row>
    <row r="442">
      <c r="Q442" s="32"/>
      <c r="R442" s="32"/>
      <c r="S442" s="32"/>
      <c r="T442" s="32"/>
    </row>
    <row r="443">
      <c r="Q443" s="32"/>
      <c r="R443" s="32"/>
      <c r="S443" s="32"/>
      <c r="T443" s="32"/>
    </row>
    <row r="444">
      <c r="Q444" s="32"/>
      <c r="R444" s="32"/>
      <c r="S444" s="32"/>
      <c r="T444" s="32"/>
    </row>
    <row r="445">
      <c r="Q445" s="32"/>
      <c r="R445" s="32"/>
      <c r="S445" s="32"/>
      <c r="T445" s="32"/>
    </row>
    <row r="446">
      <c r="Q446" s="32"/>
      <c r="R446" s="32"/>
      <c r="S446" s="32"/>
      <c r="T446" s="32"/>
    </row>
    <row r="447">
      <c r="Q447" s="32"/>
      <c r="R447" s="32"/>
      <c r="S447" s="32"/>
      <c r="T447" s="32"/>
    </row>
    <row r="448">
      <c r="Q448" s="32"/>
      <c r="R448" s="32"/>
      <c r="S448" s="32"/>
      <c r="T448" s="32"/>
    </row>
    <row r="449">
      <c r="Q449" s="32"/>
      <c r="R449" s="32"/>
      <c r="S449" s="32"/>
      <c r="T449" s="32"/>
    </row>
    <row r="450">
      <c r="Q450" s="32"/>
      <c r="R450" s="32"/>
      <c r="S450" s="32"/>
      <c r="T450" s="32"/>
    </row>
    <row r="451">
      <c r="Q451" s="32"/>
      <c r="R451" s="32"/>
      <c r="S451" s="32"/>
      <c r="T451" s="32"/>
    </row>
    <row r="452">
      <c r="Q452" s="32"/>
      <c r="R452" s="32"/>
      <c r="S452" s="32"/>
      <c r="T452" s="32"/>
    </row>
    <row r="453">
      <c r="Q453" s="32"/>
      <c r="R453" s="32"/>
      <c r="S453" s="32"/>
      <c r="T453" s="32"/>
    </row>
    <row r="454">
      <c r="Q454" s="32"/>
      <c r="R454" s="32"/>
      <c r="S454" s="32"/>
      <c r="T454" s="32"/>
    </row>
    <row r="455">
      <c r="Q455" s="32"/>
      <c r="R455" s="32"/>
      <c r="S455" s="32"/>
      <c r="T455" s="32"/>
    </row>
    <row r="456">
      <c r="Q456" s="32"/>
      <c r="R456" s="32"/>
      <c r="S456" s="32"/>
      <c r="T456" s="32"/>
    </row>
    <row r="457">
      <c r="Q457" s="32"/>
      <c r="R457" s="32"/>
      <c r="S457" s="32"/>
      <c r="T457" s="32"/>
    </row>
    <row r="458">
      <c r="Q458" s="32"/>
      <c r="R458" s="32"/>
      <c r="S458" s="32"/>
      <c r="T458" s="32"/>
    </row>
    <row r="459">
      <c r="Q459" s="32"/>
      <c r="R459" s="32"/>
      <c r="S459" s="32"/>
      <c r="T459" s="32"/>
    </row>
    <row r="460">
      <c r="Q460" s="32"/>
      <c r="R460" s="32"/>
      <c r="S460" s="32"/>
      <c r="T460" s="32"/>
    </row>
    <row r="461">
      <c r="Q461" s="32"/>
      <c r="R461" s="32"/>
      <c r="S461" s="32"/>
      <c r="T461" s="32"/>
    </row>
    <row r="462">
      <c r="Q462" s="32"/>
      <c r="R462" s="32"/>
      <c r="S462" s="32"/>
      <c r="T462" s="32"/>
    </row>
    <row r="463">
      <c r="Q463" s="32"/>
      <c r="R463" s="32"/>
      <c r="S463" s="32"/>
      <c r="T463" s="32"/>
    </row>
    <row r="464">
      <c r="Q464" s="32"/>
      <c r="R464" s="32"/>
      <c r="S464" s="32"/>
      <c r="T464" s="32"/>
    </row>
    <row r="465">
      <c r="Q465" s="32"/>
      <c r="R465" s="32"/>
      <c r="S465" s="32"/>
      <c r="T465" s="32"/>
    </row>
    <row r="466">
      <c r="Q466" s="32"/>
      <c r="R466" s="32"/>
      <c r="S466" s="32"/>
      <c r="T466" s="32"/>
    </row>
    <row r="467">
      <c r="Q467" s="32"/>
      <c r="R467" s="32"/>
      <c r="S467" s="32"/>
      <c r="T467" s="32"/>
    </row>
    <row r="468">
      <c r="Q468" s="32"/>
      <c r="R468" s="32"/>
      <c r="S468" s="32"/>
      <c r="T468" s="32"/>
    </row>
    <row r="469">
      <c r="Q469" s="32"/>
      <c r="R469" s="32"/>
      <c r="S469" s="32"/>
      <c r="T469" s="32"/>
    </row>
    <row r="470">
      <c r="Q470" s="32"/>
      <c r="R470" s="32"/>
      <c r="S470" s="32"/>
      <c r="T470" s="32"/>
    </row>
    <row r="471">
      <c r="Q471" s="32"/>
      <c r="R471" s="32"/>
      <c r="S471" s="32"/>
      <c r="T471" s="32"/>
    </row>
    <row r="472">
      <c r="Q472" s="32"/>
      <c r="R472" s="32"/>
      <c r="S472" s="32"/>
      <c r="T472" s="32"/>
    </row>
    <row r="473">
      <c r="Q473" s="32"/>
      <c r="R473" s="32"/>
      <c r="S473" s="32"/>
      <c r="T473" s="32"/>
    </row>
    <row r="474">
      <c r="Q474" s="32"/>
      <c r="R474" s="32"/>
      <c r="S474" s="32"/>
      <c r="T474" s="32"/>
    </row>
    <row r="475">
      <c r="Q475" s="32"/>
      <c r="R475" s="32"/>
      <c r="S475" s="32"/>
      <c r="T475" s="32"/>
    </row>
    <row r="476">
      <c r="Q476" s="32"/>
      <c r="R476" s="32"/>
      <c r="S476" s="32"/>
      <c r="T476" s="32"/>
    </row>
    <row r="477">
      <c r="Q477" s="32"/>
      <c r="R477" s="32"/>
      <c r="S477" s="32"/>
      <c r="T477" s="32"/>
    </row>
    <row r="478">
      <c r="Q478" s="32"/>
      <c r="R478" s="32"/>
      <c r="S478" s="32"/>
      <c r="T478" s="32"/>
    </row>
    <row r="479">
      <c r="Q479" s="32"/>
      <c r="R479" s="32"/>
      <c r="S479" s="32"/>
      <c r="T479" s="32"/>
    </row>
    <row r="480">
      <c r="Q480" s="32"/>
      <c r="R480" s="32"/>
      <c r="S480" s="32"/>
      <c r="T480" s="32"/>
    </row>
    <row r="481">
      <c r="Q481" s="32"/>
      <c r="R481" s="32"/>
      <c r="S481" s="32"/>
      <c r="T481" s="32"/>
    </row>
    <row r="482">
      <c r="Q482" s="32"/>
      <c r="R482" s="32"/>
      <c r="S482" s="32"/>
      <c r="T482" s="32"/>
    </row>
    <row r="483">
      <c r="Q483" s="32"/>
      <c r="R483" s="32"/>
      <c r="S483" s="32"/>
      <c r="T483" s="32"/>
    </row>
    <row r="484">
      <c r="Q484" s="32"/>
      <c r="R484" s="32"/>
      <c r="S484" s="32"/>
      <c r="T484" s="32"/>
    </row>
    <row r="485">
      <c r="Q485" s="32"/>
      <c r="R485" s="32"/>
      <c r="S485" s="32"/>
      <c r="T485" s="32"/>
    </row>
    <row r="486">
      <c r="Q486" s="32"/>
      <c r="R486" s="32"/>
      <c r="S486" s="32"/>
      <c r="T486" s="32"/>
    </row>
    <row r="487">
      <c r="Q487" s="32"/>
      <c r="R487" s="32"/>
      <c r="S487" s="32"/>
      <c r="T487" s="32"/>
    </row>
    <row r="488">
      <c r="Q488" s="32"/>
      <c r="R488" s="32"/>
      <c r="S488" s="32"/>
      <c r="T488" s="32"/>
    </row>
    <row r="489">
      <c r="Q489" s="32"/>
      <c r="R489" s="32"/>
      <c r="S489" s="32"/>
      <c r="T489" s="32"/>
    </row>
    <row r="490">
      <c r="Q490" s="32"/>
      <c r="R490" s="32"/>
      <c r="S490" s="32"/>
      <c r="T490" s="32"/>
    </row>
    <row r="491">
      <c r="Q491" s="32"/>
      <c r="R491" s="32"/>
      <c r="S491" s="32"/>
      <c r="T491" s="32"/>
    </row>
    <row r="492">
      <c r="Q492" s="32"/>
      <c r="R492" s="32"/>
      <c r="S492" s="32"/>
      <c r="T492" s="32"/>
    </row>
    <row r="493">
      <c r="Q493" s="32"/>
      <c r="R493" s="32"/>
      <c r="S493" s="32"/>
      <c r="T493" s="32"/>
    </row>
    <row r="494">
      <c r="Q494" s="32"/>
      <c r="R494" s="32"/>
      <c r="S494" s="32"/>
      <c r="T494" s="32"/>
    </row>
    <row r="495">
      <c r="Q495" s="32"/>
      <c r="R495" s="32"/>
      <c r="S495" s="32"/>
      <c r="T495" s="32"/>
    </row>
    <row r="496">
      <c r="Q496" s="32"/>
      <c r="R496" s="32"/>
      <c r="S496" s="32"/>
      <c r="T496" s="32"/>
    </row>
    <row r="497">
      <c r="Q497" s="32"/>
      <c r="R497" s="32"/>
      <c r="S497" s="32"/>
      <c r="T497" s="32"/>
    </row>
    <row r="498">
      <c r="Q498" s="32"/>
      <c r="R498" s="32"/>
      <c r="S498" s="32"/>
      <c r="T498" s="32"/>
    </row>
    <row r="499">
      <c r="Q499" s="32"/>
      <c r="R499" s="32"/>
      <c r="S499" s="32"/>
      <c r="T499" s="32"/>
    </row>
    <row r="500">
      <c r="Q500" s="32"/>
      <c r="R500" s="32"/>
      <c r="S500" s="32"/>
      <c r="T500" s="32"/>
    </row>
    <row r="501">
      <c r="Q501" s="32"/>
      <c r="R501" s="32"/>
      <c r="S501" s="32"/>
      <c r="T501" s="32"/>
    </row>
    <row r="502">
      <c r="Q502" s="32"/>
      <c r="R502" s="32"/>
      <c r="S502" s="32"/>
      <c r="T502" s="32"/>
    </row>
    <row r="503">
      <c r="Q503" s="32"/>
      <c r="R503" s="32"/>
      <c r="S503" s="32"/>
      <c r="T503" s="32"/>
    </row>
    <row r="504">
      <c r="Q504" s="32"/>
      <c r="R504" s="32"/>
      <c r="S504" s="32"/>
      <c r="T504" s="32"/>
    </row>
    <row r="505">
      <c r="Q505" s="32"/>
      <c r="R505" s="32"/>
      <c r="S505" s="32"/>
      <c r="T505" s="32"/>
    </row>
    <row r="506">
      <c r="Q506" s="32"/>
      <c r="R506" s="32"/>
      <c r="S506" s="32"/>
      <c r="T506" s="32"/>
    </row>
    <row r="507">
      <c r="Q507" s="32"/>
      <c r="R507" s="32"/>
      <c r="S507" s="32"/>
      <c r="T507" s="32"/>
    </row>
    <row r="508">
      <c r="Q508" s="32"/>
      <c r="R508" s="32"/>
      <c r="S508" s="32"/>
      <c r="T508" s="32"/>
    </row>
    <row r="509">
      <c r="Q509" s="32"/>
      <c r="R509" s="32"/>
      <c r="S509" s="32"/>
      <c r="T509" s="32"/>
    </row>
    <row r="510">
      <c r="Q510" s="32"/>
      <c r="R510" s="32"/>
      <c r="S510" s="32"/>
      <c r="T510" s="32"/>
    </row>
    <row r="511">
      <c r="Q511" s="32"/>
      <c r="R511" s="32"/>
      <c r="S511" s="32"/>
      <c r="T511" s="32"/>
    </row>
    <row r="512">
      <c r="Q512" s="32"/>
      <c r="R512" s="32"/>
      <c r="S512" s="32"/>
      <c r="T512" s="32"/>
    </row>
    <row r="513">
      <c r="Q513" s="32"/>
      <c r="R513" s="32"/>
      <c r="S513" s="32"/>
      <c r="T513" s="32"/>
    </row>
    <row r="514">
      <c r="Q514" s="32"/>
      <c r="R514" s="32"/>
      <c r="S514" s="32"/>
      <c r="T514" s="32"/>
    </row>
    <row r="515">
      <c r="Q515" s="32"/>
      <c r="R515" s="32"/>
      <c r="S515" s="32"/>
      <c r="T515" s="32"/>
    </row>
    <row r="516">
      <c r="Q516" s="32"/>
      <c r="R516" s="32"/>
      <c r="S516" s="32"/>
      <c r="T516" s="32"/>
    </row>
    <row r="517">
      <c r="Q517" s="32"/>
      <c r="R517" s="32"/>
      <c r="S517" s="32"/>
      <c r="T517" s="32"/>
    </row>
    <row r="518">
      <c r="Q518" s="32"/>
      <c r="R518" s="32"/>
      <c r="S518" s="32"/>
      <c r="T518" s="32"/>
    </row>
    <row r="519">
      <c r="Q519" s="32"/>
      <c r="R519" s="32"/>
      <c r="S519" s="32"/>
      <c r="T519" s="32"/>
    </row>
    <row r="520">
      <c r="Q520" s="32"/>
      <c r="R520" s="32"/>
      <c r="S520" s="32"/>
      <c r="T520" s="32"/>
    </row>
    <row r="521">
      <c r="Q521" s="32"/>
      <c r="R521" s="32"/>
      <c r="S521" s="32"/>
      <c r="T521" s="32"/>
    </row>
    <row r="522">
      <c r="Q522" s="32"/>
      <c r="R522" s="32"/>
      <c r="S522" s="32"/>
      <c r="T522" s="32"/>
    </row>
    <row r="523">
      <c r="Q523" s="32"/>
      <c r="R523" s="32"/>
      <c r="S523" s="32"/>
      <c r="T523" s="32"/>
    </row>
    <row r="524">
      <c r="Q524" s="32"/>
      <c r="R524" s="32"/>
      <c r="S524" s="32"/>
      <c r="T524" s="32"/>
    </row>
    <row r="525">
      <c r="Q525" s="32"/>
      <c r="R525" s="32"/>
      <c r="S525" s="32"/>
      <c r="T525" s="32"/>
    </row>
    <row r="526">
      <c r="Q526" s="32"/>
      <c r="R526" s="32"/>
      <c r="S526" s="32"/>
      <c r="T526" s="32"/>
    </row>
    <row r="527">
      <c r="Q527" s="32"/>
      <c r="R527" s="32"/>
      <c r="S527" s="32"/>
      <c r="T527" s="32"/>
    </row>
    <row r="528">
      <c r="Q528" s="32"/>
      <c r="R528" s="32"/>
      <c r="S528" s="32"/>
      <c r="T528" s="32"/>
    </row>
    <row r="529">
      <c r="Q529" s="32"/>
      <c r="R529" s="32"/>
      <c r="S529" s="32"/>
      <c r="T529" s="32"/>
    </row>
    <row r="530">
      <c r="Q530" s="32"/>
      <c r="R530" s="32"/>
      <c r="S530" s="32"/>
      <c r="T530" s="32"/>
    </row>
    <row r="531">
      <c r="Q531" s="32"/>
      <c r="R531" s="32"/>
      <c r="S531" s="32"/>
      <c r="T531" s="32"/>
    </row>
    <row r="532">
      <c r="Q532" s="32"/>
      <c r="R532" s="32"/>
      <c r="S532" s="32"/>
      <c r="T532" s="32"/>
    </row>
    <row r="533">
      <c r="Q533" s="32"/>
      <c r="R533" s="32"/>
      <c r="S533" s="32"/>
      <c r="T533" s="32"/>
    </row>
    <row r="534">
      <c r="Q534" s="32"/>
      <c r="R534" s="32"/>
      <c r="S534" s="32"/>
      <c r="T534" s="32"/>
    </row>
    <row r="535">
      <c r="Q535" s="32"/>
      <c r="R535" s="32"/>
      <c r="S535" s="32"/>
      <c r="T535" s="32"/>
    </row>
    <row r="536">
      <c r="Q536" s="32"/>
      <c r="R536" s="32"/>
      <c r="S536" s="32"/>
      <c r="T536" s="32"/>
    </row>
    <row r="537">
      <c r="Q537" s="32"/>
      <c r="R537" s="32"/>
      <c r="S537" s="32"/>
      <c r="T537" s="32"/>
    </row>
    <row r="538">
      <c r="Q538" s="32"/>
      <c r="R538" s="32"/>
      <c r="S538" s="32"/>
      <c r="T538" s="32"/>
    </row>
    <row r="539">
      <c r="Q539" s="32"/>
      <c r="R539" s="32"/>
      <c r="S539" s="32"/>
      <c r="T539" s="32"/>
    </row>
    <row r="540">
      <c r="Q540" s="32"/>
      <c r="R540" s="32"/>
      <c r="S540" s="32"/>
      <c r="T540" s="32"/>
    </row>
    <row r="541">
      <c r="Q541" s="32"/>
      <c r="R541" s="32"/>
      <c r="S541" s="32"/>
      <c r="T541" s="32"/>
    </row>
    <row r="542">
      <c r="Q542" s="32"/>
      <c r="R542" s="32"/>
      <c r="S542" s="32"/>
      <c r="T542" s="32"/>
    </row>
    <row r="543">
      <c r="Q543" s="32"/>
      <c r="R543" s="32"/>
      <c r="S543" s="32"/>
      <c r="T543" s="32"/>
    </row>
    <row r="544">
      <c r="Q544" s="32"/>
      <c r="R544" s="32"/>
      <c r="S544" s="32"/>
      <c r="T544" s="32"/>
    </row>
    <row r="545">
      <c r="Q545" s="32"/>
      <c r="R545" s="32"/>
      <c r="S545" s="32"/>
      <c r="T545" s="32"/>
    </row>
    <row r="546">
      <c r="Q546" s="32"/>
      <c r="R546" s="32"/>
      <c r="S546" s="32"/>
      <c r="T546" s="32"/>
    </row>
    <row r="547">
      <c r="Q547" s="32"/>
      <c r="R547" s="32"/>
      <c r="S547" s="32"/>
      <c r="T547" s="32"/>
    </row>
    <row r="548">
      <c r="Q548" s="32"/>
      <c r="R548" s="32"/>
      <c r="S548" s="32"/>
      <c r="T548" s="32"/>
    </row>
    <row r="549">
      <c r="Q549" s="32"/>
      <c r="R549" s="32"/>
      <c r="S549" s="32"/>
      <c r="T549" s="32"/>
    </row>
    <row r="550">
      <c r="Q550" s="32"/>
      <c r="R550" s="32"/>
      <c r="S550" s="32"/>
      <c r="T550" s="32"/>
    </row>
    <row r="551">
      <c r="Q551" s="32"/>
      <c r="R551" s="32"/>
      <c r="S551" s="32"/>
      <c r="T551" s="32"/>
    </row>
    <row r="552">
      <c r="Q552" s="32"/>
      <c r="R552" s="32"/>
      <c r="S552" s="32"/>
      <c r="T552" s="32"/>
    </row>
    <row r="553">
      <c r="Q553" s="32"/>
      <c r="R553" s="32"/>
      <c r="S553" s="32"/>
      <c r="T553" s="32"/>
    </row>
    <row r="554">
      <c r="Q554" s="32"/>
      <c r="R554" s="32"/>
      <c r="S554" s="32"/>
      <c r="T554" s="32"/>
    </row>
    <row r="555">
      <c r="Q555" s="32"/>
      <c r="R555" s="32"/>
      <c r="S555" s="32"/>
      <c r="T555" s="32"/>
    </row>
    <row r="556">
      <c r="Q556" s="32"/>
      <c r="R556" s="32"/>
      <c r="S556" s="32"/>
      <c r="T556" s="32"/>
    </row>
    <row r="557">
      <c r="Q557" s="32"/>
      <c r="R557" s="32"/>
      <c r="S557" s="32"/>
      <c r="T557" s="32"/>
    </row>
    <row r="558">
      <c r="Q558" s="32"/>
      <c r="R558" s="32"/>
      <c r="S558" s="32"/>
      <c r="T558" s="32"/>
    </row>
    <row r="559">
      <c r="Q559" s="32"/>
      <c r="R559" s="32"/>
      <c r="S559" s="32"/>
      <c r="T559" s="32"/>
    </row>
    <row r="560">
      <c r="Q560" s="32"/>
      <c r="R560" s="32"/>
      <c r="S560" s="32"/>
      <c r="T560" s="32"/>
    </row>
    <row r="561">
      <c r="Q561" s="32"/>
      <c r="R561" s="32"/>
      <c r="S561" s="32"/>
      <c r="T561" s="32"/>
    </row>
    <row r="562">
      <c r="Q562" s="32"/>
      <c r="R562" s="32"/>
      <c r="S562" s="32"/>
      <c r="T562" s="32"/>
    </row>
    <row r="563">
      <c r="Q563" s="32"/>
      <c r="R563" s="32"/>
      <c r="S563" s="32"/>
      <c r="T563" s="32"/>
    </row>
    <row r="564">
      <c r="Q564" s="32"/>
      <c r="R564" s="32"/>
      <c r="S564" s="32"/>
      <c r="T564" s="32"/>
    </row>
    <row r="565">
      <c r="Q565" s="32"/>
      <c r="R565" s="32"/>
      <c r="S565" s="32"/>
      <c r="T565" s="32"/>
    </row>
    <row r="566">
      <c r="Q566" s="32"/>
      <c r="R566" s="32"/>
      <c r="S566" s="32"/>
      <c r="T566" s="32"/>
    </row>
    <row r="567">
      <c r="Q567" s="32"/>
      <c r="R567" s="32"/>
      <c r="S567" s="32"/>
      <c r="T567" s="32"/>
    </row>
    <row r="568">
      <c r="Q568" s="32"/>
      <c r="R568" s="32"/>
      <c r="S568" s="32"/>
      <c r="T568" s="32"/>
    </row>
    <row r="569">
      <c r="Q569" s="32"/>
      <c r="R569" s="32"/>
      <c r="S569" s="32"/>
      <c r="T569" s="32"/>
    </row>
    <row r="570">
      <c r="Q570" s="32"/>
      <c r="R570" s="32"/>
      <c r="S570" s="32"/>
      <c r="T570" s="32"/>
    </row>
    <row r="571">
      <c r="Q571" s="32"/>
      <c r="R571" s="32"/>
      <c r="S571" s="32"/>
      <c r="T571" s="32"/>
    </row>
    <row r="572">
      <c r="Q572" s="32"/>
      <c r="R572" s="32"/>
      <c r="S572" s="32"/>
      <c r="T572" s="32"/>
    </row>
    <row r="573">
      <c r="Q573" s="32"/>
      <c r="R573" s="32"/>
      <c r="S573" s="32"/>
      <c r="T573" s="32"/>
    </row>
    <row r="574">
      <c r="Q574" s="32"/>
      <c r="R574" s="32"/>
      <c r="S574" s="32"/>
      <c r="T574" s="32"/>
    </row>
    <row r="575">
      <c r="Q575" s="32"/>
      <c r="R575" s="32"/>
      <c r="S575" s="32"/>
      <c r="T575" s="32"/>
    </row>
    <row r="576">
      <c r="Q576" s="32"/>
      <c r="R576" s="32"/>
      <c r="S576" s="32"/>
      <c r="T576" s="32"/>
    </row>
    <row r="577">
      <c r="Q577" s="32"/>
      <c r="R577" s="32"/>
      <c r="S577" s="32"/>
      <c r="T577" s="32"/>
    </row>
    <row r="578">
      <c r="Q578" s="32"/>
      <c r="R578" s="32"/>
      <c r="S578" s="32"/>
      <c r="T578" s="32"/>
    </row>
    <row r="579">
      <c r="Q579" s="32"/>
      <c r="R579" s="32"/>
      <c r="S579" s="32"/>
      <c r="T579" s="32"/>
    </row>
    <row r="580">
      <c r="Q580" s="32"/>
      <c r="R580" s="32"/>
      <c r="S580" s="32"/>
      <c r="T580" s="32"/>
    </row>
    <row r="581">
      <c r="Q581" s="32"/>
      <c r="R581" s="32"/>
      <c r="S581" s="32"/>
      <c r="T581" s="32"/>
    </row>
    <row r="582">
      <c r="Q582" s="32"/>
      <c r="R582" s="32"/>
      <c r="S582" s="32"/>
      <c r="T582" s="32"/>
    </row>
    <row r="583">
      <c r="Q583" s="32"/>
      <c r="R583" s="32"/>
      <c r="S583" s="32"/>
      <c r="T583" s="32"/>
    </row>
    <row r="584">
      <c r="Q584" s="32"/>
      <c r="R584" s="32"/>
      <c r="S584" s="32"/>
      <c r="T584" s="32"/>
    </row>
    <row r="585">
      <c r="Q585" s="32"/>
      <c r="R585" s="32"/>
      <c r="S585" s="32"/>
      <c r="T585" s="32"/>
    </row>
    <row r="586">
      <c r="Q586" s="32"/>
      <c r="R586" s="32"/>
      <c r="S586" s="32"/>
      <c r="T586" s="32"/>
    </row>
    <row r="587">
      <c r="Q587" s="32"/>
      <c r="R587" s="32"/>
      <c r="S587" s="32"/>
      <c r="T587" s="32"/>
    </row>
    <row r="588">
      <c r="Q588" s="32"/>
      <c r="R588" s="32"/>
      <c r="S588" s="32"/>
      <c r="T588" s="32"/>
    </row>
    <row r="589">
      <c r="Q589" s="32"/>
      <c r="R589" s="32"/>
      <c r="S589" s="32"/>
      <c r="T589" s="32"/>
    </row>
    <row r="590">
      <c r="Q590" s="32"/>
      <c r="R590" s="32"/>
      <c r="S590" s="32"/>
      <c r="T590" s="32"/>
    </row>
    <row r="591">
      <c r="Q591" s="32"/>
      <c r="R591" s="32"/>
      <c r="S591" s="32"/>
      <c r="T591" s="32"/>
    </row>
    <row r="592">
      <c r="Q592" s="32"/>
      <c r="R592" s="32"/>
      <c r="S592" s="32"/>
      <c r="T592" s="32"/>
    </row>
    <row r="593">
      <c r="Q593" s="32"/>
      <c r="R593" s="32"/>
      <c r="S593" s="32"/>
      <c r="T593" s="32"/>
    </row>
    <row r="594">
      <c r="Q594" s="32"/>
      <c r="R594" s="32"/>
      <c r="S594" s="32"/>
      <c r="T594" s="32"/>
    </row>
    <row r="595">
      <c r="Q595" s="32"/>
      <c r="R595" s="32"/>
      <c r="S595" s="32"/>
      <c r="T595" s="32"/>
    </row>
    <row r="596">
      <c r="Q596" s="32"/>
      <c r="R596" s="32"/>
      <c r="S596" s="32"/>
      <c r="T596" s="32"/>
    </row>
    <row r="597">
      <c r="Q597" s="32"/>
      <c r="R597" s="32"/>
      <c r="S597" s="32"/>
      <c r="T597" s="32"/>
    </row>
    <row r="598">
      <c r="Q598" s="32"/>
      <c r="R598" s="32"/>
      <c r="S598" s="32"/>
      <c r="T598" s="32"/>
    </row>
    <row r="599">
      <c r="Q599" s="32"/>
      <c r="R599" s="32"/>
      <c r="S599" s="32"/>
      <c r="T599" s="32"/>
    </row>
    <row r="600">
      <c r="Q600" s="32"/>
      <c r="R600" s="32"/>
      <c r="S600" s="32"/>
      <c r="T600" s="32"/>
    </row>
    <row r="601">
      <c r="Q601" s="32"/>
      <c r="R601" s="32"/>
      <c r="S601" s="32"/>
      <c r="T601" s="32"/>
    </row>
    <row r="602">
      <c r="Q602" s="32"/>
      <c r="R602" s="32"/>
      <c r="S602" s="32"/>
      <c r="T602" s="32"/>
    </row>
    <row r="603">
      <c r="Q603" s="32"/>
      <c r="R603" s="32"/>
      <c r="S603" s="32"/>
      <c r="T603" s="32"/>
    </row>
    <row r="604">
      <c r="Q604" s="32"/>
      <c r="R604" s="32"/>
      <c r="S604" s="32"/>
      <c r="T604" s="32"/>
    </row>
    <row r="605">
      <c r="Q605" s="32"/>
      <c r="R605" s="32"/>
      <c r="S605" s="32"/>
      <c r="T605" s="32"/>
    </row>
    <row r="606">
      <c r="Q606" s="32"/>
      <c r="R606" s="32"/>
      <c r="S606" s="32"/>
      <c r="T606" s="32"/>
    </row>
    <row r="607">
      <c r="Q607" s="32"/>
      <c r="R607" s="32"/>
      <c r="S607" s="32"/>
      <c r="T607" s="32"/>
    </row>
    <row r="608">
      <c r="Q608" s="32"/>
      <c r="R608" s="32"/>
      <c r="S608" s="32"/>
      <c r="T608" s="32"/>
    </row>
    <row r="609">
      <c r="Q609" s="32"/>
      <c r="R609" s="32"/>
      <c r="S609" s="32"/>
      <c r="T609" s="32"/>
    </row>
    <row r="610">
      <c r="Q610" s="32"/>
      <c r="R610" s="32"/>
      <c r="S610" s="32"/>
      <c r="T610" s="32"/>
    </row>
    <row r="611">
      <c r="Q611" s="32"/>
      <c r="R611" s="32"/>
      <c r="S611" s="32"/>
      <c r="T611" s="32"/>
    </row>
    <row r="612">
      <c r="Q612" s="32"/>
      <c r="R612" s="32"/>
      <c r="S612" s="32"/>
      <c r="T612" s="32"/>
    </row>
    <row r="613">
      <c r="Q613" s="32"/>
      <c r="R613" s="32"/>
      <c r="S613" s="32"/>
      <c r="T613" s="32"/>
    </row>
    <row r="614">
      <c r="Q614" s="32"/>
      <c r="R614" s="32"/>
      <c r="S614" s="32"/>
      <c r="T614" s="32"/>
    </row>
    <row r="615">
      <c r="Q615" s="32"/>
      <c r="R615" s="32"/>
      <c r="S615" s="32"/>
      <c r="T615" s="32"/>
    </row>
    <row r="616">
      <c r="Q616" s="32"/>
      <c r="R616" s="32"/>
      <c r="S616" s="32"/>
      <c r="T616" s="32"/>
    </row>
    <row r="617">
      <c r="Q617" s="32"/>
      <c r="R617" s="32"/>
      <c r="S617" s="32"/>
      <c r="T617" s="32"/>
    </row>
    <row r="618">
      <c r="Q618" s="32"/>
      <c r="R618" s="32"/>
      <c r="S618" s="32"/>
      <c r="T618" s="32"/>
    </row>
    <row r="619">
      <c r="Q619" s="32"/>
      <c r="R619" s="32"/>
      <c r="S619" s="32"/>
      <c r="T619" s="32"/>
    </row>
    <row r="620">
      <c r="Q620" s="32"/>
      <c r="R620" s="32"/>
      <c r="S620" s="32"/>
      <c r="T620" s="32"/>
    </row>
    <row r="621">
      <c r="Q621" s="32"/>
      <c r="R621" s="32"/>
      <c r="S621" s="32"/>
      <c r="T621" s="32"/>
    </row>
    <row r="622">
      <c r="Q622" s="32"/>
      <c r="R622" s="32"/>
      <c r="S622" s="32"/>
      <c r="T622" s="32"/>
    </row>
    <row r="623">
      <c r="Q623" s="32"/>
      <c r="R623" s="32"/>
      <c r="S623" s="32"/>
      <c r="T623" s="32"/>
    </row>
    <row r="624">
      <c r="Q624" s="32"/>
      <c r="R624" s="32"/>
      <c r="S624" s="32"/>
      <c r="T624" s="32"/>
    </row>
    <row r="625">
      <c r="Q625" s="32"/>
      <c r="R625" s="32"/>
      <c r="S625" s="32"/>
      <c r="T625" s="32"/>
    </row>
    <row r="626">
      <c r="Q626" s="32"/>
      <c r="R626" s="32"/>
      <c r="S626" s="32"/>
      <c r="T626" s="32"/>
    </row>
    <row r="627">
      <c r="Q627" s="32"/>
      <c r="R627" s="32"/>
      <c r="S627" s="32"/>
      <c r="T627" s="32"/>
    </row>
    <row r="628">
      <c r="Q628" s="32"/>
      <c r="R628" s="32"/>
      <c r="S628" s="32"/>
      <c r="T628" s="32"/>
    </row>
    <row r="629">
      <c r="Q629" s="32"/>
      <c r="R629" s="32"/>
      <c r="S629" s="32"/>
      <c r="T629" s="32"/>
    </row>
    <row r="630">
      <c r="Q630" s="32"/>
      <c r="R630" s="32"/>
      <c r="S630" s="32"/>
      <c r="T630" s="32"/>
    </row>
    <row r="631">
      <c r="Q631" s="32"/>
      <c r="R631" s="32"/>
      <c r="S631" s="32"/>
      <c r="T631" s="32"/>
    </row>
    <row r="632">
      <c r="Q632" s="32"/>
      <c r="R632" s="32"/>
      <c r="S632" s="32"/>
      <c r="T632" s="32"/>
    </row>
    <row r="633">
      <c r="Q633" s="32"/>
      <c r="R633" s="32"/>
      <c r="S633" s="32"/>
      <c r="T633" s="32"/>
    </row>
    <row r="634">
      <c r="Q634" s="32"/>
      <c r="R634" s="32"/>
      <c r="S634" s="32"/>
      <c r="T634" s="32"/>
    </row>
    <row r="635">
      <c r="Q635" s="32"/>
      <c r="R635" s="32"/>
      <c r="S635" s="32"/>
      <c r="T635" s="32"/>
    </row>
    <row r="636">
      <c r="Q636" s="32"/>
      <c r="R636" s="32"/>
      <c r="S636" s="32"/>
      <c r="T636" s="32"/>
    </row>
    <row r="637">
      <c r="Q637" s="32"/>
      <c r="R637" s="32"/>
      <c r="S637" s="32"/>
      <c r="T637" s="32"/>
    </row>
    <row r="638">
      <c r="Q638" s="32"/>
      <c r="R638" s="32"/>
      <c r="S638" s="32"/>
      <c r="T638" s="32"/>
    </row>
    <row r="639">
      <c r="Q639" s="32"/>
      <c r="R639" s="32"/>
      <c r="S639" s="32"/>
      <c r="T639" s="32"/>
    </row>
    <row r="640">
      <c r="Q640" s="32"/>
      <c r="R640" s="32"/>
      <c r="S640" s="32"/>
      <c r="T640" s="32"/>
    </row>
    <row r="641">
      <c r="Q641" s="32"/>
      <c r="R641" s="32"/>
      <c r="S641" s="32"/>
      <c r="T641" s="32"/>
    </row>
    <row r="642">
      <c r="Q642" s="32"/>
      <c r="R642" s="32"/>
      <c r="S642" s="32"/>
      <c r="T642" s="32"/>
    </row>
    <row r="643">
      <c r="Q643" s="32"/>
      <c r="R643" s="32"/>
      <c r="S643" s="32"/>
      <c r="T643" s="32"/>
    </row>
    <row r="644">
      <c r="Q644" s="32"/>
      <c r="R644" s="32"/>
      <c r="S644" s="32"/>
      <c r="T644" s="32"/>
    </row>
    <row r="645">
      <c r="Q645" s="32"/>
      <c r="R645" s="32"/>
      <c r="S645" s="32"/>
      <c r="T645" s="32"/>
    </row>
    <row r="646">
      <c r="Q646" s="32"/>
      <c r="R646" s="32"/>
      <c r="S646" s="32"/>
      <c r="T646" s="32"/>
    </row>
    <row r="647">
      <c r="Q647" s="32"/>
      <c r="R647" s="32"/>
      <c r="S647" s="32"/>
      <c r="T647" s="32"/>
    </row>
    <row r="648">
      <c r="Q648" s="32"/>
      <c r="R648" s="32"/>
      <c r="S648" s="32"/>
      <c r="T648" s="32"/>
    </row>
    <row r="649">
      <c r="Q649" s="32"/>
      <c r="R649" s="32"/>
      <c r="S649" s="32"/>
      <c r="T649" s="32"/>
    </row>
    <row r="650">
      <c r="Q650" s="32"/>
      <c r="R650" s="32"/>
      <c r="S650" s="32"/>
      <c r="T650" s="32"/>
    </row>
    <row r="651">
      <c r="Q651" s="32"/>
      <c r="R651" s="32"/>
      <c r="S651" s="32"/>
      <c r="T651" s="32"/>
    </row>
    <row r="652">
      <c r="Q652" s="32"/>
      <c r="R652" s="32"/>
      <c r="S652" s="32"/>
      <c r="T652" s="32"/>
    </row>
    <row r="653">
      <c r="Q653" s="32"/>
      <c r="R653" s="32"/>
      <c r="S653" s="32"/>
      <c r="T653" s="32"/>
    </row>
    <row r="654">
      <c r="Q654" s="32"/>
      <c r="R654" s="32"/>
      <c r="S654" s="32"/>
      <c r="T654" s="32"/>
    </row>
    <row r="655">
      <c r="Q655" s="32"/>
      <c r="R655" s="32"/>
      <c r="S655" s="32"/>
      <c r="T655" s="32"/>
    </row>
    <row r="656">
      <c r="Q656" s="32"/>
      <c r="R656" s="32"/>
      <c r="S656" s="32"/>
      <c r="T656" s="32"/>
    </row>
    <row r="657">
      <c r="Q657" s="32"/>
      <c r="R657" s="32"/>
      <c r="S657" s="32"/>
      <c r="T657" s="32"/>
    </row>
    <row r="658">
      <c r="Q658" s="32"/>
      <c r="R658" s="32"/>
      <c r="S658" s="32"/>
      <c r="T658" s="32"/>
    </row>
    <row r="659">
      <c r="Q659" s="32"/>
      <c r="R659" s="32"/>
      <c r="S659" s="32"/>
      <c r="T659" s="32"/>
    </row>
    <row r="660">
      <c r="Q660" s="32"/>
      <c r="R660" s="32"/>
      <c r="S660" s="32"/>
      <c r="T660" s="32"/>
    </row>
    <row r="661">
      <c r="Q661" s="32"/>
      <c r="R661" s="32"/>
      <c r="S661" s="32"/>
      <c r="T661" s="32"/>
    </row>
    <row r="662">
      <c r="Q662" s="32"/>
      <c r="R662" s="32"/>
      <c r="S662" s="32"/>
      <c r="T662" s="32"/>
    </row>
    <row r="663">
      <c r="Q663" s="32"/>
      <c r="R663" s="32"/>
      <c r="S663" s="32"/>
      <c r="T663" s="32"/>
    </row>
    <row r="664">
      <c r="Q664" s="32"/>
      <c r="R664" s="32"/>
      <c r="S664" s="32"/>
      <c r="T664" s="32"/>
    </row>
    <row r="665">
      <c r="Q665" s="32"/>
      <c r="R665" s="32"/>
      <c r="S665" s="32"/>
      <c r="T665" s="32"/>
    </row>
    <row r="666">
      <c r="Q666" s="32"/>
      <c r="R666" s="32"/>
      <c r="S666" s="32"/>
      <c r="T666" s="32"/>
    </row>
    <row r="667">
      <c r="Q667" s="32"/>
      <c r="R667" s="32"/>
      <c r="S667" s="32"/>
      <c r="T667" s="32"/>
    </row>
    <row r="668">
      <c r="Q668" s="32"/>
      <c r="R668" s="32"/>
      <c r="S668" s="32"/>
      <c r="T668" s="32"/>
    </row>
    <row r="669">
      <c r="Q669" s="32"/>
      <c r="R669" s="32"/>
      <c r="S669" s="32"/>
      <c r="T669" s="32"/>
    </row>
    <row r="670">
      <c r="Q670" s="32"/>
      <c r="R670" s="32"/>
      <c r="S670" s="32"/>
      <c r="T670" s="32"/>
    </row>
    <row r="671">
      <c r="Q671" s="32"/>
      <c r="R671" s="32"/>
      <c r="S671" s="32"/>
      <c r="T671" s="32"/>
    </row>
    <row r="672">
      <c r="Q672" s="32"/>
      <c r="R672" s="32"/>
      <c r="S672" s="32"/>
      <c r="T672" s="32"/>
    </row>
    <row r="673">
      <c r="Q673" s="32"/>
      <c r="R673" s="32"/>
      <c r="S673" s="32"/>
      <c r="T673" s="32"/>
    </row>
    <row r="674">
      <c r="Q674" s="32"/>
      <c r="R674" s="32"/>
      <c r="S674" s="32"/>
      <c r="T674" s="32"/>
    </row>
    <row r="675">
      <c r="Q675" s="32"/>
      <c r="R675" s="32"/>
      <c r="S675" s="32"/>
      <c r="T675" s="32"/>
    </row>
    <row r="676">
      <c r="Q676" s="32"/>
      <c r="R676" s="32"/>
      <c r="S676" s="32"/>
      <c r="T676" s="32"/>
    </row>
    <row r="677">
      <c r="Q677" s="32"/>
      <c r="R677" s="32"/>
      <c r="S677" s="32"/>
      <c r="T677" s="32"/>
    </row>
    <row r="678">
      <c r="Q678" s="32"/>
      <c r="R678" s="32"/>
      <c r="S678" s="32"/>
      <c r="T678" s="32"/>
    </row>
    <row r="679">
      <c r="Q679" s="32"/>
      <c r="R679" s="32"/>
      <c r="S679" s="32"/>
      <c r="T679" s="32"/>
    </row>
    <row r="680">
      <c r="Q680" s="32"/>
      <c r="R680" s="32"/>
      <c r="S680" s="32"/>
      <c r="T680" s="32"/>
    </row>
    <row r="681">
      <c r="Q681" s="32"/>
      <c r="R681" s="32"/>
      <c r="S681" s="32"/>
      <c r="T681" s="32"/>
    </row>
    <row r="682">
      <c r="Q682" s="32"/>
      <c r="R682" s="32"/>
      <c r="S682" s="32"/>
      <c r="T682" s="32"/>
    </row>
    <row r="683">
      <c r="Q683" s="32"/>
      <c r="R683" s="32"/>
      <c r="S683" s="32"/>
      <c r="T683" s="32"/>
    </row>
    <row r="684">
      <c r="Q684" s="32"/>
      <c r="R684" s="32"/>
      <c r="S684" s="32"/>
      <c r="T684" s="32"/>
    </row>
    <row r="685">
      <c r="Q685" s="32"/>
      <c r="R685" s="32"/>
      <c r="S685" s="32"/>
      <c r="T685" s="32"/>
    </row>
    <row r="686">
      <c r="Q686" s="32"/>
      <c r="R686" s="32"/>
      <c r="S686" s="32"/>
      <c r="T686" s="32"/>
    </row>
    <row r="687">
      <c r="Q687" s="32"/>
      <c r="R687" s="32"/>
      <c r="S687" s="32"/>
      <c r="T687" s="32"/>
    </row>
    <row r="688">
      <c r="Q688" s="32"/>
      <c r="R688" s="32"/>
      <c r="S688" s="32"/>
      <c r="T688" s="32"/>
    </row>
    <row r="689">
      <c r="Q689" s="32"/>
      <c r="R689" s="32"/>
      <c r="S689" s="32"/>
      <c r="T689" s="32"/>
    </row>
    <row r="690">
      <c r="Q690" s="32"/>
      <c r="R690" s="32"/>
      <c r="S690" s="32"/>
      <c r="T690" s="32"/>
    </row>
    <row r="691">
      <c r="Q691" s="32"/>
      <c r="R691" s="32"/>
      <c r="S691" s="32"/>
      <c r="T691" s="32"/>
    </row>
    <row r="692">
      <c r="Q692" s="32"/>
      <c r="R692" s="32"/>
      <c r="S692" s="32"/>
      <c r="T692" s="32"/>
    </row>
    <row r="693">
      <c r="Q693" s="32"/>
      <c r="R693" s="32"/>
      <c r="S693" s="32"/>
      <c r="T693" s="32"/>
    </row>
    <row r="694">
      <c r="Q694" s="32"/>
      <c r="R694" s="32"/>
      <c r="S694" s="32"/>
      <c r="T694" s="32"/>
    </row>
    <row r="695">
      <c r="Q695" s="32"/>
      <c r="R695" s="32"/>
      <c r="S695" s="32"/>
      <c r="T695" s="32"/>
    </row>
    <row r="696">
      <c r="Q696" s="32"/>
      <c r="R696" s="32"/>
      <c r="S696" s="32"/>
      <c r="T696" s="32"/>
    </row>
    <row r="697">
      <c r="Q697" s="32"/>
      <c r="R697" s="32"/>
      <c r="S697" s="32"/>
      <c r="T697" s="32"/>
    </row>
    <row r="698">
      <c r="Q698" s="32"/>
      <c r="R698" s="32"/>
      <c r="S698" s="32"/>
      <c r="T698" s="32"/>
    </row>
    <row r="699">
      <c r="Q699" s="32"/>
      <c r="R699" s="32"/>
      <c r="S699" s="32"/>
      <c r="T699" s="32"/>
    </row>
    <row r="700">
      <c r="Q700" s="32"/>
      <c r="R700" s="32"/>
      <c r="S700" s="32"/>
      <c r="T700" s="32"/>
    </row>
    <row r="701">
      <c r="Q701" s="32"/>
      <c r="R701" s="32"/>
      <c r="S701" s="32"/>
      <c r="T701" s="32"/>
    </row>
    <row r="702">
      <c r="Q702" s="32"/>
      <c r="R702" s="32"/>
      <c r="S702" s="32"/>
      <c r="T702" s="32"/>
    </row>
    <row r="703">
      <c r="Q703" s="32"/>
      <c r="R703" s="32"/>
      <c r="S703" s="32"/>
      <c r="T703" s="32"/>
    </row>
    <row r="704">
      <c r="Q704" s="32"/>
      <c r="R704" s="32"/>
      <c r="S704" s="32"/>
      <c r="T704" s="32"/>
    </row>
    <row r="705">
      <c r="Q705" s="32"/>
      <c r="R705" s="32"/>
      <c r="S705" s="32"/>
      <c r="T705" s="32"/>
    </row>
    <row r="706">
      <c r="Q706" s="32"/>
      <c r="R706" s="32"/>
      <c r="S706" s="32"/>
      <c r="T706" s="32"/>
    </row>
    <row r="707">
      <c r="Q707" s="32"/>
      <c r="R707" s="32"/>
      <c r="S707" s="32"/>
      <c r="T707" s="32"/>
    </row>
    <row r="708">
      <c r="Q708" s="32"/>
      <c r="R708" s="32"/>
      <c r="S708" s="32"/>
      <c r="T708" s="32"/>
    </row>
    <row r="709">
      <c r="Q709" s="32"/>
      <c r="R709" s="32"/>
      <c r="S709" s="32"/>
      <c r="T709" s="32"/>
    </row>
    <row r="710">
      <c r="Q710" s="32"/>
      <c r="R710" s="32"/>
      <c r="S710" s="32"/>
      <c r="T710" s="32"/>
    </row>
    <row r="711">
      <c r="Q711" s="32"/>
      <c r="R711" s="32"/>
      <c r="S711" s="32"/>
      <c r="T711" s="32"/>
    </row>
    <row r="712">
      <c r="Q712" s="32"/>
      <c r="R712" s="32"/>
      <c r="S712" s="32"/>
      <c r="T712" s="32"/>
    </row>
    <row r="713">
      <c r="Q713" s="32"/>
      <c r="R713" s="32"/>
      <c r="S713" s="32"/>
      <c r="T713" s="32"/>
    </row>
    <row r="714">
      <c r="Q714" s="32"/>
      <c r="R714" s="32"/>
      <c r="S714" s="32"/>
      <c r="T714" s="32"/>
    </row>
    <row r="715">
      <c r="Q715" s="32"/>
      <c r="R715" s="32"/>
      <c r="S715" s="32"/>
      <c r="T715" s="32"/>
    </row>
    <row r="716">
      <c r="Q716" s="32"/>
      <c r="R716" s="32"/>
      <c r="S716" s="32"/>
      <c r="T716" s="32"/>
    </row>
    <row r="717">
      <c r="Q717" s="32"/>
      <c r="R717" s="32"/>
      <c r="S717" s="32"/>
      <c r="T717" s="32"/>
    </row>
    <row r="718">
      <c r="Q718" s="32"/>
      <c r="R718" s="32"/>
      <c r="S718" s="32"/>
      <c r="T718" s="32"/>
    </row>
    <row r="719">
      <c r="Q719" s="32"/>
      <c r="R719" s="32"/>
      <c r="S719" s="32"/>
      <c r="T719" s="32"/>
    </row>
    <row r="720">
      <c r="Q720" s="32"/>
      <c r="R720" s="32"/>
      <c r="S720" s="32"/>
      <c r="T720" s="32"/>
    </row>
    <row r="721">
      <c r="Q721" s="32"/>
      <c r="R721" s="32"/>
      <c r="S721" s="32"/>
      <c r="T721" s="32"/>
    </row>
    <row r="722">
      <c r="Q722" s="32"/>
      <c r="R722" s="32"/>
      <c r="S722" s="32"/>
      <c r="T722" s="32"/>
    </row>
    <row r="723">
      <c r="Q723" s="32"/>
      <c r="R723" s="32"/>
      <c r="S723" s="32"/>
      <c r="T723" s="32"/>
    </row>
    <row r="724">
      <c r="Q724" s="32"/>
      <c r="R724" s="32"/>
      <c r="S724" s="32"/>
      <c r="T724" s="32"/>
    </row>
    <row r="725">
      <c r="Q725" s="32"/>
      <c r="R725" s="32"/>
      <c r="S725" s="32"/>
      <c r="T725" s="32"/>
    </row>
    <row r="726">
      <c r="Q726" s="32"/>
      <c r="R726" s="32"/>
      <c r="S726" s="32"/>
      <c r="T726" s="32"/>
    </row>
    <row r="727">
      <c r="Q727" s="32"/>
      <c r="R727" s="32"/>
      <c r="S727" s="32"/>
      <c r="T727" s="32"/>
    </row>
    <row r="728">
      <c r="Q728" s="32"/>
      <c r="R728" s="32"/>
      <c r="S728" s="32"/>
      <c r="T728" s="32"/>
    </row>
    <row r="729">
      <c r="Q729" s="32"/>
      <c r="R729" s="32"/>
      <c r="S729" s="32"/>
      <c r="T729" s="32"/>
    </row>
    <row r="730">
      <c r="Q730" s="32"/>
      <c r="R730" s="32"/>
      <c r="S730" s="32"/>
      <c r="T730" s="32"/>
    </row>
    <row r="731">
      <c r="Q731" s="32"/>
      <c r="R731" s="32"/>
      <c r="S731" s="32"/>
      <c r="T731" s="32"/>
    </row>
    <row r="732">
      <c r="Q732" s="32"/>
      <c r="R732" s="32"/>
      <c r="S732" s="32"/>
      <c r="T732" s="32"/>
    </row>
    <row r="733">
      <c r="Q733" s="32"/>
      <c r="R733" s="32"/>
      <c r="S733" s="32"/>
      <c r="T733" s="32"/>
    </row>
    <row r="734">
      <c r="Q734" s="32"/>
      <c r="R734" s="32"/>
      <c r="S734" s="32"/>
      <c r="T734" s="32"/>
    </row>
    <row r="735">
      <c r="Q735" s="32"/>
      <c r="R735" s="32"/>
      <c r="S735" s="32"/>
      <c r="T735" s="32"/>
    </row>
    <row r="736">
      <c r="Q736" s="32"/>
      <c r="R736" s="32"/>
      <c r="S736" s="32"/>
      <c r="T736" s="32"/>
    </row>
    <row r="737">
      <c r="Q737" s="32"/>
      <c r="R737" s="32"/>
      <c r="S737" s="32"/>
      <c r="T737" s="32"/>
    </row>
    <row r="738">
      <c r="Q738" s="32"/>
      <c r="R738" s="32"/>
      <c r="S738" s="32"/>
      <c r="T738" s="32"/>
    </row>
    <row r="739">
      <c r="Q739" s="32"/>
      <c r="R739" s="32"/>
      <c r="S739" s="32"/>
      <c r="T739" s="32"/>
    </row>
    <row r="740">
      <c r="Q740" s="32"/>
      <c r="R740" s="32"/>
      <c r="S740" s="32"/>
      <c r="T740" s="32"/>
    </row>
    <row r="741">
      <c r="Q741" s="32"/>
      <c r="R741" s="32"/>
      <c r="S741" s="32"/>
      <c r="T741" s="32"/>
    </row>
    <row r="742">
      <c r="Q742" s="32"/>
      <c r="R742" s="32"/>
      <c r="S742" s="32"/>
      <c r="T742" s="32"/>
    </row>
    <row r="743">
      <c r="Q743" s="32"/>
      <c r="R743" s="32"/>
      <c r="S743" s="32"/>
      <c r="T743" s="32"/>
    </row>
    <row r="744">
      <c r="Q744" s="32"/>
      <c r="R744" s="32"/>
      <c r="S744" s="32"/>
      <c r="T744" s="32"/>
    </row>
    <row r="745">
      <c r="Q745" s="32"/>
      <c r="R745" s="32"/>
      <c r="S745" s="32"/>
      <c r="T745" s="32"/>
    </row>
    <row r="746">
      <c r="Q746" s="32"/>
      <c r="R746" s="32"/>
      <c r="S746" s="32"/>
      <c r="T746" s="32"/>
    </row>
    <row r="747">
      <c r="Q747" s="32"/>
      <c r="R747" s="32"/>
      <c r="S747" s="32"/>
      <c r="T747" s="32"/>
    </row>
    <row r="748">
      <c r="Q748" s="32"/>
      <c r="R748" s="32"/>
      <c r="S748" s="32"/>
      <c r="T748" s="32"/>
    </row>
    <row r="749">
      <c r="Q749" s="32"/>
      <c r="R749" s="32"/>
      <c r="S749" s="32"/>
      <c r="T749" s="32"/>
    </row>
    <row r="750">
      <c r="Q750" s="32"/>
      <c r="R750" s="32"/>
      <c r="S750" s="32"/>
      <c r="T750" s="32"/>
    </row>
    <row r="751">
      <c r="Q751" s="32"/>
      <c r="R751" s="32"/>
      <c r="S751" s="32"/>
      <c r="T751" s="32"/>
    </row>
    <row r="752">
      <c r="Q752" s="32"/>
      <c r="R752" s="32"/>
      <c r="S752" s="32"/>
      <c r="T752" s="32"/>
    </row>
    <row r="753">
      <c r="Q753" s="32"/>
      <c r="R753" s="32"/>
      <c r="S753" s="32"/>
      <c r="T753" s="32"/>
    </row>
    <row r="754">
      <c r="Q754" s="32"/>
      <c r="R754" s="32"/>
      <c r="S754" s="32"/>
      <c r="T754" s="32"/>
    </row>
    <row r="755">
      <c r="Q755" s="32"/>
      <c r="R755" s="32"/>
      <c r="S755" s="32"/>
      <c r="T755" s="32"/>
    </row>
    <row r="756">
      <c r="Q756" s="32"/>
      <c r="R756" s="32"/>
      <c r="S756" s="32"/>
      <c r="T756" s="32"/>
    </row>
    <row r="757">
      <c r="Q757" s="32"/>
      <c r="R757" s="32"/>
      <c r="S757" s="32"/>
      <c r="T757" s="32"/>
    </row>
    <row r="758">
      <c r="Q758" s="32"/>
      <c r="R758" s="32"/>
      <c r="S758" s="32"/>
      <c r="T758" s="32"/>
    </row>
    <row r="759">
      <c r="Q759" s="32"/>
      <c r="R759" s="32"/>
      <c r="S759" s="32"/>
      <c r="T759" s="32"/>
    </row>
    <row r="760">
      <c r="Q760" s="32"/>
      <c r="R760" s="32"/>
      <c r="S760" s="32"/>
      <c r="T760" s="32"/>
    </row>
    <row r="761">
      <c r="Q761" s="32"/>
      <c r="R761" s="32"/>
      <c r="S761" s="32"/>
      <c r="T761" s="32"/>
    </row>
    <row r="762">
      <c r="Q762" s="32"/>
      <c r="R762" s="32"/>
      <c r="S762" s="32"/>
      <c r="T762" s="32"/>
    </row>
    <row r="763">
      <c r="Q763" s="32"/>
      <c r="R763" s="32"/>
      <c r="S763" s="32"/>
      <c r="T763" s="32"/>
    </row>
    <row r="764">
      <c r="Q764" s="32"/>
      <c r="R764" s="32"/>
      <c r="S764" s="32"/>
      <c r="T764" s="32"/>
    </row>
    <row r="765">
      <c r="Q765" s="32"/>
      <c r="R765" s="32"/>
      <c r="S765" s="32"/>
      <c r="T765" s="32"/>
    </row>
    <row r="766">
      <c r="Q766" s="32"/>
      <c r="R766" s="32"/>
      <c r="S766" s="32"/>
      <c r="T766" s="32"/>
    </row>
    <row r="767">
      <c r="Q767" s="32"/>
      <c r="R767" s="32"/>
      <c r="S767" s="32"/>
      <c r="T767" s="32"/>
    </row>
    <row r="768">
      <c r="Q768" s="32"/>
      <c r="R768" s="32"/>
      <c r="S768" s="32"/>
      <c r="T768" s="32"/>
    </row>
    <row r="769">
      <c r="Q769" s="32"/>
      <c r="R769" s="32"/>
      <c r="S769" s="32"/>
      <c r="T769" s="32"/>
    </row>
    <row r="770">
      <c r="Q770" s="32"/>
      <c r="R770" s="32"/>
      <c r="S770" s="32"/>
      <c r="T770" s="32"/>
    </row>
    <row r="771">
      <c r="Q771" s="32"/>
      <c r="R771" s="32"/>
      <c r="S771" s="32"/>
      <c r="T771" s="32"/>
    </row>
    <row r="772">
      <c r="Q772" s="32"/>
      <c r="R772" s="32"/>
      <c r="S772" s="32"/>
      <c r="T772" s="32"/>
    </row>
    <row r="773">
      <c r="Q773" s="32"/>
      <c r="R773" s="32"/>
      <c r="S773" s="32"/>
      <c r="T773" s="32"/>
    </row>
    <row r="774">
      <c r="Q774" s="32"/>
      <c r="R774" s="32"/>
      <c r="S774" s="32"/>
      <c r="T774" s="32"/>
    </row>
    <row r="775">
      <c r="Q775" s="32"/>
      <c r="R775" s="32"/>
      <c r="S775" s="32"/>
      <c r="T775" s="32"/>
    </row>
    <row r="776">
      <c r="Q776" s="32"/>
      <c r="R776" s="32"/>
      <c r="S776" s="32"/>
      <c r="T776" s="32"/>
    </row>
    <row r="777">
      <c r="Q777" s="32"/>
      <c r="R777" s="32"/>
      <c r="S777" s="32"/>
      <c r="T777" s="32"/>
    </row>
    <row r="778">
      <c r="Q778" s="32"/>
      <c r="R778" s="32"/>
      <c r="S778" s="32"/>
      <c r="T778" s="32"/>
    </row>
    <row r="779">
      <c r="Q779" s="32"/>
      <c r="R779" s="32"/>
      <c r="S779" s="32"/>
      <c r="T779" s="32"/>
    </row>
    <row r="780">
      <c r="Q780" s="32"/>
      <c r="R780" s="32"/>
      <c r="S780" s="32"/>
      <c r="T780" s="32"/>
    </row>
    <row r="781">
      <c r="Q781" s="32"/>
      <c r="R781" s="32"/>
      <c r="S781" s="32"/>
      <c r="T781" s="32"/>
    </row>
    <row r="782">
      <c r="Q782" s="32"/>
      <c r="R782" s="32"/>
      <c r="S782" s="32"/>
      <c r="T782" s="32"/>
    </row>
    <row r="783">
      <c r="Q783" s="32"/>
      <c r="R783" s="32"/>
      <c r="S783" s="32"/>
      <c r="T783" s="32"/>
    </row>
    <row r="784">
      <c r="Q784" s="32"/>
      <c r="R784" s="32"/>
      <c r="S784" s="32"/>
      <c r="T784" s="32"/>
    </row>
    <row r="785">
      <c r="Q785" s="32"/>
      <c r="R785" s="32"/>
      <c r="S785" s="32"/>
      <c r="T785" s="32"/>
    </row>
    <row r="786">
      <c r="Q786" s="32"/>
      <c r="R786" s="32"/>
      <c r="S786" s="32"/>
      <c r="T786" s="32"/>
    </row>
    <row r="787">
      <c r="Q787" s="32"/>
      <c r="R787" s="32"/>
      <c r="S787" s="32"/>
      <c r="T787" s="32"/>
    </row>
    <row r="788">
      <c r="Q788" s="32"/>
      <c r="R788" s="32"/>
      <c r="S788" s="32"/>
      <c r="T788" s="32"/>
    </row>
    <row r="789">
      <c r="Q789" s="32"/>
      <c r="R789" s="32"/>
      <c r="S789" s="32"/>
      <c r="T789" s="32"/>
    </row>
    <row r="790">
      <c r="Q790" s="32"/>
      <c r="R790" s="32"/>
      <c r="S790" s="32"/>
      <c r="T790" s="32"/>
    </row>
    <row r="791">
      <c r="Q791" s="32"/>
      <c r="R791" s="32"/>
      <c r="S791" s="32"/>
      <c r="T791" s="32"/>
    </row>
    <row r="792">
      <c r="Q792" s="32"/>
      <c r="R792" s="32"/>
      <c r="S792" s="32"/>
      <c r="T792" s="32"/>
    </row>
    <row r="793">
      <c r="Q793" s="32"/>
      <c r="R793" s="32"/>
      <c r="S793" s="32"/>
      <c r="T793" s="32"/>
    </row>
    <row r="794">
      <c r="Q794" s="32"/>
      <c r="R794" s="32"/>
      <c r="S794" s="32"/>
      <c r="T794" s="32"/>
    </row>
    <row r="795">
      <c r="Q795" s="32"/>
      <c r="R795" s="32"/>
      <c r="S795" s="32"/>
      <c r="T795" s="32"/>
    </row>
    <row r="796">
      <c r="Q796" s="32"/>
      <c r="R796" s="32"/>
      <c r="S796" s="32"/>
      <c r="T796" s="32"/>
    </row>
    <row r="797">
      <c r="Q797" s="32"/>
      <c r="R797" s="32"/>
      <c r="S797" s="32"/>
      <c r="T797" s="32"/>
    </row>
    <row r="798">
      <c r="Q798" s="32"/>
      <c r="R798" s="32"/>
      <c r="S798" s="32"/>
      <c r="T798" s="32"/>
    </row>
    <row r="799">
      <c r="Q799" s="32"/>
      <c r="R799" s="32"/>
      <c r="S799" s="32"/>
      <c r="T799" s="32"/>
    </row>
    <row r="800">
      <c r="Q800" s="32"/>
      <c r="R800" s="32"/>
      <c r="S800" s="32"/>
      <c r="T800" s="32"/>
    </row>
    <row r="801">
      <c r="Q801" s="32"/>
      <c r="R801" s="32"/>
      <c r="S801" s="32"/>
      <c r="T801" s="32"/>
    </row>
    <row r="802">
      <c r="Q802" s="32"/>
      <c r="R802" s="32"/>
      <c r="S802" s="32"/>
      <c r="T802" s="32"/>
    </row>
    <row r="803">
      <c r="Q803" s="32"/>
      <c r="R803" s="32"/>
      <c r="S803" s="32"/>
      <c r="T803" s="32"/>
    </row>
    <row r="804">
      <c r="Q804" s="32"/>
      <c r="R804" s="32"/>
      <c r="S804" s="32"/>
      <c r="T804" s="32"/>
    </row>
    <row r="805">
      <c r="Q805" s="32"/>
      <c r="R805" s="32"/>
      <c r="S805" s="32"/>
      <c r="T805" s="32"/>
    </row>
    <row r="806">
      <c r="Q806" s="32"/>
      <c r="R806" s="32"/>
      <c r="S806" s="32"/>
      <c r="T806" s="32"/>
    </row>
    <row r="807">
      <c r="Q807" s="32"/>
      <c r="R807" s="32"/>
      <c r="S807" s="32"/>
      <c r="T807" s="32"/>
    </row>
    <row r="808">
      <c r="Q808" s="32"/>
      <c r="R808" s="32"/>
      <c r="S808" s="32"/>
      <c r="T808" s="32"/>
    </row>
    <row r="809">
      <c r="Q809" s="32"/>
      <c r="R809" s="32"/>
      <c r="S809" s="32"/>
      <c r="T809" s="32"/>
    </row>
    <row r="810">
      <c r="Q810" s="32"/>
      <c r="R810" s="32"/>
      <c r="S810" s="32"/>
      <c r="T810" s="32"/>
    </row>
    <row r="811">
      <c r="Q811" s="32"/>
      <c r="R811" s="32"/>
      <c r="S811" s="32"/>
      <c r="T811" s="32"/>
    </row>
    <row r="812">
      <c r="Q812" s="32"/>
      <c r="R812" s="32"/>
      <c r="S812" s="32"/>
      <c r="T812" s="32"/>
    </row>
    <row r="813">
      <c r="Q813" s="32"/>
      <c r="R813" s="32"/>
      <c r="S813" s="32"/>
      <c r="T813" s="32"/>
    </row>
    <row r="814">
      <c r="Q814" s="32"/>
      <c r="R814" s="32"/>
      <c r="S814" s="32"/>
      <c r="T814" s="32"/>
    </row>
    <row r="815">
      <c r="Q815" s="32"/>
      <c r="R815" s="32"/>
      <c r="S815" s="32"/>
      <c r="T815" s="32"/>
    </row>
    <row r="816">
      <c r="Q816" s="32"/>
      <c r="R816" s="32"/>
      <c r="S816" s="32"/>
      <c r="T816" s="32"/>
    </row>
    <row r="817">
      <c r="Q817" s="32"/>
      <c r="R817" s="32"/>
      <c r="S817" s="32"/>
      <c r="T817" s="32"/>
    </row>
    <row r="818">
      <c r="Q818" s="32"/>
      <c r="R818" s="32"/>
      <c r="S818" s="32"/>
      <c r="T818" s="32"/>
    </row>
    <row r="819">
      <c r="Q819" s="32"/>
      <c r="R819" s="32"/>
      <c r="S819" s="32"/>
      <c r="T819" s="32"/>
    </row>
    <row r="820">
      <c r="Q820" s="32"/>
      <c r="R820" s="32"/>
      <c r="S820" s="32"/>
      <c r="T820" s="32"/>
    </row>
    <row r="821">
      <c r="Q821" s="32"/>
      <c r="R821" s="32"/>
      <c r="S821" s="32"/>
      <c r="T821" s="32"/>
    </row>
    <row r="822">
      <c r="Q822" s="32"/>
      <c r="R822" s="32"/>
      <c r="S822" s="32"/>
      <c r="T822" s="32"/>
    </row>
    <row r="823">
      <c r="Q823" s="32"/>
      <c r="R823" s="32"/>
      <c r="S823" s="32"/>
      <c r="T823" s="32"/>
    </row>
    <row r="824">
      <c r="Q824" s="32"/>
      <c r="R824" s="32"/>
      <c r="S824" s="32"/>
      <c r="T824" s="32"/>
    </row>
    <row r="825">
      <c r="Q825" s="32"/>
      <c r="R825" s="32"/>
      <c r="S825" s="32"/>
      <c r="T825" s="32"/>
    </row>
    <row r="826">
      <c r="Q826" s="32"/>
      <c r="R826" s="32"/>
      <c r="S826" s="32"/>
      <c r="T826" s="32"/>
    </row>
    <row r="827">
      <c r="Q827" s="32"/>
      <c r="R827" s="32"/>
      <c r="S827" s="32"/>
      <c r="T827" s="32"/>
    </row>
    <row r="828">
      <c r="Q828" s="32"/>
      <c r="R828" s="32"/>
      <c r="S828" s="32"/>
      <c r="T828" s="32"/>
    </row>
    <row r="829">
      <c r="Q829" s="32"/>
      <c r="R829" s="32"/>
      <c r="S829" s="32"/>
      <c r="T829" s="32"/>
    </row>
    <row r="830">
      <c r="Q830" s="32"/>
      <c r="R830" s="32"/>
      <c r="S830" s="32"/>
      <c r="T830" s="32"/>
    </row>
    <row r="831">
      <c r="Q831" s="32"/>
      <c r="R831" s="32"/>
      <c r="S831" s="32"/>
      <c r="T831" s="32"/>
    </row>
    <row r="832">
      <c r="Q832" s="32"/>
      <c r="R832" s="32"/>
      <c r="S832" s="32"/>
      <c r="T832" s="32"/>
    </row>
    <row r="833">
      <c r="Q833" s="32"/>
      <c r="R833" s="32"/>
      <c r="S833" s="32"/>
      <c r="T833" s="32"/>
    </row>
    <row r="834">
      <c r="Q834" s="32"/>
      <c r="R834" s="32"/>
      <c r="S834" s="32"/>
      <c r="T834" s="32"/>
    </row>
    <row r="835">
      <c r="Q835" s="32"/>
      <c r="R835" s="32"/>
      <c r="S835" s="32"/>
      <c r="T835" s="32"/>
    </row>
    <row r="836">
      <c r="Q836" s="32"/>
      <c r="R836" s="32"/>
      <c r="S836" s="32"/>
      <c r="T836" s="32"/>
    </row>
    <row r="837">
      <c r="Q837" s="32"/>
      <c r="R837" s="32"/>
      <c r="S837" s="32"/>
      <c r="T837" s="32"/>
    </row>
    <row r="838">
      <c r="Q838" s="32"/>
      <c r="R838" s="32"/>
      <c r="S838" s="32"/>
      <c r="T838" s="32"/>
    </row>
    <row r="839">
      <c r="Q839" s="32"/>
      <c r="R839" s="32"/>
      <c r="S839" s="32"/>
      <c r="T839" s="32"/>
    </row>
    <row r="840">
      <c r="Q840" s="32"/>
      <c r="R840" s="32"/>
      <c r="S840" s="32"/>
      <c r="T840" s="32"/>
    </row>
    <row r="841">
      <c r="Q841" s="32"/>
      <c r="R841" s="32"/>
      <c r="S841" s="32"/>
      <c r="T841" s="32"/>
    </row>
    <row r="842">
      <c r="Q842" s="32"/>
      <c r="R842" s="32"/>
      <c r="S842" s="32"/>
      <c r="T842" s="32"/>
    </row>
    <row r="843">
      <c r="Q843" s="32"/>
      <c r="R843" s="32"/>
      <c r="S843" s="32"/>
      <c r="T843" s="32"/>
    </row>
    <row r="844">
      <c r="Q844" s="32"/>
      <c r="R844" s="32"/>
      <c r="S844" s="32"/>
      <c r="T844" s="32"/>
    </row>
    <row r="845">
      <c r="Q845" s="32"/>
      <c r="R845" s="32"/>
      <c r="S845" s="32"/>
      <c r="T845" s="32"/>
    </row>
    <row r="846">
      <c r="Q846" s="32"/>
      <c r="R846" s="32"/>
      <c r="S846" s="32"/>
      <c r="T846" s="32"/>
    </row>
    <row r="847">
      <c r="Q847" s="32"/>
      <c r="R847" s="32"/>
      <c r="S847" s="32"/>
      <c r="T847" s="32"/>
    </row>
    <row r="848">
      <c r="Q848" s="32"/>
      <c r="R848" s="32"/>
      <c r="S848" s="32"/>
      <c r="T848" s="32"/>
    </row>
    <row r="849">
      <c r="Q849" s="32"/>
      <c r="R849" s="32"/>
      <c r="S849" s="32"/>
      <c r="T849" s="32"/>
    </row>
    <row r="850">
      <c r="Q850" s="32"/>
      <c r="R850" s="32"/>
      <c r="S850" s="32"/>
      <c r="T850" s="32"/>
    </row>
    <row r="851">
      <c r="Q851" s="32"/>
      <c r="R851" s="32"/>
      <c r="S851" s="32"/>
      <c r="T851" s="32"/>
    </row>
    <row r="852">
      <c r="Q852" s="32"/>
      <c r="R852" s="32"/>
      <c r="S852" s="32"/>
      <c r="T852" s="32"/>
    </row>
    <row r="853">
      <c r="Q853" s="32"/>
      <c r="R853" s="32"/>
      <c r="S853" s="32"/>
      <c r="T853" s="32"/>
    </row>
    <row r="854">
      <c r="Q854" s="32"/>
      <c r="R854" s="32"/>
      <c r="S854" s="32"/>
      <c r="T854" s="32"/>
    </row>
    <row r="855">
      <c r="Q855" s="32"/>
      <c r="R855" s="32"/>
      <c r="S855" s="32"/>
      <c r="T855" s="32"/>
    </row>
    <row r="856">
      <c r="Q856" s="32"/>
      <c r="R856" s="32"/>
      <c r="S856" s="32"/>
      <c r="T856" s="32"/>
    </row>
    <row r="857">
      <c r="Q857" s="32"/>
      <c r="R857" s="32"/>
      <c r="S857" s="32"/>
      <c r="T857" s="32"/>
    </row>
    <row r="858">
      <c r="Q858" s="32"/>
      <c r="R858" s="32"/>
      <c r="S858" s="32"/>
      <c r="T858" s="32"/>
    </row>
    <row r="859">
      <c r="Q859" s="32"/>
      <c r="R859" s="32"/>
      <c r="S859" s="32"/>
      <c r="T859" s="32"/>
    </row>
    <row r="860">
      <c r="Q860" s="32"/>
      <c r="R860" s="32"/>
      <c r="S860" s="32"/>
      <c r="T860" s="32"/>
    </row>
    <row r="861">
      <c r="Q861" s="32"/>
      <c r="R861" s="32"/>
      <c r="S861" s="32"/>
      <c r="T861" s="32"/>
    </row>
    <row r="862">
      <c r="Q862" s="32"/>
      <c r="R862" s="32"/>
      <c r="S862" s="32"/>
      <c r="T862" s="32"/>
    </row>
    <row r="863">
      <c r="Q863" s="32"/>
      <c r="R863" s="32"/>
      <c r="S863" s="32"/>
      <c r="T863" s="32"/>
    </row>
    <row r="864">
      <c r="Q864" s="32"/>
      <c r="R864" s="32"/>
      <c r="S864" s="32"/>
      <c r="T864" s="32"/>
    </row>
    <row r="865">
      <c r="Q865" s="32"/>
      <c r="R865" s="32"/>
      <c r="S865" s="32"/>
      <c r="T865" s="32"/>
    </row>
    <row r="866">
      <c r="Q866" s="32"/>
      <c r="R866" s="32"/>
      <c r="S866" s="32"/>
      <c r="T866" s="32"/>
    </row>
    <row r="867">
      <c r="Q867" s="32"/>
      <c r="R867" s="32"/>
      <c r="S867" s="32"/>
      <c r="T867" s="32"/>
    </row>
    <row r="868">
      <c r="Q868" s="32"/>
      <c r="R868" s="32"/>
      <c r="S868" s="32"/>
      <c r="T868" s="32"/>
    </row>
    <row r="869">
      <c r="Q869" s="32"/>
      <c r="R869" s="32"/>
      <c r="S869" s="32"/>
      <c r="T869" s="32"/>
    </row>
    <row r="870">
      <c r="Q870" s="32"/>
      <c r="R870" s="32"/>
      <c r="S870" s="32"/>
      <c r="T870" s="32"/>
    </row>
    <row r="871">
      <c r="Q871" s="32"/>
      <c r="R871" s="32"/>
      <c r="S871" s="32"/>
      <c r="T871" s="32"/>
    </row>
    <row r="872">
      <c r="Q872" s="32"/>
      <c r="R872" s="32"/>
      <c r="S872" s="32"/>
      <c r="T872" s="32"/>
    </row>
    <row r="873">
      <c r="Q873" s="32"/>
      <c r="R873" s="32"/>
      <c r="S873" s="32"/>
      <c r="T873" s="32"/>
    </row>
    <row r="874">
      <c r="Q874" s="32"/>
      <c r="R874" s="32"/>
      <c r="S874" s="32"/>
      <c r="T874" s="32"/>
    </row>
    <row r="875">
      <c r="Q875" s="32"/>
      <c r="R875" s="32"/>
      <c r="S875" s="32"/>
      <c r="T875" s="32"/>
    </row>
    <row r="876">
      <c r="Q876" s="32"/>
      <c r="R876" s="32"/>
      <c r="S876" s="32"/>
      <c r="T876" s="32"/>
    </row>
    <row r="877">
      <c r="Q877" s="32"/>
      <c r="R877" s="32"/>
      <c r="S877" s="32"/>
      <c r="T877" s="32"/>
    </row>
    <row r="878">
      <c r="Q878" s="32"/>
      <c r="R878" s="32"/>
      <c r="S878" s="32"/>
      <c r="T878" s="32"/>
    </row>
    <row r="879">
      <c r="Q879" s="32"/>
      <c r="R879" s="32"/>
      <c r="S879" s="32"/>
      <c r="T879" s="32"/>
    </row>
    <row r="880">
      <c r="Q880" s="32"/>
      <c r="R880" s="32"/>
      <c r="S880" s="32"/>
      <c r="T880" s="32"/>
    </row>
    <row r="881">
      <c r="Q881" s="32"/>
      <c r="R881" s="32"/>
      <c r="S881" s="32"/>
      <c r="T881" s="32"/>
    </row>
    <row r="882">
      <c r="Q882" s="32"/>
      <c r="R882" s="32"/>
      <c r="S882" s="32"/>
      <c r="T882" s="32"/>
    </row>
    <row r="883">
      <c r="Q883" s="32"/>
      <c r="R883" s="32"/>
      <c r="S883" s="32"/>
      <c r="T883" s="32"/>
    </row>
    <row r="884">
      <c r="Q884" s="32"/>
      <c r="R884" s="32"/>
      <c r="S884" s="32"/>
      <c r="T884" s="32"/>
    </row>
    <row r="885">
      <c r="Q885" s="32"/>
      <c r="R885" s="32"/>
      <c r="S885" s="32"/>
      <c r="T885" s="32"/>
    </row>
    <row r="886">
      <c r="Q886" s="32"/>
      <c r="R886" s="32"/>
      <c r="S886" s="32"/>
      <c r="T886" s="32"/>
    </row>
    <row r="887">
      <c r="Q887" s="32"/>
      <c r="R887" s="32"/>
      <c r="S887" s="32"/>
      <c r="T887" s="32"/>
    </row>
    <row r="888">
      <c r="Q888" s="32"/>
      <c r="R888" s="32"/>
      <c r="S888" s="32"/>
      <c r="T888" s="32"/>
    </row>
    <row r="889">
      <c r="Q889" s="32"/>
      <c r="R889" s="32"/>
      <c r="S889" s="32"/>
      <c r="T889" s="32"/>
    </row>
    <row r="890">
      <c r="Q890" s="32"/>
      <c r="R890" s="32"/>
      <c r="S890" s="32"/>
      <c r="T890" s="32"/>
    </row>
    <row r="891">
      <c r="Q891" s="32"/>
      <c r="R891" s="32"/>
      <c r="S891" s="32"/>
      <c r="T891" s="32"/>
    </row>
    <row r="892">
      <c r="Q892" s="32"/>
      <c r="R892" s="32"/>
      <c r="S892" s="32"/>
      <c r="T892" s="32"/>
    </row>
    <row r="893">
      <c r="Q893" s="32"/>
      <c r="R893" s="32"/>
      <c r="S893" s="32"/>
      <c r="T893" s="32"/>
    </row>
    <row r="894">
      <c r="Q894" s="32"/>
      <c r="R894" s="32"/>
      <c r="S894" s="32"/>
      <c r="T894" s="32"/>
    </row>
    <row r="895">
      <c r="Q895" s="32"/>
      <c r="R895" s="32"/>
      <c r="S895" s="32"/>
      <c r="T895" s="32"/>
    </row>
    <row r="896">
      <c r="Q896" s="32"/>
      <c r="R896" s="32"/>
      <c r="S896" s="32"/>
      <c r="T896" s="32"/>
    </row>
    <row r="897">
      <c r="Q897" s="32"/>
      <c r="R897" s="32"/>
      <c r="S897" s="32"/>
      <c r="T897" s="32"/>
    </row>
    <row r="898">
      <c r="Q898" s="32"/>
      <c r="R898" s="32"/>
      <c r="S898" s="32"/>
      <c r="T898" s="32"/>
    </row>
    <row r="899">
      <c r="Q899" s="32"/>
      <c r="R899" s="32"/>
      <c r="S899" s="32"/>
      <c r="T899" s="32"/>
    </row>
    <row r="900">
      <c r="Q900" s="32"/>
      <c r="R900" s="32"/>
      <c r="S900" s="32"/>
      <c r="T900" s="32"/>
    </row>
    <row r="901">
      <c r="Q901" s="32"/>
      <c r="R901" s="32"/>
      <c r="S901" s="32"/>
      <c r="T901" s="32"/>
    </row>
    <row r="902">
      <c r="Q902" s="32"/>
      <c r="R902" s="32"/>
      <c r="S902" s="32"/>
      <c r="T902" s="32"/>
    </row>
    <row r="903">
      <c r="Q903" s="32"/>
      <c r="R903" s="32"/>
      <c r="S903" s="32"/>
      <c r="T903" s="32"/>
    </row>
    <row r="904">
      <c r="Q904" s="32"/>
      <c r="R904" s="32"/>
      <c r="S904" s="32"/>
      <c r="T904" s="32"/>
    </row>
    <row r="905">
      <c r="Q905" s="32"/>
      <c r="R905" s="32"/>
      <c r="S905" s="32"/>
      <c r="T905" s="32"/>
    </row>
    <row r="906">
      <c r="Q906" s="32"/>
      <c r="R906" s="32"/>
      <c r="S906" s="32"/>
      <c r="T906" s="32"/>
    </row>
    <row r="907">
      <c r="Q907" s="32"/>
      <c r="R907" s="32"/>
      <c r="S907" s="32"/>
      <c r="T907" s="32"/>
    </row>
    <row r="908">
      <c r="Q908" s="32"/>
      <c r="R908" s="32"/>
      <c r="S908" s="32"/>
      <c r="T908" s="32"/>
    </row>
    <row r="909">
      <c r="Q909" s="32"/>
      <c r="R909" s="32"/>
      <c r="S909" s="32"/>
      <c r="T909" s="32"/>
    </row>
    <row r="910">
      <c r="Q910" s="32"/>
      <c r="R910" s="32"/>
      <c r="S910" s="32"/>
      <c r="T910" s="32"/>
    </row>
    <row r="911">
      <c r="Q911" s="32"/>
      <c r="R911" s="32"/>
      <c r="S911" s="32"/>
      <c r="T911" s="32"/>
    </row>
    <row r="912">
      <c r="Q912" s="32"/>
      <c r="R912" s="32"/>
      <c r="S912" s="32"/>
      <c r="T912" s="32"/>
    </row>
    <row r="913">
      <c r="Q913" s="32"/>
      <c r="R913" s="32"/>
      <c r="S913" s="32"/>
      <c r="T913" s="32"/>
    </row>
    <row r="914">
      <c r="Q914" s="32"/>
      <c r="R914" s="32"/>
      <c r="S914" s="32"/>
      <c r="T914" s="32"/>
    </row>
    <row r="915">
      <c r="Q915" s="32"/>
      <c r="R915" s="32"/>
      <c r="S915" s="32"/>
      <c r="T915" s="32"/>
    </row>
    <row r="916">
      <c r="Q916" s="32"/>
      <c r="R916" s="32"/>
      <c r="S916" s="32"/>
      <c r="T916" s="32"/>
    </row>
    <row r="917">
      <c r="Q917" s="32"/>
      <c r="R917" s="32"/>
      <c r="S917" s="32"/>
      <c r="T917" s="32"/>
    </row>
    <row r="918">
      <c r="Q918" s="32"/>
      <c r="R918" s="32"/>
      <c r="S918" s="32"/>
      <c r="T918" s="32"/>
    </row>
    <row r="919">
      <c r="Q919" s="32"/>
      <c r="R919" s="32"/>
      <c r="S919" s="32"/>
      <c r="T919" s="32"/>
    </row>
    <row r="920">
      <c r="Q920" s="32"/>
      <c r="R920" s="32"/>
      <c r="S920" s="32"/>
      <c r="T920" s="32"/>
    </row>
    <row r="921">
      <c r="Q921" s="32"/>
      <c r="R921" s="32"/>
      <c r="S921" s="32"/>
      <c r="T921" s="32"/>
    </row>
    <row r="922">
      <c r="Q922" s="32"/>
      <c r="R922" s="32"/>
      <c r="S922" s="32"/>
      <c r="T922" s="32"/>
    </row>
    <row r="923">
      <c r="Q923" s="32"/>
      <c r="R923" s="32"/>
      <c r="S923" s="32"/>
      <c r="T923" s="32"/>
    </row>
    <row r="924">
      <c r="Q924" s="32"/>
      <c r="R924" s="32"/>
      <c r="S924" s="32"/>
      <c r="T924" s="32"/>
    </row>
    <row r="925">
      <c r="Q925" s="32"/>
      <c r="R925" s="32"/>
      <c r="S925" s="32"/>
      <c r="T925" s="32"/>
    </row>
    <row r="926">
      <c r="Q926" s="32"/>
      <c r="R926" s="32"/>
      <c r="S926" s="32"/>
      <c r="T926" s="32"/>
    </row>
    <row r="927">
      <c r="Q927" s="32"/>
      <c r="R927" s="32"/>
      <c r="S927" s="32"/>
      <c r="T927" s="32"/>
    </row>
    <row r="928">
      <c r="Q928" s="32"/>
      <c r="R928" s="32"/>
      <c r="S928" s="32"/>
      <c r="T928" s="32"/>
    </row>
    <row r="929">
      <c r="Q929" s="32"/>
      <c r="R929" s="32"/>
      <c r="S929" s="32"/>
      <c r="T929" s="32"/>
    </row>
    <row r="930">
      <c r="Q930" s="32"/>
      <c r="R930" s="32"/>
      <c r="S930" s="32"/>
      <c r="T930" s="32"/>
    </row>
    <row r="931">
      <c r="Q931" s="32"/>
      <c r="R931" s="32"/>
      <c r="S931" s="32"/>
      <c r="T931" s="32"/>
    </row>
    <row r="932">
      <c r="Q932" s="32"/>
      <c r="R932" s="32"/>
      <c r="S932" s="32"/>
      <c r="T932" s="32"/>
    </row>
    <row r="933">
      <c r="Q933" s="32"/>
      <c r="R933" s="32"/>
      <c r="S933" s="32"/>
      <c r="T933" s="32"/>
    </row>
    <row r="934">
      <c r="Q934" s="32"/>
      <c r="R934" s="32"/>
      <c r="S934" s="32"/>
      <c r="T934" s="32"/>
    </row>
    <row r="935">
      <c r="Q935" s="32"/>
      <c r="R935" s="32"/>
      <c r="S935" s="32"/>
      <c r="T935" s="32"/>
    </row>
    <row r="936">
      <c r="Q936" s="32"/>
      <c r="R936" s="32"/>
      <c r="S936" s="32"/>
      <c r="T936" s="32"/>
    </row>
    <row r="937">
      <c r="Q937" s="32"/>
      <c r="R937" s="32"/>
      <c r="S937" s="32"/>
      <c r="T937" s="32"/>
    </row>
    <row r="938">
      <c r="Q938" s="32"/>
      <c r="R938" s="32"/>
      <c r="S938" s="32"/>
      <c r="T938" s="32"/>
    </row>
    <row r="939">
      <c r="Q939" s="32"/>
      <c r="R939" s="32"/>
      <c r="S939" s="32"/>
      <c r="T939" s="32"/>
    </row>
    <row r="940">
      <c r="Q940" s="32"/>
      <c r="R940" s="32"/>
      <c r="S940" s="32"/>
      <c r="T940" s="32"/>
    </row>
    <row r="941">
      <c r="Q941" s="32"/>
      <c r="R941" s="32"/>
      <c r="S941" s="32"/>
      <c r="T941" s="32"/>
    </row>
    <row r="942">
      <c r="Q942" s="32"/>
      <c r="R942" s="32"/>
      <c r="S942" s="32"/>
      <c r="T942" s="32"/>
    </row>
    <row r="943">
      <c r="Q943" s="32"/>
      <c r="R943" s="32"/>
      <c r="S943" s="32"/>
      <c r="T943" s="32"/>
    </row>
    <row r="944">
      <c r="Q944" s="32"/>
      <c r="R944" s="32"/>
      <c r="S944" s="32"/>
      <c r="T944" s="32"/>
    </row>
    <row r="945">
      <c r="Q945" s="32"/>
      <c r="R945" s="32"/>
      <c r="S945" s="32"/>
      <c r="T945" s="32"/>
    </row>
    <row r="946">
      <c r="Q946" s="32"/>
      <c r="R946" s="32"/>
      <c r="S946" s="32"/>
      <c r="T946" s="32"/>
    </row>
    <row r="947">
      <c r="Q947" s="32"/>
      <c r="R947" s="32"/>
      <c r="S947" s="32"/>
      <c r="T947" s="32"/>
    </row>
    <row r="948">
      <c r="Q948" s="32"/>
      <c r="R948" s="32"/>
      <c r="S948" s="32"/>
      <c r="T948" s="32"/>
    </row>
    <row r="949">
      <c r="Q949" s="32"/>
      <c r="R949" s="32"/>
      <c r="S949" s="32"/>
      <c r="T949" s="32"/>
    </row>
    <row r="950">
      <c r="Q950" s="32"/>
      <c r="R950" s="32"/>
      <c r="S950" s="32"/>
      <c r="T950" s="32"/>
    </row>
    <row r="951">
      <c r="Q951" s="32"/>
      <c r="R951" s="32"/>
      <c r="S951" s="32"/>
      <c r="T951" s="32"/>
    </row>
    <row r="952">
      <c r="Q952" s="32"/>
      <c r="R952" s="32"/>
      <c r="S952" s="32"/>
      <c r="T952" s="32"/>
    </row>
    <row r="953">
      <c r="Q953" s="32"/>
      <c r="R953" s="32"/>
      <c r="S953" s="32"/>
      <c r="T953" s="32"/>
    </row>
    <row r="954">
      <c r="Q954" s="32"/>
      <c r="R954" s="32"/>
      <c r="S954" s="32"/>
      <c r="T954" s="32"/>
    </row>
    <row r="955">
      <c r="Q955" s="32"/>
      <c r="R955" s="32"/>
      <c r="S955" s="32"/>
      <c r="T955" s="32"/>
    </row>
    <row r="956">
      <c r="Q956" s="32"/>
      <c r="R956" s="32"/>
      <c r="S956" s="32"/>
      <c r="T956" s="32"/>
    </row>
    <row r="957">
      <c r="Q957" s="32"/>
      <c r="R957" s="32"/>
      <c r="S957" s="32"/>
      <c r="T957" s="32"/>
    </row>
    <row r="958">
      <c r="Q958" s="32"/>
      <c r="R958" s="32"/>
      <c r="S958" s="32"/>
      <c r="T958" s="32"/>
    </row>
    <row r="959">
      <c r="Q959" s="32"/>
      <c r="R959" s="32"/>
      <c r="S959" s="32"/>
      <c r="T959" s="32"/>
    </row>
    <row r="960">
      <c r="Q960" s="32"/>
      <c r="R960" s="32"/>
      <c r="S960" s="32"/>
      <c r="T960" s="32"/>
    </row>
    <row r="961">
      <c r="Q961" s="32"/>
      <c r="R961" s="32"/>
      <c r="S961" s="32"/>
      <c r="T961" s="32"/>
    </row>
    <row r="962">
      <c r="Q962" s="32"/>
      <c r="R962" s="32"/>
      <c r="S962" s="32"/>
      <c r="T962" s="32"/>
    </row>
    <row r="963">
      <c r="Q963" s="32"/>
      <c r="R963" s="32"/>
      <c r="S963" s="32"/>
      <c r="T963" s="32"/>
    </row>
    <row r="964">
      <c r="Q964" s="32"/>
      <c r="R964" s="32"/>
      <c r="S964" s="32"/>
      <c r="T964" s="32"/>
    </row>
    <row r="965">
      <c r="Q965" s="32"/>
      <c r="R965" s="32"/>
      <c r="S965" s="32"/>
      <c r="T965" s="32"/>
    </row>
    <row r="966">
      <c r="Q966" s="32"/>
      <c r="R966" s="32"/>
      <c r="S966" s="32"/>
      <c r="T966" s="32"/>
    </row>
    <row r="967">
      <c r="Q967" s="32"/>
      <c r="R967" s="32"/>
      <c r="S967" s="32"/>
      <c r="T967" s="32"/>
    </row>
    <row r="968">
      <c r="Q968" s="32"/>
      <c r="R968" s="32"/>
      <c r="S968" s="32"/>
      <c r="T968" s="32"/>
    </row>
    <row r="969">
      <c r="Q969" s="32"/>
      <c r="R969" s="32"/>
      <c r="S969" s="32"/>
      <c r="T969" s="32"/>
    </row>
    <row r="970">
      <c r="Q970" s="32"/>
      <c r="R970" s="32"/>
      <c r="S970" s="32"/>
      <c r="T970" s="32"/>
    </row>
    <row r="971">
      <c r="Q971" s="32"/>
      <c r="R971" s="32"/>
      <c r="S971" s="32"/>
      <c r="T971" s="32"/>
    </row>
    <row r="972">
      <c r="Q972" s="32"/>
      <c r="R972" s="32"/>
      <c r="S972" s="32"/>
      <c r="T972" s="32"/>
    </row>
    <row r="973">
      <c r="Q973" s="32"/>
      <c r="R973" s="32"/>
      <c r="S973" s="32"/>
      <c r="T973" s="32"/>
    </row>
    <row r="974">
      <c r="Q974" s="32"/>
      <c r="R974" s="32"/>
      <c r="S974" s="32"/>
      <c r="T974" s="32"/>
    </row>
    <row r="975">
      <c r="Q975" s="32"/>
      <c r="R975" s="32"/>
      <c r="S975" s="32"/>
      <c r="T975" s="32"/>
    </row>
    <row r="976">
      <c r="Q976" s="32"/>
      <c r="R976" s="32"/>
      <c r="S976" s="32"/>
      <c r="T976" s="32"/>
    </row>
    <row r="977">
      <c r="Q977" s="32"/>
      <c r="R977" s="32"/>
      <c r="S977" s="32"/>
      <c r="T977" s="32"/>
    </row>
    <row r="978">
      <c r="Q978" s="32"/>
      <c r="R978" s="32"/>
      <c r="S978" s="32"/>
      <c r="T978" s="32"/>
    </row>
    <row r="979">
      <c r="Q979" s="32"/>
      <c r="R979" s="32"/>
      <c r="S979" s="32"/>
      <c r="T979" s="32"/>
    </row>
    <row r="980">
      <c r="Q980" s="32"/>
      <c r="R980" s="32"/>
      <c r="S980" s="32"/>
      <c r="T980" s="32"/>
    </row>
    <row r="981">
      <c r="Q981" s="32"/>
      <c r="R981" s="32"/>
      <c r="S981" s="32"/>
      <c r="T981" s="32"/>
    </row>
    <row r="982">
      <c r="Q982" s="32"/>
      <c r="R982" s="32"/>
      <c r="S982" s="32"/>
      <c r="T982" s="32"/>
    </row>
    <row r="983">
      <c r="Q983" s="32"/>
      <c r="R983" s="32"/>
      <c r="S983" s="32"/>
      <c r="T983" s="32"/>
    </row>
    <row r="984">
      <c r="Q984" s="32"/>
      <c r="R984" s="32"/>
      <c r="S984" s="32"/>
      <c r="T984" s="32"/>
    </row>
    <row r="985">
      <c r="Q985" s="32"/>
      <c r="R985" s="32"/>
      <c r="S985" s="32"/>
      <c r="T985" s="32"/>
    </row>
    <row r="986">
      <c r="Q986" s="32"/>
      <c r="R986" s="32"/>
      <c r="S986" s="32"/>
      <c r="T986" s="32"/>
    </row>
    <row r="987">
      <c r="Q987" s="32"/>
      <c r="R987" s="32"/>
      <c r="S987" s="32"/>
      <c r="T987" s="32"/>
    </row>
    <row r="988">
      <c r="Q988" s="32"/>
      <c r="R988" s="32"/>
      <c r="S988" s="32"/>
      <c r="T988" s="32"/>
    </row>
    <row r="989">
      <c r="Q989" s="32"/>
      <c r="R989" s="32"/>
      <c r="S989" s="32"/>
      <c r="T989" s="32"/>
    </row>
    <row r="990">
      <c r="Q990" s="32"/>
      <c r="R990" s="32"/>
      <c r="S990" s="32"/>
      <c r="T990" s="32"/>
    </row>
    <row r="991">
      <c r="Q991" s="32"/>
      <c r="R991" s="32"/>
      <c r="S991" s="32"/>
      <c r="T991" s="32"/>
    </row>
    <row r="992">
      <c r="Q992" s="32"/>
      <c r="R992" s="32"/>
      <c r="S992" s="32"/>
      <c r="T992" s="32"/>
    </row>
    <row r="993">
      <c r="Q993" s="32"/>
      <c r="R993" s="32"/>
      <c r="S993" s="32"/>
      <c r="T993" s="32"/>
    </row>
    <row r="994">
      <c r="Q994" s="32"/>
      <c r="R994" s="32"/>
      <c r="S994" s="32"/>
      <c r="T994" s="32"/>
    </row>
    <row r="995">
      <c r="Q995" s="32"/>
      <c r="R995" s="32"/>
      <c r="S995" s="32"/>
      <c r="T995" s="32"/>
    </row>
    <row r="996">
      <c r="Q996" s="32"/>
      <c r="R996" s="32"/>
      <c r="S996" s="32"/>
      <c r="T996" s="32"/>
    </row>
    <row r="997">
      <c r="Q997" s="32"/>
      <c r="R997" s="32"/>
      <c r="S997" s="32"/>
      <c r="T997" s="32"/>
    </row>
    <row r="998">
      <c r="Q998" s="32"/>
      <c r="R998" s="32"/>
      <c r="S998" s="32"/>
      <c r="T998" s="32"/>
    </row>
    <row r="999">
      <c r="Q999" s="32"/>
      <c r="R999" s="32"/>
      <c r="S999" s="32"/>
      <c r="T999" s="32"/>
    </row>
    <row r="1000">
      <c r="Q1000" s="32"/>
      <c r="R1000" s="32"/>
      <c r="S1000" s="32"/>
      <c r="T1000" s="3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7.0"/>
    <col customWidth="1" min="2" max="2" width="24.38"/>
    <col customWidth="1" min="4" max="4" width="19.63"/>
    <col customWidth="1" min="5" max="5" width="9.5"/>
    <col customWidth="1" min="6" max="6" width="19.63"/>
    <col customWidth="1" min="7" max="7" width="8.5"/>
    <col customWidth="1" min="8" max="8" width="61.63"/>
    <col customWidth="1" min="9" max="9" width="23.75"/>
    <col customWidth="1" min="14" max="14" width="31.75"/>
    <col customWidth="1" min="15" max="15" width="29.25"/>
    <col customWidth="1" min="16" max="16" width="37.75"/>
    <col customWidth="1" min="17" max="17" width="29.75"/>
    <col customWidth="1" min="18" max="18" width="31.13"/>
  </cols>
  <sheetData>
    <row r="1" ht="28.5" customHeight="1">
      <c r="A1" s="33"/>
      <c r="I1" s="34"/>
      <c r="J1" s="35"/>
      <c r="K1" s="35"/>
      <c r="L1" s="35"/>
      <c r="M1" s="35"/>
      <c r="N1" s="36"/>
      <c r="O1" s="36"/>
      <c r="P1" s="36"/>
      <c r="Q1" s="36"/>
      <c r="R1" s="36"/>
      <c r="S1" s="37"/>
    </row>
    <row r="2">
      <c r="A2" s="38" t="s">
        <v>2552</v>
      </c>
      <c r="I2" s="34"/>
      <c r="J2" s="35"/>
      <c r="K2" s="35"/>
      <c r="L2" s="35"/>
      <c r="M2" s="35"/>
      <c r="N2" s="36"/>
      <c r="O2" s="36"/>
      <c r="P2" s="36"/>
      <c r="Q2" s="36"/>
      <c r="R2" s="36"/>
      <c r="S2" s="37"/>
    </row>
    <row r="3" ht="28.5" customHeight="1">
      <c r="A3" s="39" t="s">
        <v>2553</v>
      </c>
      <c r="J3" s="39" t="s">
        <v>2554</v>
      </c>
      <c r="N3" s="40" t="s">
        <v>2555</v>
      </c>
      <c r="S3" s="37"/>
    </row>
    <row r="4">
      <c r="A4" s="41" t="s">
        <v>2556</v>
      </c>
      <c r="B4" s="42" t="s">
        <v>1</v>
      </c>
      <c r="C4" s="43" t="s">
        <v>12</v>
      </c>
      <c r="D4" s="44" t="s">
        <v>2557</v>
      </c>
      <c r="E4" s="45" t="s">
        <v>2558</v>
      </c>
      <c r="F4" s="41" t="s">
        <v>2559</v>
      </c>
      <c r="G4" s="45" t="s">
        <v>2560</v>
      </c>
      <c r="H4" s="46" t="s">
        <v>26</v>
      </c>
      <c r="I4" s="47" t="s">
        <v>25</v>
      </c>
      <c r="J4" s="45" t="s">
        <v>2561</v>
      </c>
      <c r="K4" s="45" t="s">
        <v>2562</v>
      </c>
      <c r="L4" s="45" t="s">
        <v>2563</v>
      </c>
      <c r="M4" s="45" t="s">
        <v>2564</v>
      </c>
      <c r="N4" s="48" t="s">
        <v>65</v>
      </c>
      <c r="O4" s="48" t="s">
        <v>64</v>
      </c>
      <c r="P4" s="48" t="s">
        <v>2565</v>
      </c>
      <c r="Q4" s="48" t="s">
        <v>2566</v>
      </c>
      <c r="R4" s="48" t="s">
        <v>2567</v>
      </c>
      <c r="S4" s="49"/>
    </row>
    <row r="5">
      <c r="A5" s="50" t="s">
        <v>821</v>
      </c>
      <c r="B5" s="51" t="s">
        <v>820</v>
      </c>
      <c r="C5" s="52" t="s">
        <v>108</v>
      </c>
      <c r="D5" s="41" t="s">
        <v>2568</v>
      </c>
      <c r="E5" s="45" t="s">
        <v>2569</v>
      </c>
      <c r="F5" s="41" t="s">
        <v>2570</v>
      </c>
      <c r="G5" s="52">
        <v>30.0</v>
      </c>
      <c r="H5" s="53" t="s">
        <v>826</v>
      </c>
      <c r="I5" s="53" t="s">
        <v>825</v>
      </c>
      <c r="J5" s="45" t="s">
        <v>86</v>
      </c>
      <c r="K5" s="45" t="s">
        <v>2569</v>
      </c>
      <c r="L5" s="45" t="s">
        <v>86</v>
      </c>
      <c r="M5" s="45" t="s">
        <v>86</v>
      </c>
      <c r="N5" s="54" t="s">
        <v>2571</v>
      </c>
      <c r="O5" s="54" t="s">
        <v>829</v>
      </c>
      <c r="P5" s="54" t="s">
        <v>824</v>
      </c>
      <c r="Q5" s="54" t="s">
        <v>2572</v>
      </c>
      <c r="R5" s="54"/>
      <c r="S5" s="49"/>
    </row>
    <row r="6">
      <c r="A6" s="50" t="s">
        <v>1299</v>
      </c>
      <c r="B6" s="51" t="s">
        <v>1298</v>
      </c>
      <c r="C6" s="52" t="s">
        <v>73</v>
      </c>
      <c r="D6" s="41" t="s">
        <v>2573</v>
      </c>
      <c r="E6" s="45" t="s">
        <v>86</v>
      </c>
      <c r="F6" s="41" t="s">
        <v>2574</v>
      </c>
      <c r="G6" s="52">
        <v>25.0</v>
      </c>
      <c r="H6" s="53" t="s">
        <v>1300</v>
      </c>
      <c r="I6" s="53" t="s">
        <v>1291</v>
      </c>
      <c r="J6" s="45" t="s">
        <v>86</v>
      </c>
      <c r="K6" s="45" t="s">
        <v>2569</v>
      </c>
      <c r="L6" s="45" t="s">
        <v>2569</v>
      </c>
      <c r="M6" s="45" t="s">
        <v>2569</v>
      </c>
      <c r="N6" s="54" t="s">
        <v>2575</v>
      </c>
      <c r="O6" s="54" t="s">
        <v>1295</v>
      </c>
      <c r="P6" s="54" t="s">
        <v>1290</v>
      </c>
      <c r="Q6" s="54" t="s">
        <v>2576</v>
      </c>
      <c r="R6" s="54"/>
      <c r="S6" s="49"/>
    </row>
    <row r="7">
      <c r="A7" s="50" t="s">
        <v>1289</v>
      </c>
      <c r="B7" s="51" t="s">
        <v>1288</v>
      </c>
      <c r="C7" s="52" t="s">
        <v>73</v>
      </c>
      <c r="D7" s="41" t="s">
        <v>2577</v>
      </c>
      <c r="E7" s="45" t="s">
        <v>86</v>
      </c>
      <c r="F7" s="41" t="s">
        <v>2578</v>
      </c>
      <c r="G7" s="52">
        <v>25.0</v>
      </c>
      <c r="H7" s="53" t="s">
        <v>1292</v>
      </c>
      <c r="I7" s="53" t="s">
        <v>1291</v>
      </c>
      <c r="J7" s="45" t="s">
        <v>2569</v>
      </c>
      <c r="K7" s="45" t="s">
        <v>2569</v>
      </c>
      <c r="L7" s="45" t="s">
        <v>2569</v>
      </c>
      <c r="M7" s="45" t="s">
        <v>2569</v>
      </c>
      <c r="N7" s="54" t="s">
        <v>1296</v>
      </c>
      <c r="O7" s="54" t="s">
        <v>1295</v>
      </c>
      <c r="P7" s="54" t="s">
        <v>1290</v>
      </c>
      <c r="Q7" s="54" t="s">
        <v>2579</v>
      </c>
      <c r="R7" s="54"/>
      <c r="S7" s="49"/>
    </row>
    <row r="8">
      <c r="A8" s="50" t="s">
        <v>2286</v>
      </c>
      <c r="B8" s="51" t="s">
        <v>2285</v>
      </c>
      <c r="C8" s="52" t="s">
        <v>73</v>
      </c>
      <c r="D8" s="41" t="s">
        <v>2580</v>
      </c>
      <c r="E8" s="45" t="s">
        <v>86</v>
      </c>
      <c r="F8" s="41" t="s">
        <v>2578</v>
      </c>
      <c r="G8" s="52">
        <v>25.0</v>
      </c>
      <c r="H8" s="53" t="s">
        <v>2288</v>
      </c>
      <c r="I8" s="53" t="s">
        <v>1291</v>
      </c>
      <c r="J8" s="45" t="s">
        <v>86</v>
      </c>
      <c r="K8" s="45" t="s">
        <v>86</v>
      </c>
      <c r="L8" s="45" t="s">
        <v>86</v>
      </c>
      <c r="M8" s="45" t="s">
        <v>86</v>
      </c>
      <c r="N8" s="54" t="s">
        <v>517</v>
      </c>
      <c r="O8" s="54" t="s">
        <v>2291</v>
      </c>
      <c r="P8" s="54" t="s">
        <v>454</v>
      </c>
      <c r="Q8" s="54" t="s">
        <v>2581</v>
      </c>
      <c r="R8" s="54"/>
      <c r="S8" s="49"/>
    </row>
    <row r="9">
      <c r="A9" s="50" t="s">
        <v>1313</v>
      </c>
      <c r="B9" s="51" t="s">
        <v>1312</v>
      </c>
      <c r="C9" s="52" t="s">
        <v>73</v>
      </c>
      <c r="D9" s="41" t="s">
        <v>2582</v>
      </c>
      <c r="E9" s="45" t="s">
        <v>86</v>
      </c>
      <c r="F9" s="41" t="s">
        <v>2578</v>
      </c>
      <c r="G9" s="52">
        <v>37.0</v>
      </c>
      <c r="H9" s="53" t="s">
        <v>1316</v>
      </c>
      <c r="I9" s="53" t="s">
        <v>1315</v>
      </c>
      <c r="J9" s="45" t="s">
        <v>86</v>
      </c>
      <c r="K9" s="45" t="s">
        <v>86</v>
      </c>
      <c r="L9" s="45" t="s">
        <v>86</v>
      </c>
      <c r="M9" s="45" t="s">
        <v>86</v>
      </c>
      <c r="N9" s="54" t="s">
        <v>1320</v>
      </c>
      <c r="O9" s="54" t="s">
        <v>1319</v>
      </c>
      <c r="P9" s="54" t="s">
        <v>137</v>
      </c>
      <c r="Q9" s="54" t="s">
        <v>2583</v>
      </c>
      <c r="R9" s="54"/>
      <c r="S9" s="49"/>
    </row>
    <row r="10">
      <c r="A10" s="50" t="s">
        <v>1511</v>
      </c>
      <c r="B10" s="51" t="s">
        <v>1510</v>
      </c>
      <c r="C10" s="52" t="s">
        <v>108</v>
      </c>
      <c r="D10" s="41" t="s">
        <v>2584</v>
      </c>
      <c r="E10" s="45" t="s">
        <v>86</v>
      </c>
      <c r="F10" s="41" t="s">
        <v>2570</v>
      </c>
      <c r="G10" s="52">
        <v>26.0</v>
      </c>
      <c r="H10" s="53" t="s">
        <v>1514</v>
      </c>
      <c r="I10" s="53" t="s">
        <v>825</v>
      </c>
      <c r="J10" s="45" t="s">
        <v>86</v>
      </c>
      <c r="K10" s="45" t="s">
        <v>86</v>
      </c>
      <c r="L10" s="45" t="s">
        <v>86</v>
      </c>
      <c r="M10" s="45" t="s">
        <v>86</v>
      </c>
      <c r="N10" s="54" t="s">
        <v>2585</v>
      </c>
      <c r="O10" s="54" t="s">
        <v>829</v>
      </c>
      <c r="P10" s="54" t="s">
        <v>824</v>
      </c>
      <c r="Q10" s="54" t="s">
        <v>2586</v>
      </c>
      <c r="R10" s="54"/>
      <c r="S10" s="49"/>
    </row>
    <row r="11">
      <c r="A11" s="50" t="s">
        <v>846</v>
      </c>
      <c r="B11" s="51" t="s">
        <v>845</v>
      </c>
      <c r="C11" s="52" t="s">
        <v>108</v>
      </c>
      <c r="D11" s="50" t="s">
        <v>108</v>
      </c>
      <c r="E11" s="45" t="s">
        <v>86</v>
      </c>
      <c r="F11" s="41" t="s">
        <v>110</v>
      </c>
      <c r="G11" s="52">
        <v>25.0</v>
      </c>
      <c r="H11" s="53" t="s">
        <v>849</v>
      </c>
      <c r="I11" s="53" t="s">
        <v>848</v>
      </c>
      <c r="J11" s="45" t="s">
        <v>86</v>
      </c>
      <c r="K11" s="45" t="s">
        <v>2569</v>
      </c>
      <c r="L11" s="45" t="s">
        <v>86</v>
      </c>
      <c r="M11" s="45" t="s">
        <v>86</v>
      </c>
      <c r="N11" s="54" t="s">
        <v>2587</v>
      </c>
      <c r="O11" s="54" t="s">
        <v>2588</v>
      </c>
      <c r="P11" s="54" t="s">
        <v>824</v>
      </c>
      <c r="Q11" s="54"/>
      <c r="R11" s="54"/>
      <c r="S11" s="49"/>
    </row>
    <row r="12">
      <c r="A12" s="50" t="s">
        <v>2358</v>
      </c>
      <c r="B12" s="51" t="s">
        <v>2357</v>
      </c>
      <c r="C12" s="52" t="s">
        <v>108</v>
      </c>
      <c r="D12" s="41" t="s">
        <v>2589</v>
      </c>
      <c r="E12" s="45" t="s">
        <v>2569</v>
      </c>
      <c r="F12" s="41" t="s">
        <v>2590</v>
      </c>
      <c r="G12" s="52">
        <v>10.0</v>
      </c>
      <c r="H12" s="53" t="s">
        <v>2362</v>
      </c>
      <c r="I12" s="53" t="s">
        <v>2361</v>
      </c>
      <c r="J12" s="45" t="s">
        <v>2569</v>
      </c>
      <c r="K12" s="45" t="s">
        <v>2569</v>
      </c>
      <c r="L12" s="45" t="s">
        <v>2569</v>
      </c>
      <c r="M12" s="45" t="s">
        <v>2569</v>
      </c>
      <c r="N12" s="54"/>
      <c r="O12" s="54"/>
      <c r="P12" s="54" t="s">
        <v>2360</v>
      </c>
      <c r="Q12" s="54"/>
      <c r="R12" s="54"/>
      <c r="S12" s="49"/>
    </row>
    <row r="13">
      <c r="A13" s="50" t="s">
        <v>2591</v>
      </c>
      <c r="B13" s="51" t="s">
        <v>2592</v>
      </c>
      <c r="C13" s="52" t="s">
        <v>73</v>
      </c>
      <c r="D13" s="41" t="s">
        <v>2589</v>
      </c>
      <c r="E13" s="45" t="s">
        <v>86</v>
      </c>
      <c r="F13" s="41" t="s">
        <v>2593</v>
      </c>
      <c r="G13" s="52">
        <v>36.0</v>
      </c>
      <c r="H13" s="53" t="s">
        <v>2594</v>
      </c>
      <c r="I13" s="53" t="s">
        <v>2595</v>
      </c>
      <c r="J13" s="45" t="s">
        <v>86</v>
      </c>
      <c r="K13" s="45" t="s">
        <v>2569</v>
      </c>
      <c r="L13" s="45" t="s">
        <v>2569</v>
      </c>
      <c r="M13" s="45" t="s">
        <v>2569</v>
      </c>
      <c r="N13" s="54"/>
      <c r="O13" s="54"/>
      <c r="P13" s="54"/>
      <c r="Q13" s="54" t="s">
        <v>2596</v>
      </c>
      <c r="R13" s="54" t="s">
        <v>2597</v>
      </c>
      <c r="S13" s="49"/>
    </row>
    <row r="14">
      <c r="A14" s="50" t="s">
        <v>794</v>
      </c>
      <c r="B14" s="51" t="s">
        <v>793</v>
      </c>
      <c r="C14" s="49"/>
      <c r="D14" s="50" t="s">
        <v>73</v>
      </c>
      <c r="E14" s="45" t="s">
        <v>86</v>
      </c>
      <c r="F14" s="41" t="s">
        <v>2578</v>
      </c>
      <c r="G14" s="52">
        <v>53.0</v>
      </c>
      <c r="H14" s="53" t="s">
        <v>798</v>
      </c>
      <c r="I14" s="53" t="s">
        <v>797</v>
      </c>
      <c r="J14" s="45" t="s">
        <v>86</v>
      </c>
      <c r="K14" s="45" t="s">
        <v>86</v>
      </c>
      <c r="L14" s="45" t="s">
        <v>86</v>
      </c>
      <c r="M14" s="45" t="s">
        <v>86</v>
      </c>
      <c r="N14" s="54" t="s">
        <v>802</v>
      </c>
      <c r="O14" s="54" t="s">
        <v>801</v>
      </c>
      <c r="P14" s="54" t="s">
        <v>2598</v>
      </c>
      <c r="Q14" s="54" t="s">
        <v>2599</v>
      </c>
      <c r="R14" s="54"/>
      <c r="S14" s="49"/>
    </row>
    <row r="15">
      <c r="A15" s="50" t="s">
        <v>2277</v>
      </c>
      <c r="B15" s="51" t="s">
        <v>2276</v>
      </c>
      <c r="C15" s="52" t="s">
        <v>73</v>
      </c>
      <c r="D15" s="41" t="s">
        <v>2589</v>
      </c>
      <c r="E15" s="45" t="s">
        <v>86</v>
      </c>
      <c r="F15" s="41" t="s">
        <v>2593</v>
      </c>
      <c r="G15" s="52">
        <v>50.0</v>
      </c>
      <c r="H15" s="53" t="s">
        <v>2280</v>
      </c>
      <c r="I15" s="53" t="s">
        <v>2279</v>
      </c>
      <c r="J15" s="45" t="s">
        <v>86</v>
      </c>
      <c r="K15" s="45" t="s">
        <v>2569</v>
      </c>
      <c r="L15" s="45" t="s">
        <v>86</v>
      </c>
      <c r="M15" s="45" t="s">
        <v>86</v>
      </c>
      <c r="N15" s="54" t="s">
        <v>137</v>
      </c>
      <c r="O15" s="54" t="s">
        <v>137</v>
      </c>
      <c r="P15" s="54" t="s">
        <v>137</v>
      </c>
      <c r="Q15" s="54" t="s">
        <v>2600</v>
      </c>
      <c r="R15" s="54"/>
      <c r="S15" s="49"/>
    </row>
    <row r="16">
      <c r="A16" s="50" t="s">
        <v>2601</v>
      </c>
      <c r="B16" s="51" t="s">
        <v>2602</v>
      </c>
      <c r="C16" s="52" t="s">
        <v>108</v>
      </c>
      <c r="D16" s="41" t="s">
        <v>2573</v>
      </c>
      <c r="E16" s="45" t="s">
        <v>2569</v>
      </c>
      <c r="F16" s="41" t="s">
        <v>2574</v>
      </c>
      <c r="G16" s="52">
        <v>21.0</v>
      </c>
      <c r="H16" s="53" t="s">
        <v>2603</v>
      </c>
      <c r="I16" s="53"/>
      <c r="J16" s="45" t="s">
        <v>2569</v>
      </c>
      <c r="K16" s="45" t="s">
        <v>2569</v>
      </c>
      <c r="L16" s="45" t="s">
        <v>2569</v>
      </c>
      <c r="M16" s="45" t="s">
        <v>2569</v>
      </c>
      <c r="N16" s="54"/>
      <c r="O16" s="54"/>
      <c r="P16" s="54"/>
      <c r="Q16" s="54" t="s">
        <v>2604</v>
      </c>
      <c r="R16" s="54" t="s">
        <v>2605</v>
      </c>
      <c r="S16" s="49"/>
    </row>
    <row r="17">
      <c r="A17" s="50" t="s">
        <v>1261</v>
      </c>
      <c r="B17" s="51" t="s">
        <v>1260</v>
      </c>
      <c r="C17" s="52" t="s">
        <v>108</v>
      </c>
      <c r="D17" s="50" t="s">
        <v>108</v>
      </c>
      <c r="E17" s="45" t="s">
        <v>86</v>
      </c>
      <c r="F17" s="41" t="s">
        <v>2574</v>
      </c>
      <c r="G17" s="52">
        <v>22.0</v>
      </c>
      <c r="H17" s="53" t="s">
        <v>1265</v>
      </c>
      <c r="I17" s="53" t="s">
        <v>1264</v>
      </c>
      <c r="J17" s="45" t="s">
        <v>86</v>
      </c>
      <c r="K17" s="45" t="s">
        <v>2569</v>
      </c>
      <c r="L17" s="45" t="s">
        <v>2569</v>
      </c>
      <c r="M17" s="45" t="s">
        <v>2569</v>
      </c>
      <c r="N17" s="54"/>
      <c r="O17" s="54" t="s">
        <v>1268</v>
      </c>
      <c r="P17" s="54"/>
      <c r="Q17" s="54"/>
      <c r="R17" s="54" t="s">
        <v>2606</v>
      </c>
      <c r="S17" s="49"/>
    </row>
    <row r="18">
      <c r="A18" s="50" t="s">
        <v>2270</v>
      </c>
      <c r="B18" s="51" t="s">
        <v>2269</v>
      </c>
      <c r="C18" s="52" t="s">
        <v>108</v>
      </c>
      <c r="D18" s="41" t="s">
        <v>2607</v>
      </c>
      <c r="E18" s="45" t="s">
        <v>86</v>
      </c>
      <c r="F18" s="41" t="s">
        <v>2608</v>
      </c>
      <c r="G18" s="52">
        <v>36.0</v>
      </c>
      <c r="H18" s="53" t="s">
        <v>2609</v>
      </c>
      <c r="I18" s="53"/>
      <c r="J18" s="45" t="s">
        <v>86</v>
      </c>
      <c r="K18" s="45" t="s">
        <v>86</v>
      </c>
      <c r="L18" s="45" t="s">
        <v>86</v>
      </c>
      <c r="M18" s="45" t="s">
        <v>86</v>
      </c>
      <c r="N18" s="54" t="s">
        <v>2267</v>
      </c>
      <c r="O18" s="54" t="s">
        <v>2610</v>
      </c>
      <c r="P18" s="54" t="s">
        <v>2262</v>
      </c>
      <c r="Q18" s="54" t="s">
        <v>2611</v>
      </c>
      <c r="R18" s="54"/>
      <c r="S18" s="49"/>
    </row>
    <row r="19">
      <c r="A19" s="50" t="s">
        <v>2260</v>
      </c>
      <c r="B19" s="51" t="s">
        <v>2259</v>
      </c>
      <c r="C19" s="52" t="s">
        <v>108</v>
      </c>
      <c r="D19" s="41" t="s">
        <v>2612</v>
      </c>
      <c r="E19" s="45" t="s">
        <v>86</v>
      </c>
      <c r="F19" s="41" t="s">
        <v>2608</v>
      </c>
      <c r="G19" s="52">
        <v>34.0</v>
      </c>
      <c r="H19" s="53" t="s">
        <v>2613</v>
      </c>
      <c r="I19" s="53"/>
      <c r="J19" s="45" t="s">
        <v>86</v>
      </c>
      <c r="K19" s="45" t="s">
        <v>86</v>
      </c>
      <c r="L19" s="45" t="s">
        <v>86</v>
      </c>
      <c r="M19" s="45" t="s">
        <v>86</v>
      </c>
      <c r="N19" s="54" t="s">
        <v>2267</v>
      </c>
      <c r="O19" s="54" t="s">
        <v>2610</v>
      </c>
      <c r="P19" s="54" t="s">
        <v>2262</v>
      </c>
      <c r="Q19" s="54" t="s">
        <v>2614</v>
      </c>
      <c r="R19" s="54"/>
      <c r="S19" s="49"/>
    </row>
    <row r="20">
      <c r="A20" s="50" t="s">
        <v>1375</v>
      </c>
      <c r="B20" s="51" t="s">
        <v>1374</v>
      </c>
      <c r="C20" s="52" t="s">
        <v>108</v>
      </c>
      <c r="D20" s="41" t="s">
        <v>2615</v>
      </c>
      <c r="E20" s="45" t="s">
        <v>86</v>
      </c>
      <c r="F20" s="41" t="s">
        <v>2578</v>
      </c>
      <c r="G20" s="52">
        <v>34.0</v>
      </c>
      <c r="H20" s="53" t="s">
        <v>1377</v>
      </c>
      <c r="I20" s="53" t="s">
        <v>1359</v>
      </c>
      <c r="J20" s="45" t="s">
        <v>86</v>
      </c>
      <c r="K20" s="45" t="s">
        <v>86</v>
      </c>
      <c r="L20" s="45" t="s">
        <v>86</v>
      </c>
      <c r="M20" s="45" t="s">
        <v>86</v>
      </c>
      <c r="N20" s="54" t="s">
        <v>1381</v>
      </c>
      <c r="O20" s="54" t="s">
        <v>137</v>
      </c>
      <c r="P20" s="54" t="s">
        <v>137</v>
      </c>
      <c r="Q20" s="54" t="s">
        <v>2616</v>
      </c>
      <c r="R20" s="54" t="s">
        <v>2617</v>
      </c>
      <c r="S20" s="49"/>
    </row>
    <row r="21">
      <c r="A21" s="50" t="s">
        <v>2618</v>
      </c>
      <c r="B21" s="51" t="s">
        <v>2619</v>
      </c>
      <c r="C21" s="52" t="s">
        <v>2620</v>
      </c>
      <c r="D21" s="41" t="s">
        <v>2621</v>
      </c>
      <c r="E21" s="45" t="s">
        <v>2569</v>
      </c>
      <c r="F21" s="41" t="s">
        <v>110</v>
      </c>
      <c r="G21" s="52">
        <v>25.0</v>
      </c>
      <c r="H21" s="53" t="s">
        <v>2622</v>
      </c>
      <c r="I21" s="53"/>
      <c r="J21" s="45" t="s">
        <v>2569</v>
      </c>
      <c r="K21" s="45" t="s">
        <v>2569</v>
      </c>
      <c r="L21" s="45" t="s">
        <v>2569</v>
      </c>
      <c r="M21" s="45" t="s">
        <v>2569</v>
      </c>
      <c r="N21" s="54"/>
      <c r="O21" s="54"/>
      <c r="P21" s="54" t="s">
        <v>2623</v>
      </c>
      <c r="Q21" s="54"/>
      <c r="R21" s="54"/>
      <c r="S21" s="49"/>
    </row>
    <row r="22">
      <c r="A22" s="50" t="s">
        <v>1520</v>
      </c>
      <c r="B22" s="51" t="s">
        <v>1519</v>
      </c>
      <c r="C22" s="52" t="s">
        <v>73</v>
      </c>
      <c r="D22" s="41" t="s">
        <v>2624</v>
      </c>
      <c r="E22" s="45" t="s">
        <v>86</v>
      </c>
      <c r="F22" s="41" t="s">
        <v>2578</v>
      </c>
      <c r="G22" s="52">
        <v>15.0</v>
      </c>
      <c r="H22" s="53" t="s">
        <v>1523</v>
      </c>
      <c r="I22" s="53" t="s">
        <v>1522</v>
      </c>
      <c r="J22" s="45" t="s">
        <v>2569</v>
      </c>
      <c r="K22" s="45" t="s">
        <v>2569</v>
      </c>
      <c r="L22" s="45" t="s">
        <v>2569</v>
      </c>
      <c r="M22" s="45" t="s">
        <v>2569</v>
      </c>
      <c r="N22" s="54" t="s">
        <v>1277</v>
      </c>
      <c r="O22" s="54" t="s">
        <v>137</v>
      </c>
      <c r="P22" s="54" t="s">
        <v>1521</v>
      </c>
      <c r="Q22" s="54"/>
      <c r="R22" s="54"/>
      <c r="S22" s="49"/>
    </row>
    <row r="23">
      <c r="A23" s="50" t="s">
        <v>1272</v>
      </c>
      <c r="B23" s="51" t="s">
        <v>1271</v>
      </c>
      <c r="C23" s="52" t="s">
        <v>73</v>
      </c>
      <c r="D23" s="41" t="s">
        <v>2624</v>
      </c>
      <c r="E23" s="45" t="s">
        <v>86</v>
      </c>
      <c r="F23" s="41" t="s">
        <v>2578</v>
      </c>
      <c r="G23" s="52">
        <v>15.0</v>
      </c>
      <c r="H23" s="53" t="s">
        <v>1273</v>
      </c>
      <c r="I23" s="53" t="s">
        <v>1264</v>
      </c>
      <c r="J23" s="45" t="s">
        <v>2569</v>
      </c>
      <c r="K23" s="45" t="s">
        <v>2569</v>
      </c>
      <c r="L23" s="45" t="s">
        <v>2569</v>
      </c>
      <c r="M23" s="45" t="s">
        <v>2569</v>
      </c>
      <c r="N23" s="54" t="s">
        <v>1277</v>
      </c>
      <c r="O23" s="54" t="s">
        <v>1276</v>
      </c>
      <c r="P23" s="54" t="s">
        <v>454</v>
      </c>
      <c r="Q23" s="54"/>
      <c r="R23" s="54"/>
      <c r="S23" s="49"/>
    </row>
    <row r="24">
      <c r="A24" s="50" t="s">
        <v>2252</v>
      </c>
      <c r="B24" s="51" t="s">
        <v>2251</v>
      </c>
      <c r="C24" s="52" t="s">
        <v>73</v>
      </c>
      <c r="D24" s="41" t="s">
        <v>2624</v>
      </c>
      <c r="E24" s="45" t="s">
        <v>86</v>
      </c>
      <c r="F24" s="41" t="s">
        <v>2578</v>
      </c>
      <c r="G24" s="52">
        <v>36.0</v>
      </c>
      <c r="H24" s="53" t="s">
        <v>2254</v>
      </c>
      <c r="I24" s="53" t="s">
        <v>1522</v>
      </c>
      <c r="J24" s="45" t="s">
        <v>86</v>
      </c>
      <c r="K24" s="45" t="s">
        <v>86</v>
      </c>
      <c r="L24" s="45" t="s">
        <v>86</v>
      </c>
      <c r="M24" s="45" t="s">
        <v>86</v>
      </c>
      <c r="N24" s="54" t="s">
        <v>137</v>
      </c>
      <c r="O24" s="54" t="s">
        <v>2257</v>
      </c>
      <c r="P24" s="54" t="s">
        <v>137</v>
      </c>
      <c r="Q24" s="54" t="s">
        <v>2625</v>
      </c>
      <c r="R24" s="54"/>
      <c r="S24" s="49"/>
    </row>
    <row r="25">
      <c r="A25" s="50" t="s">
        <v>2241</v>
      </c>
      <c r="B25" s="51" t="s">
        <v>2240</v>
      </c>
      <c r="C25" s="52" t="s">
        <v>73</v>
      </c>
      <c r="D25" s="50" t="s">
        <v>73</v>
      </c>
      <c r="E25" s="45" t="s">
        <v>86</v>
      </c>
      <c r="F25" s="41" t="s">
        <v>2574</v>
      </c>
      <c r="G25" s="52">
        <v>35.0</v>
      </c>
      <c r="H25" s="53" t="s">
        <v>2245</v>
      </c>
      <c r="I25" s="53" t="s">
        <v>2244</v>
      </c>
      <c r="J25" s="45" t="s">
        <v>86</v>
      </c>
      <c r="K25" s="45" t="s">
        <v>86</v>
      </c>
      <c r="L25" s="45" t="s">
        <v>86</v>
      </c>
      <c r="M25" s="45" t="s">
        <v>86</v>
      </c>
      <c r="N25" s="54" t="s">
        <v>2249</v>
      </c>
      <c r="O25" s="54" t="s">
        <v>2626</v>
      </c>
      <c r="P25" s="54" t="s">
        <v>2243</v>
      </c>
      <c r="Q25" s="54" t="s">
        <v>2627</v>
      </c>
      <c r="R25" s="54"/>
      <c r="S25" s="49"/>
    </row>
    <row r="26">
      <c r="A26" s="50" t="s">
        <v>2628</v>
      </c>
      <c r="B26" s="51" t="s">
        <v>2629</v>
      </c>
      <c r="C26" s="52" t="s">
        <v>2620</v>
      </c>
      <c r="D26" s="41" t="s">
        <v>2630</v>
      </c>
      <c r="E26" s="45" t="s">
        <v>2569</v>
      </c>
      <c r="F26" s="41" t="s">
        <v>2608</v>
      </c>
      <c r="G26" s="52">
        <v>20.0</v>
      </c>
      <c r="H26" s="46" t="s">
        <v>2631</v>
      </c>
      <c r="I26" s="46" t="s">
        <v>2632</v>
      </c>
      <c r="J26" s="45" t="s">
        <v>2569</v>
      </c>
      <c r="K26" s="45" t="s">
        <v>2569</v>
      </c>
      <c r="L26" s="45" t="s">
        <v>2569</v>
      </c>
      <c r="M26" s="45" t="s">
        <v>2569</v>
      </c>
      <c r="N26" s="54"/>
      <c r="O26" s="54"/>
      <c r="P26" s="54" t="s">
        <v>2633</v>
      </c>
      <c r="Q26" s="54"/>
      <c r="R26" s="54"/>
      <c r="S26" s="49"/>
    </row>
    <row r="27">
      <c r="A27" s="50" t="s">
        <v>2634</v>
      </c>
      <c r="B27" s="51" t="s">
        <v>2635</v>
      </c>
      <c r="C27" s="52" t="s">
        <v>2620</v>
      </c>
      <c r="D27" s="41" t="s">
        <v>2630</v>
      </c>
      <c r="E27" s="45" t="s">
        <v>2569</v>
      </c>
      <c r="F27" s="41" t="s">
        <v>2574</v>
      </c>
      <c r="G27" s="52">
        <v>10.0</v>
      </c>
      <c r="H27" s="46" t="s">
        <v>2636</v>
      </c>
      <c r="I27" s="46" t="s">
        <v>2637</v>
      </c>
      <c r="J27" s="45" t="s">
        <v>2569</v>
      </c>
      <c r="K27" s="45" t="s">
        <v>2569</v>
      </c>
      <c r="L27" s="45" t="s">
        <v>2569</v>
      </c>
      <c r="M27" s="45" t="s">
        <v>2569</v>
      </c>
      <c r="N27" s="54"/>
      <c r="O27" s="54"/>
      <c r="P27" s="54" t="s">
        <v>2633</v>
      </c>
      <c r="Q27" s="54"/>
      <c r="R27" s="54"/>
      <c r="S27" s="49"/>
    </row>
    <row r="28">
      <c r="A28" s="50" t="s">
        <v>2638</v>
      </c>
      <c r="B28" s="51" t="s">
        <v>2639</v>
      </c>
      <c r="C28" s="52" t="s">
        <v>108</v>
      </c>
      <c r="D28" s="41" t="s">
        <v>2630</v>
      </c>
      <c r="E28" s="45" t="s">
        <v>2569</v>
      </c>
      <c r="F28" s="41" t="s">
        <v>2574</v>
      </c>
      <c r="G28" s="52">
        <v>10.0</v>
      </c>
      <c r="H28" s="46" t="s">
        <v>2640</v>
      </c>
      <c r="I28" s="46" t="s">
        <v>2641</v>
      </c>
      <c r="J28" s="45" t="s">
        <v>2569</v>
      </c>
      <c r="K28" s="45" t="s">
        <v>2569</v>
      </c>
      <c r="L28" s="45" t="s">
        <v>2569</v>
      </c>
      <c r="M28" s="45" t="s">
        <v>2569</v>
      </c>
      <c r="N28" s="54"/>
      <c r="O28" s="54"/>
      <c r="P28" s="54" t="s">
        <v>2633</v>
      </c>
      <c r="Q28" s="54"/>
      <c r="R28" s="54"/>
      <c r="S28" s="49"/>
    </row>
    <row r="29">
      <c r="A29" s="50" t="s">
        <v>2642</v>
      </c>
      <c r="B29" s="51" t="s">
        <v>2643</v>
      </c>
      <c r="C29" s="52" t="s">
        <v>108</v>
      </c>
      <c r="D29" s="41" t="s">
        <v>2630</v>
      </c>
      <c r="E29" s="45" t="s">
        <v>2569</v>
      </c>
      <c r="F29" s="41" t="s">
        <v>2574</v>
      </c>
      <c r="G29" s="52">
        <v>10.0</v>
      </c>
      <c r="H29" s="46" t="s">
        <v>2644</v>
      </c>
      <c r="I29" s="46" t="s">
        <v>2645</v>
      </c>
      <c r="J29" s="45" t="s">
        <v>2569</v>
      </c>
      <c r="K29" s="45" t="s">
        <v>2569</v>
      </c>
      <c r="L29" s="45" t="s">
        <v>2569</v>
      </c>
      <c r="M29" s="45" t="s">
        <v>2569</v>
      </c>
      <c r="N29" s="54"/>
      <c r="O29" s="54"/>
      <c r="P29" s="54" t="s">
        <v>2633</v>
      </c>
      <c r="Q29" s="54"/>
      <c r="R29" s="54"/>
      <c r="S29" s="49"/>
    </row>
    <row r="30">
      <c r="A30" s="50" t="s">
        <v>2646</v>
      </c>
      <c r="B30" s="51" t="s">
        <v>2647</v>
      </c>
      <c r="C30" s="52" t="s">
        <v>108</v>
      </c>
      <c r="D30" s="41" t="s">
        <v>2630</v>
      </c>
      <c r="E30" s="45" t="s">
        <v>2569</v>
      </c>
      <c r="F30" s="41" t="s">
        <v>2574</v>
      </c>
      <c r="G30" s="52">
        <v>8.0</v>
      </c>
      <c r="H30" s="46" t="s">
        <v>2648</v>
      </c>
      <c r="I30" s="46" t="s">
        <v>2649</v>
      </c>
      <c r="J30" s="45" t="s">
        <v>2569</v>
      </c>
      <c r="K30" s="45" t="s">
        <v>2569</v>
      </c>
      <c r="L30" s="45" t="s">
        <v>2569</v>
      </c>
      <c r="M30" s="45" t="s">
        <v>2569</v>
      </c>
      <c r="N30" s="54"/>
      <c r="O30" s="54"/>
      <c r="P30" s="54" t="s">
        <v>2633</v>
      </c>
      <c r="Q30" s="54"/>
      <c r="R30" s="54"/>
      <c r="S30" s="49"/>
    </row>
    <row r="31">
      <c r="A31" s="50" t="s">
        <v>2231</v>
      </c>
      <c r="B31" s="51" t="s">
        <v>2230</v>
      </c>
      <c r="C31" s="52" t="s">
        <v>73</v>
      </c>
      <c r="D31" s="50" t="s">
        <v>73</v>
      </c>
      <c r="E31" s="45" t="s">
        <v>2569</v>
      </c>
      <c r="F31" s="41" t="s">
        <v>2590</v>
      </c>
      <c r="G31" s="52">
        <v>35.0</v>
      </c>
      <c r="H31" s="53" t="s">
        <v>2234</v>
      </c>
      <c r="I31" s="53" t="s">
        <v>2233</v>
      </c>
      <c r="J31" s="45" t="s">
        <v>2569</v>
      </c>
      <c r="K31" s="45" t="s">
        <v>2569</v>
      </c>
      <c r="L31" s="45" t="s">
        <v>2569</v>
      </c>
      <c r="M31" s="45" t="s">
        <v>2569</v>
      </c>
      <c r="N31" s="54" t="s">
        <v>2650</v>
      </c>
      <c r="O31" s="54" t="s">
        <v>137</v>
      </c>
      <c r="P31" s="54" t="s">
        <v>137</v>
      </c>
      <c r="Q31" s="54"/>
      <c r="R31" s="54"/>
      <c r="S31" s="49"/>
    </row>
    <row r="32">
      <c r="A32" s="50" t="s">
        <v>2223</v>
      </c>
      <c r="B32" s="51" t="s">
        <v>2222</v>
      </c>
      <c r="C32" s="52" t="s">
        <v>73</v>
      </c>
      <c r="D32" s="50" t="s">
        <v>2651</v>
      </c>
      <c r="E32" s="45" t="s">
        <v>86</v>
      </c>
      <c r="F32" s="41" t="s">
        <v>2593</v>
      </c>
      <c r="G32" s="52">
        <v>53.0</v>
      </c>
      <c r="H32" s="53" t="s">
        <v>2226</v>
      </c>
      <c r="I32" s="53" t="s">
        <v>2225</v>
      </c>
      <c r="J32" s="45" t="s">
        <v>2569</v>
      </c>
      <c r="K32" s="45" t="s">
        <v>2569</v>
      </c>
      <c r="L32" s="45" t="s">
        <v>2569</v>
      </c>
      <c r="M32" s="45" t="s">
        <v>2569</v>
      </c>
      <c r="N32" s="54" t="s">
        <v>137</v>
      </c>
      <c r="O32" s="54" t="s">
        <v>143</v>
      </c>
      <c r="P32" s="54" t="s">
        <v>137</v>
      </c>
      <c r="Q32" s="54" t="s">
        <v>2652</v>
      </c>
      <c r="R32" s="54"/>
      <c r="S32" s="49"/>
    </row>
    <row r="33">
      <c r="A33" s="50" t="s">
        <v>2214</v>
      </c>
      <c r="B33" s="51" t="s">
        <v>2213</v>
      </c>
      <c r="C33" s="52" t="s">
        <v>73</v>
      </c>
      <c r="D33" s="41" t="s">
        <v>2589</v>
      </c>
      <c r="E33" s="45" t="s">
        <v>86</v>
      </c>
      <c r="F33" s="41" t="s">
        <v>2593</v>
      </c>
      <c r="G33" s="52">
        <v>41.0</v>
      </c>
      <c r="H33" s="53" t="s">
        <v>2217</v>
      </c>
      <c r="I33" s="53" t="s">
        <v>2216</v>
      </c>
      <c r="J33" s="45" t="s">
        <v>86</v>
      </c>
      <c r="K33" s="45" t="s">
        <v>2569</v>
      </c>
      <c r="L33" s="45" t="s">
        <v>2569</v>
      </c>
      <c r="M33" s="45" t="s">
        <v>2569</v>
      </c>
      <c r="N33" s="54" t="s">
        <v>614</v>
      </c>
      <c r="O33" s="54" t="s">
        <v>2653</v>
      </c>
      <c r="P33" s="54" t="s">
        <v>137</v>
      </c>
      <c r="Q33" s="54" t="s">
        <v>2654</v>
      </c>
      <c r="R33" s="54"/>
      <c r="S33" s="49"/>
    </row>
    <row r="34">
      <c r="A34" s="50" t="s">
        <v>529</v>
      </c>
      <c r="B34" s="51" t="s">
        <v>528</v>
      </c>
      <c r="C34" s="52" t="s">
        <v>73</v>
      </c>
      <c r="D34" s="41" t="s">
        <v>2655</v>
      </c>
      <c r="E34" s="45" t="s">
        <v>86</v>
      </c>
      <c r="F34" s="41" t="s">
        <v>2578</v>
      </c>
      <c r="G34" s="52">
        <v>25.0</v>
      </c>
      <c r="H34" s="53" t="s">
        <v>533</v>
      </c>
      <c r="I34" s="53" t="s">
        <v>532</v>
      </c>
      <c r="J34" s="45" t="s">
        <v>86</v>
      </c>
      <c r="K34" s="45" t="s">
        <v>2569</v>
      </c>
      <c r="L34" s="45" t="s">
        <v>86</v>
      </c>
      <c r="M34" s="45" t="s">
        <v>86</v>
      </c>
      <c r="N34" s="54" t="s">
        <v>137</v>
      </c>
      <c r="O34" s="54" t="s">
        <v>137</v>
      </c>
      <c r="P34" s="54" t="s">
        <v>137</v>
      </c>
      <c r="Q34" s="54" t="s">
        <v>2656</v>
      </c>
      <c r="R34" s="54"/>
      <c r="S34" s="49"/>
    </row>
    <row r="35">
      <c r="A35" s="50" t="s">
        <v>2657</v>
      </c>
      <c r="B35" s="51" t="s">
        <v>2658</v>
      </c>
      <c r="C35" s="52" t="s">
        <v>73</v>
      </c>
      <c r="D35" s="41" t="s">
        <v>2624</v>
      </c>
      <c r="E35" s="45" t="s">
        <v>86</v>
      </c>
      <c r="F35" s="41" t="s">
        <v>2593</v>
      </c>
      <c r="G35" s="52">
        <v>40.0</v>
      </c>
      <c r="H35" s="53" t="s">
        <v>2659</v>
      </c>
      <c r="I35" s="53"/>
      <c r="J35" s="45" t="s">
        <v>2569</v>
      </c>
      <c r="K35" s="45" t="s">
        <v>2569</v>
      </c>
      <c r="L35" s="45" t="s">
        <v>2569</v>
      </c>
      <c r="M35" s="45" t="s">
        <v>2569</v>
      </c>
      <c r="N35" s="54"/>
      <c r="O35" s="54"/>
      <c r="P35" s="54"/>
      <c r="Q35" s="54" t="s">
        <v>2660</v>
      </c>
      <c r="R35" s="54" t="s">
        <v>2661</v>
      </c>
      <c r="S35" s="49"/>
    </row>
    <row r="36">
      <c r="A36" s="50" t="s">
        <v>2662</v>
      </c>
      <c r="B36" s="51" t="s">
        <v>2663</v>
      </c>
      <c r="C36" s="52" t="s">
        <v>2620</v>
      </c>
      <c r="D36" s="41" t="s">
        <v>2664</v>
      </c>
      <c r="E36" s="45" t="s">
        <v>2569</v>
      </c>
      <c r="F36" s="41" t="s">
        <v>2608</v>
      </c>
      <c r="G36" s="52">
        <v>24.0</v>
      </c>
      <c r="H36" s="53" t="s">
        <v>2665</v>
      </c>
      <c r="I36" s="53"/>
      <c r="J36" s="45" t="s">
        <v>2569</v>
      </c>
      <c r="K36" s="45" t="s">
        <v>2569</v>
      </c>
      <c r="L36" s="45" t="s">
        <v>2569</v>
      </c>
      <c r="M36" s="45" t="s">
        <v>2569</v>
      </c>
      <c r="N36" s="54"/>
      <c r="O36" s="54"/>
      <c r="P36" s="54" t="s">
        <v>2666</v>
      </c>
      <c r="Q36" s="54"/>
      <c r="R36" s="54"/>
      <c r="S36" s="49"/>
    </row>
    <row r="37">
      <c r="A37" s="50" t="s">
        <v>1248</v>
      </c>
      <c r="B37" s="51" t="s">
        <v>1247</v>
      </c>
      <c r="C37" s="52" t="s">
        <v>2667</v>
      </c>
      <c r="D37" s="50" t="s">
        <v>2667</v>
      </c>
      <c r="E37" s="45" t="s">
        <v>86</v>
      </c>
      <c r="F37" s="41" t="s">
        <v>2608</v>
      </c>
      <c r="G37" s="52">
        <v>20.0</v>
      </c>
      <c r="H37" s="53" t="s">
        <v>1253</v>
      </c>
      <c r="I37" s="53"/>
      <c r="J37" s="45" t="s">
        <v>2569</v>
      </c>
      <c r="K37" s="45" t="s">
        <v>2569</v>
      </c>
      <c r="L37" s="45" t="s">
        <v>2569</v>
      </c>
      <c r="M37" s="45" t="s">
        <v>2569</v>
      </c>
      <c r="N37" s="54" t="s">
        <v>2668</v>
      </c>
      <c r="O37" s="54" t="s">
        <v>1256</v>
      </c>
      <c r="P37" s="54" t="s">
        <v>1251</v>
      </c>
      <c r="Q37" s="54" t="s">
        <v>2669</v>
      </c>
      <c r="R37" s="54" t="s">
        <v>2670</v>
      </c>
      <c r="S37" s="49"/>
    </row>
    <row r="38">
      <c r="A38" s="50" t="s">
        <v>2671</v>
      </c>
      <c r="B38" s="51" t="s">
        <v>2672</v>
      </c>
      <c r="C38" s="52" t="s">
        <v>73</v>
      </c>
      <c r="D38" s="41" t="s">
        <v>2589</v>
      </c>
      <c r="E38" s="45" t="s">
        <v>2569</v>
      </c>
      <c r="F38" s="41" t="s">
        <v>2593</v>
      </c>
      <c r="G38" s="52">
        <v>30.0</v>
      </c>
      <c r="H38" s="53" t="s">
        <v>2673</v>
      </c>
      <c r="I38" s="53"/>
      <c r="J38" s="45" t="s">
        <v>2569</v>
      </c>
      <c r="K38" s="45" t="s">
        <v>2569</v>
      </c>
      <c r="L38" s="45" t="s">
        <v>2569</v>
      </c>
      <c r="M38" s="45" t="s">
        <v>2569</v>
      </c>
      <c r="N38" s="54"/>
      <c r="O38" s="54"/>
      <c r="P38" s="54"/>
      <c r="Q38" s="54" t="s">
        <v>2674</v>
      </c>
      <c r="R38" s="54" t="s">
        <v>2675</v>
      </c>
      <c r="S38" s="49"/>
    </row>
    <row r="39">
      <c r="A39" s="50" t="s">
        <v>2676</v>
      </c>
      <c r="B39" s="51" t="s">
        <v>2677</v>
      </c>
      <c r="C39" s="52" t="s">
        <v>73</v>
      </c>
      <c r="D39" s="41" t="s">
        <v>2624</v>
      </c>
      <c r="E39" s="45" t="s">
        <v>86</v>
      </c>
      <c r="F39" s="41" t="s">
        <v>2593</v>
      </c>
      <c r="G39" s="52">
        <v>45.0</v>
      </c>
      <c r="H39" s="53" t="s">
        <v>2678</v>
      </c>
      <c r="I39" s="53"/>
      <c r="J39" s="45" t="s">
        <v>2569</v>
      </c>
      <c r="K39" s="45" t="s">
        <v>2569</v>
      </c>
      <c r="L39" s="45" t="s">
        <v>2569</v>
      </c>
      <c r="M39" s="45" t="s">
        <v>2569</v>
      </c>
      <c r="N39" s="54"/>
      <c r="O39" s="54"/>
      <c r="P39" s="54"/>
      <c r="Q39" s="54" t="s">
        <v>2679</v>
      </c>
      <c r="R39" s="54" t="s">
        <v>2680</v>
      </c>
      <c r="S39" s="49"/>
    </row>
    <row r="40">
      <c r="A40" s="50" t="s">
        <v>1017</v>
      </c>
      <c r="B40" s="51" t="s">
        <v>1016</v>
      </c>
      <c r="C40" s="52" t="s">
        <v>73</v>
      </c>
      <c r="D40" s="41" t="s">
        <v>2580</v>
      </c>
      <c r="E40" s="45" t="s">
        <v>86</v>
      </c>
      <c r="F40" s="41" t="s">
        <v>2593</v>
      </c>
      <c r="G40" s="52">
        <v>30.0</v>
      </c>
      <c r="H40" s="53" t="s">
        <v>1023</v>
      </c>
      <c r="I40" s="53" t="s">
        <v>1022</v>
      </c>
      <c r="J40" s="45" t="s">
        <v>86</v>
      </c>
      <c r="K40" s="45" t="s">
        <v>86</v>
      </c>
      <c r="L40" s="45" t="s">
        <v>86</v>
      </c>
      <c r="M40" s="45" t="s">
        <v>86</v>
      </c>
      <c r="N40" s="54" t="s">
        <v>2681</v>
      </c>
      <c r="O40" s="54" t="s">
        <v>1028</v>
      </c>
      <c r="P40" s="54" t="s">
        <v>2682</v>
      </c>
      <c r="Q40" s="54" t="s">
        <v>2683</v>
      </c>
      <c r="R40" s="54"/>
      <c r="S40" s="49"/>
    </row>
    <row r="41">
      <c r="A41" s="50" t="s">
        <v>1032</v>
      </c>
      <c r="B41" s="51" t="s">
        <v>1031</v>
      </c>
      <c r="C41" s="52" t="s">
        <v>73</v>
      </c>
      <c r="D41" s="41" t="s">
        <v>2684</v>
      </c>
      <c r="E41" s="45" t="s">
        <v>86</v>
      </c>
      <c r="F41" s="41" t="s">
        <v>2570</v>
      </c>
      <c r="G41" s="52">
        <v>48.0</v>
      </c>
      <c r="H41" s="53" t="s">
        <v>1036</v>
      </c>
      <c r="I41" s="53" t="s">
        <v>1035</v>
      </c>
      <c r="J41" s="45" t="s">
        <v>86</v>
      </c>
      <c r="K41" s="45" t="s">
        <v>86</v>
      </c>
      <c r="L41" s="45" t="s">
        <v>86</v>
      </c>
      <c r="M41" s="45" t="s">
        <v>86</v>
      </c>
      <c r="N41" s="54" t="s">
        <v>1039</v>
      </c>
      <c r="O41" s="54" t="s">
        <v>675</v>
      </c>
      <c r="P41" s="54" t="s">
        <v>670</v>
      </c>
      <c r="Q41" s="54" t="s">
        <v>2685</v>
      </c>
      <c r="R41" s="54"/>
      <c r="S41" s="49"/>
    </row>
    <row r="42">
      <c r="A42" s="50" t="s">
        <v>2367</v>
      </c>
      <c r="B42" s="51" t="s">
        <v>2366</v>
      </c>
      <c r="C42" s="52" t="s">
        <v>108</v>
      </c>
      <c r="D42" s="54"/>
      <c r="E42" s="45" t="s">
        <v>2569</v>
      </c>
      <c r="F42" s="54"/>
      <c r="G42" s="52">
        <v>10.0</v>
      </c>
      <c r="H42" s="53" t="s">
        <v>2370</v>
      </c>
      <c r="I42" s="53" t="s">
        <v>2369</v>
      </c>
      <c r="J42" s="45" t="s">
        <v>2569</v>
      </c>
      <c r="K42" s="45" t="s">
        <v>2569</v>
      </c>
      <c r="L42" s="45" t="s">
        <v>2569</v>
      </c>
      <c r="M42" s="45" t="s">
        <v>2569</v>
      </c>
      <c r="N42" s="54"/>
      <c r="O42" s="54"/>
      <c r="P42" s="54" t="s">
        <v>2360</v>
      </c>
      <c r="Q42" s="54"/>
      <c r="R42" s="54"/>
      <c r="S42" s="49"/>
    </row>
    <row r="43">
      <c r="A43" s="50" t="s">
        <v>1501</v>
      </c>
      <c r="B43" s="51" t="s">
        <v>1500</v>
      </c>
      <c r="C43" s="52" t="s">
        <v>108</v>
      </c>
      <c r="D43" s="41" t="s">
        <v>2630</v>
      </c>
      <c r="E43" s="45" t="s">
        <v>86</v>
      </c>
      <c r="F43" s="41" t="s">
        <v>2574</v>
      </c>
      <c r="G43" s="52">
        <v>15.0</v>
      </c>
      <c r="H43" s="53" t="s">
        <v>1504</v>
      </c>
      <c r="I43" s="53" t="s">
        <v>1503</v>
      </c>
      <c r="J43" s="45" t="s">
        <v>86</v>
      </c>
      <c r="K43" s="45" t="s">
        <v>2569</v>
      </c>
      <c r="L43" s="45" t="s">
        <v>2569</v>
      </c>
      <c r="M43" s="45" t="s">
        <v>2569</v>
      </c>
      <c r="N43" s="54" t="s">
        <v>1508</v>
      </c>
      <c r="O43" s="54" t="s">
        <v>1507</v>
      </c>
      <c r="P43" s="54" t="s">
        <v>1502</v>
      </c>
      <c r="Q43" s="54" t="s">
        <v>2686</v>
      </c>
      <c r="R43" s="54"/>
      <c r="S43" s="49"/>
    </row>
    <row r="44">
      <c r="A44" s="50" t="s">
        <v>1478</v>
      </c>
      <c r="B44" s="51" t="s">
        <v>1477</v>
      </c>
      <c r="C44" s="52" t="s">
        <v>108</v>
      </c>
      <c r="D44" s="41" t="s">
        <v>2630</v>
      </c>
      <c r="E44" s="45" t="s">
        <v>86</v>
      </c>
      <c r="F44" s="41" t="s">
        <v>2608</v>
      </c>
      <c r="G44" s="52">
        <v>15.0</v>
      </c>
      <c r="H44" s="53" t="s">
        <v>1480</v>
      </c>
      <c r="I44" s="53" t="s">
        <v>1464</v>
      </c>
      <c r="J44" s="45" t="s">
        <v>86</v>
      </c>
      <c r="K44" s="45" t="s">
        <v>2569</v>
      </c>
      <c r="L44" s="45" t="s">
        <v>2569</v>
      </c>
      <c r="M44" s="45" t="s">
        <v>2569</v>
      </c>
      <c r="N44" s="54" t="s">
        <v>1484</v>
      </c>
      <c r="O44" s="54" t="s">
        <v>1483</v>
      </c>
      <c r="P44" s="54" t="s">
        <v>1479</v>
      </c>
      <c r="Q44" s="54" t="s">
        <v>2687</v>
      </c>
      <c r="R44" s="54"/>
      <c r="S44" s="49"/>
    </row>
    <row r="45">
      <c r="A45" s="50" t="s">
        <v>2204</v>
      </c>
      <c r="B45" s="51" t="s">
        <v>2203</v>
      </c>
      <c r="C45" s="52" t="s">
        <v>108</v>
      </c>
      <c r="D45" s="41" t="s">
        <v>2688</v>
      </c>
      <c r="E45" s="45" t="s">
        <v>86</v>
      </c>
      <c r="F45" s="41" t="s">
        <v>2578</v>
      </c>
      <c r="G45" s="52">
        <v>42.0</v>
      </c>
      <c r="H45" s="53" t="s">
        <v>2207</v>
      </c>
      <c r="I45" s="53" t="s">
        <v>1503</v>
      </c>
      <c r="J45" s="45" t="s">
        <v>86</v>
      </c>
      <c r="K45" s="45" t="s">
        <v>86</v>
      </c>
      <c r="L45" s="45" t="s">
        <v>86</v>
      </c>
      <c r="M45" s="45" t="s">
        <v>86</v>
      </c>
      <c r="N45" s="54" t="s">
        <v>2689</v>
      </c>
      <c r="O45" s="54" t="s">
        <v>2690</v>
      </c>
      <c r="P45" s="54" t="s">
        <v>2691</v>
      </c>
      <c r="Q45" s="54" t="s">
        <v>2692</v>
      </c>
      <c r="R45" s="54"/>
      <c r="S45" s="49"/>
    </row>
    <row r="46">
      <c r="A46" s="50" t="s">
        <v>2466</v>
      </c>
      <c r="B46" s="51" t="s">
        <v>2465</v>
      </c>
      <c r="C46" s="52" t="s">
        <v>108</v>
      </c>
      <c r="D46" s="50" t="s">
        <v>108</v>
      </c>
      <c r="E46" s="45" t="s">
        <v>2569</v>
      </c>
      <c r="F46" s="41" t="s">
        <v>2590</v>
      </c>
      <c r="G46" s="52">
        <v>6.0</v>
      </c>
      <c r="H46" s="53" t="s">
        <v>2469</v>
      </c>
      <c r="I46" s="53" t="s">
        <v>2468</v>
      </c>
      <c r="J46" s="45" t="s">
        <v>2569</v>
      </c>
      <c r="K46" s="45" t="s">
        <v>2569</v>
      </c>
      <c r="L46" s="45" t="s">
        <v>2569</v>
      </c>
      <c r="M46" s="45" t="s">
        <v>2569</v>
      </c>
      <c r="N46" s="54"/>
      <c r="O46" s="54"/>
      <c r="P46" s="54"/>
      <c r="Q46" s="54"/>
      <c r="R46" s="54"/>
      <c r="S46" s="49"/>
    </row>
    <row r="47">
      <c r="A47" s="50" t="s">
        <v>2195</v>
      </c>
      <c r="B47" s="51" t="s">
        <v>2194</v>
      </c>
      <c r="C47" s="52" t="s">
        <v>2693</v>
      </c>
      <c r="D47" s="41" t="s">
        <v>2589</v>
      </c>
      <c r="E47" s="45" t="s">
        <v>2569</v>
      </c>
      <c r="F47" s="41" t="s">
        <v>2590</v>
      </c>
      <c r="G47" s="52">
        <v>50.0</v>
      </c>
      <c r="H47" s="53" t="s">
        <v>2199</v>
      </c>
      <c r="I47" s="53" t="s">
        <v>2198</v>
      </c>
      <c r="J47" s="45" t="s">
        <v>2569</v>
      </c>
      <c r="K47" s="45" t="s">
        <v>2569</v>
      </c>
      <c r="L47" s="45" t="s">
        <v>2569</v>
      </c>
      <c r="M47" s="45" t="s">
        <v>2569</v>
      </c>
      <c r="N47" s="54" t="s">
        <v>137</v>
      </c>
      <c r="O47" s="54" t="s">
        <v>137</v>
      </c>
      <c r="P47" s="54" t="s">
        <v>137</v>
      </c>
      <c r="Q47" s="54"/>
      <c r="R47" s="54"/>
      <c r="S47" s="49"/>
    </row>
    <row r="48">
      <c r="A48" s="50" t="s">
        <v>1239</v>
      </c>
      <c r="B48" s="51" t="s">
        <v>1238</v>
      </c>
      <c r="C48" s="52" t="s">
        <v>108</v>
      </c>
      <c r="D48" s="41" t="s">
        <v>2694</v>
      </c>
      <c r="E48" s="45" t="s">
        <v>86</v>
      </c>
      <c r="F48" s="41" t="s">
        <v>2574</v>
      </c>
      <c r="G48" s="52">
        <v>13.0</v>
      </c>
      <c r="H48" s="53" t="s">
        <v>883</v>
      </c>
      <c r="I48" s="53" t="s">
        <v>1242</v>
      </c>
      <c r="J48" s="45" t="s">
        <v>2569</v>
      </c>
      <c r="K48" s="45" t="s">
        <v>2569</v>
      </c>
      <c r="L48" s="45" t="s">
        <v>2569</v>
      </c>
      <c r="M48" s="45" t="s">
        <v>2569</v>
      </c>
      <c r="N48" s="54" t="s">
        <v>887</v>
      </c>
      <c r="O48" s="54" t="s">
        <v>886</v>
      </c>
      <c r="P48" s="54"/>
      <c r="Q48" s="54"/>
      <c r="R48" s="54" t="s">
        <v>2695</v>
      </c>
      <c r="S48" s="49"/>
    </row>
    <row r="49">
      <c r="A49" s="50" t="s">
        <v>879</v>
      </c>
      <c r="B49" s="51" t="s">
        <v>878</v>
      </c>
      <c r="C49" s="52" t="s">
        <v>2620</v>
      </c>
      <c r="D49" s="41" t="s">
        <v>2694</v>
      </c>
      <c r="E49" s="45" t="s">
        <v>86</v>
      </c>
      <c r="F49" s="41" t="s">
        <v>2574</v>
      </c>
      <c r="G49" s="52">
        <v>15.0</v>
      </c>
      <c r="H49" s="53" t="s">
        <v>883</v>
      </c>
      <c r="I49" s="53" t="s">
        <v>882</v>
      </c>
      <c r="J49" s="45" t="s">
        <v>2569</v>
      </c>
      <c r="K49" s="45" t="s">
        <v>2569</v>
      </c>
      <c r="L49" s="45" t="s">
        <v>2569</v>
      </c>
      <c r="M49" s="45" t="s">
        <v>2569</v>
      </c>
      <c r="N49" s="54" t="s">
        <v>887</v>
      </c>
      <c r="O49" s="54" t="s">
        <v>886</v>
      </c>
      <c r="P49" s="54"/>
      <c r="Q49" s="54"/>
      <c r="R49" s="54" t="s">
        <v>2696</v>
      </c>
      <c r="S49" s="49"/>
    </row>
    <row r="50">
      <c r="A50" s="50" t="s">
        <v>2697</v>
      </c>
      <c r="B50" s="51" t="s">
        <v>2698</v>
      </c>
      <c r="C50" s="52" t="s">
        <v>2620</v>
      </c>
      <c r="D50" s="41" t="s">
        <v>2621</v>
      </c>
      <c r="E50" s="45" t="s">
        <v>2569</v>
      </c>
      <c r="F50" s="41" t="s">
        <v>2608</v>
      </c>
      <c r="G50" s="52">
        <v>22.0</v>
      </c>
      <c r="H50" s="53" t="s">
        <v>2699</v>
      </c>
      <c r="I50" s="53" t="s">
        <v>2700</v>
      </c>
      <c r="J50" s="45" t="s">
        <v>2569</v>
      </c>
      <c r="K50" s="45" t="s">
        <v>2569</v>
      </c>
      <c r="L50" s="45" t="s">
        <v>2569</v>
      </c>
      <c r="M50" s="45" t="s">
        <v>2569</v>
      </c>
      <c r="N50" s="54"/>
      <c r="O50" s="54"/>
      <c r="P50" s="54" t="s">
        <v>2701</v>
      </c>
      <c r="Q50" s="54" t="s">
        <v>2702</v>
      </c>
      <c r="R50" s="54"/>
      <c r="S50" s="49"/>
    </row>
    <row r="51">
      <c r="A51" s="50" t="s">
        <v>2187</v>
      </c>
      <c r="B51" s="51" t="s">
        <v>2186</v>
      </c>
      <c r="C51" s="52" t="s">
        <v>73</v>
      </c>
      <c r="D51" s="41" t="s">
        <v>2703</v>
      </c>
      <c r="E51" s="45" t="s">
        <v>86</v>
      </c>
      <c r="F51" s="41" t="s">
        <v>2578</v>
      </c>
      <c r="G51" s="52">
        <v>61.0</v>
      </c>
      <c r="H51" s="53" t="s">
        <v>2190</v>
      </c>
      <c r="I51" s="53" t="s">
        <v>2189</v>
      </c>
      <c r="J51" s="45" t="s">
        <v>86</v>
      </c>
      <c r="K51" s="45" t="s">
        <v>86</v>
      </c>
      <c r="L51" s="45" t="s">
        <v>86</v>
      </c>
      <c r="M51" s="45" t="s">
        <v>86</v>
      </c>
      <c r="N51" s="54" t="s">
        <v>137</v>
      </c>
      <c r="O51" s="54" t="s">
        <v>137</v>
      </c>
      <c r="P51" s="54" t="s">
        <v>137</v>
      </c>
      <c r="Q51" s="54" t="s">
        <v>2704</v>
      </c>
      <c r="R51" s="54"/>
      <c r="S51" s="49"/>
    </row>
    <row r="52">
      <c r="A52" s="50" t="s">
        <v>1126</v>
      </c>
      <c r="B52" s="51" t="s">
        <v>1125</v>
      </c>
      <c r="C52" s="52" t="s">
        <v>73</v>
      </c>
      <c r="D52" s="50" t="s">
        <v>73</v>
      </c>
      <c r="E52" s="45" t="s">
        <v>86</v>
      </c>
      <c r="F52" s="41" t="s">
        <v>2608</v>
      </c>
      <c r="G52" s="52">
        <v>15.0</v>
      </c>
      <c r="H52" s="53" t="s">
        <v>1131</v>
      </c>
      <c r="I52" s="53" t="s">
        <v>1110</v>
      </c>
      <c r="J52" s="45" t="s">
        <v>86</v>
      </c>
      <c r="K52" s="45" t="s">
        <v>86</v>
      </c>
      <c r="L52" s="45" t="s">
        <v>86</v>
      </c>
      <c r="M52" s="45" t="s">
        <v>86</v>
      </c>
      <c r="N52" s="54" t="s">
        <v>517</v>
      </c>
      <c r="O52" s="54" t="s">
        <v>2705</v>
      </c>
      <c r="P52" s="54" t="s">
        <v>2706</v>
      </c>
      <c r="Q52" s="54" t="s">
        <v>2707</v>
      </c>
      <c r="R52" s="54" t="s">
        <v>2708</v>
      </c>
      <c r="S52" s="49"/>
    </row>
    <row r="53">
      <c r="A53" s="50" t="s">
        <v>1365</v>
      </c>
      <c r="B53" s="51" t="s">
        <v>1128</v>
      </c>
      <c r="C53" s="52" t="s">
        <v>73</v>
      </c>
      <c r="D53" s="41" t="s">
        <v>2703</v>
      </c>
      <c r="E53" s="45" t="s">
        <v>86</v>
      </c>
      <c r="F53" s="41" t="s">
        <v>2570</v>
      </c>
      <c r="G53" s="52">
        <v>25.0</v>
      </c>
      <c r="H53" s="53" t="s">
        <v>1368</v>
      </c>
      <c r="I53" s="53" t="s">
        <v>1367</v>
      </c>
      <c r="J53" s="45" t="s">
        <v>86</v>
      </c>
      <c r="K53" s="45" t="s">
        <v>86</v>
      </c>
      <c r="L53" s="45" t="s">
        <v>86</v>
      </c>
      <c r="M53" s="45" t="s">
        <v>86</v>
      </c>
      <c r="N53" s="54" t="s">
        <v>2709</v>
      </c>
      <c r="O53" s="54" t="s">
        <v>2710</v>
      </c>
      <c r="P53" s="54" t="s">
        <v>724</v>
      </c>
      <c r="Q53" s="54" t="s">
        <v>2711</v>
      </c>
      <c r="R53" s="54"/>
      <c r="S53" s="49"/>
    </row>
    <row r="54">
      <c r="A54" s="50" t="s">
        <v>2178</v>
      </c>
      <c r="B54" s="51" t="s">
        <v>2177</v>
      </c>
      <c r="C54" s="52" t="s">
        <v>73</v>
      </c>
      <c r="D54" s="41" t="s">
        <v>2589</v>
      </c>
      <c r="E54" s="45" t="s">
        <v>2569</v>
      </c>
      <c r="F54" s="41" t="s">
        <v>2593</v>
      </c>
      <c r="G54" s="52">
        <v>46.0</v>
      </c>
      <c r="H54" s="53" t="s">
        <v>2182</v>
      </c>
      <c r="I54" s="53" t="s">
        <v>2181</v>
      </c>
      <c r="J54" s="45" t="s">
        <v>86</v>
      </c>
      <c r="K54" s="45" t="s">
        <v>86</v>
      </c>
      <c r="L54" s="45" t="s">
        <v>86</v>
      </c>
      <c r="M54" s="45" t="s">
        <v>86</v>
      </c>
      <c r="N54" s="54" t="s">
        <v>137</v>
      </c>
      <c r="O54" s="54" t="s">
        <v>143</v>
      </c>
      <c r="P54" s="54" t="s">
        <v>137</v>
      </c>
      <c r="Q54" s="54" t="s">
        <v>2712</v>
      </c>
      <c r="R54" s="54"/>
      <c r="S54" s="49"/>
    </row>
    <row r="55">
      <c r="A55" s="50" t="s">
        <v>2713</v>
      </c>
      <c r="B55" s="51" t="s">
        <v>2714</v>
      </c>
      <c r="C55" s="52" t="s">
        <v>2620</v>
      </c>
      <c r="D55" s="41" t="s">
        <v>2715</v>
      </c>
      <c r="E55" s="45" t="s">
        <v>2569</v>
      </c>
      <c r="F55" s="41" t="s">
        <v>2608</v>
      </c>
      <c r="G55" s="52">
        <v>19.0</v>
      </c>
      <c r="H55" s="53" t="s">
        <v>2716</v>
      </c>
      <c r="I55" s="53" t="s">
        <v>2717</v>
      </c>
      <c r="J55" s="45" t="s">
        <v>2569</v>
      </c>
      <c r="K55" s="45" t="s">
        <v>2569</v>
      </c>
      <c r="L55" s="45" t="s">
        <v>2569</v>
      </c>
      <c r="M55" s="45" t="s">
        <v>2569</v>
      </c>
      <c r="N55" s="54"/>
      <c r="O55" s="54"/>
      <c r="P55" s="54" t="s">
        <v>2718</v>
      </c>
      <c r="Q55" s="54" t="s">
        <v>2719</v>
      </c>
      <c r="R55" s="54"/>
      <c r="S55" s="49"/>
    </row>
    <row r="56">
      <c r="A56" s="50" t="s">
        <v>2720</v>
      </c>
      <c r="B56" s="51" t="s">
        <v>2721</v>
      </c>
      <c r="C56" s="52" t="s">
        <v>73</v>
      </c>
      <c r="D56" s="41" t="s">
        <v>2589</v>
      </c>
      <c r="E56" s="45" t="s">
        <v>2569</v>
      </c>
      <c r="F56" s="41" t="s">
        <v>2593</v>
      </c>
      <c r="G56" s="52">
        <v>28.0</v>
      </c>
      <c r="H56" s="53" t="s">
        <v>2722</v>
      </c>
      <c r="I56" s="53"/>
      <c r="J56" s="45" t="s">
        <v>2569</v>
      </c>
      <c r="K56" s="45" t="s">
        <v>2569</v>
      </c>
      <c r="L56" s="45" t="s">
        <v>2569</v>
      </c>
      <c r="M56" s="45" t="s">
        <v>2569</v>
      </c>
      <c r="N56" s="54" t="s">
        <v>2723</v>
      </c>
      <c r="O56" s="54" t="s">
        <v>2724</v>
      </c>
      <c r="P56" s="54"/>
      <c r="Q56" s="54" t="s">
        <v>2725</v>
      </c>
      <c r="R56" s="54" t="s">
        <v>2675</v>
      </c>
      <c r="S56" s="49"/>
    </row>
    <row r="57">
      <c r="A57" s="50" t="s">
        <v>2162</v>
      </c>
      <c r="B57" s="51" t="s">
        <v>2161</v>
      </c>
      <c r="C57" s="52" t="s">
        <v>108</v>
      </c>
      <c r="D57" s="41" t="s">
        <v>2726</v>
      </c>
      <c r="E57" s="45" t="s">
        <v>86</v>
      </c>
      <c r="F57" s="41" t="s">
        <v>2593</v>
      </c>
      <c r="G57" s="52">
        <v>39.0</v>
      </c>
      <c r="H57" s="53" t="s">
        <v>2165</v>
      </c>
      <c r="I57" s="53" t="s">
        <v>2164</v>
      </c>
      <c r="J57" s="45" t="s">
        <v>86</v>
      </c>
      <c r="K57" s="45" t="s">
        <v>2569</v>
      </c>
      <c r="L57" s="45" t="s">
        <v>86</v>
      </c>
      <c r="M57" s="45" t="s">
        <v>86</v>
      </c>
      <c r="N57" s="54" t="s">
        <v>210</v>
      </c>
      <c r="O57" s="54" t="s">
        <v>2727</v>
      </c>
      <c r="P57" s="54" t="s">
        <v>1429</v>
      </c>
      <c r="Q57" s="54" t="s">
        <v>2728</v>
      </c>
      <c r="R57" s="54"/>
      <c r="S57" s="49"/>
    </row>
    <row r="58">
      <c r="A58" s="50" t="s">
        <v>2729</v>
      </c>
      <c r="B58" s="51" t="s">
        <v>2730</v>
      </c>
      <c r="C58" s="52" t="s">
        <v>2667</v>
      </c>
      <c r="D58" s="41" t="s">
        <v>2731</v>
      </c>
      <c r="E58" s="45" t="s">
        <v>2569</v>
      </c>
      <c r="F58" s="41" t="s">
        <v>2608</v>
      </c>
      <c r="G58" s="52">
        <v>22.0</v>
      </c>
      <c r="H58" s="53" t="s">
        <v>2732</v>
      </c>
      <c r="I58" s="53" t="s">
        <v>2733</v>
      </c>
      <c r="J58" s="45" t="s">
        <v>2569</v>
      </c>
      <c r="K58" s="45" t="s">
        <v>2569</v>
      </c>
      <c r="L58" s="45" t="s">
        <v>2569</v>
      </c>
      <c r="M58" s="45" t="s">
        <v>2569</v>
      </c>
      <c r="N58" s="54"/>
      <c r="O58" s="54"/>
      <c r="P58" s="54" t="s">
        <v>2734</v>
      </c>
      <c r="Q58" s="54" t="s">
        <v>2735</v>
      </c>
      <c r="R58" s="54"/>
      <c r="S58" s="49"/>
    </row>
    <row r="59">
      <c r="A59" s="50" t="s">
        <v>2736</v>
      </c>
      <c r="B59" s="51" t="s">
        <v>2737</v>
      </c>
      <c r="C59" s="52" t="s">
        <v>2667</v>
      </c>
      <c r="D59" s="50" t="s">
        <v>2667</v>
      </c>
      <c r="E59" s="45" t="s">
        <v>2569</v>
      </c>
      <c r="F59" s="41" t="s">
        <v>2608</v>
      </c>
      <c r="G59" s="52">
        <v>15.0</v>
      </c>
      <c r="H59" s="53" t="s">
        <v>2738</v>
      </c>
      <c r="I59" s="53" t="s">
        <v>2739</v>
      </c>
      <c r="J59" s="45" t="s">
        <v>2569</v>
      </c>
      <c r="K59" s="45" t="s">
        <v>2569</v>
      </c>
      <c r="L59" s="45" t="s">
        <v>2569</v>
      </c>
      <c r="M59" s="45" t="s">
        <v>2569</v>
      </c>
      <c r="N59" s="54"/>
      <c r="O59" s="54"/>
      <c r="P59" s="54" t="s">
        <v>2740</v>
      </c>
      <c r="Q59" s="54" t="s">
        <v>2741</v>
      </c>
      <c r="R59" s="54"/>
      <c r="S59" s="49"/>
    </row>
    <row r="60">
      <c r="A60" s="50" t="s">
        <v>1146</v>
      </c>
      <c r="B60" s="51" t="s">
        <v>1145</v>
      </c>
      <c r="C60" s="52" t="s">
        <v>73</v>
      </c>
      <c r="D60" s="41" t="s">
        <v>2703</v>
      </c>
      <c r="E60" s="45" t="s">
        <v>2569</v>
      </c>
      <c r="F60" s="41" t="s">
        <v>2593</v>
      </c>
      <c r="G60" s="52">
        <v>30.0</v>
      </c>
      <c r="H60" s="53" t="s">
        <v>1149</v>
      </c>
      <c r="I60" s="53" t="s">
        <v>1148</v>
      </c>
      <c r="J60" s="45" t="s">
        <v>86</v>
      </c>
      <c r="K60" s="45" t="s">
        <v>2569</v>
      </c>
      <c r="L60" s="45" t="s">
        <v>2569</v>
      </c>
      <c r="M60" s="45" t="s">
        <v>2569</v>
      </c>
      <c r="N60" s="54"/>
      <c r="O60" s="54"/>
      <c r="P60" s="54"/>
      <c r="Q60" s="54" t="s">
        <v>2742</v>
      </c>
      <c r="R60" s="54" t="s">
        <v>2743</v>
      </c>
      <c r="S60" s="49"/>
    </row>
    <row r="61">
      <c r="A61" s="50" t="s">
        <v>2151</v>
      </c>
      <c r="B61" s="51" t="s">
        <v>2150</v>
      </c>
      <c r="C61" s="52" t="s">
        <v>73</v>
      </c>
      <c r="D61" s="50" t="s">
        <v>73</v>
      </c>
      <c r="E61" s="45" t="s">
        <v>2569</v>
      </c>
      <c r="F61" s="41" t="s">
        <v>2574</v>
      </c>
      <c r="G61" s="52">
        <v>33.0</v>
      </c>
      <c r="H61" s="53" t="s">
        <v>2155</v>
      </c>
      <c r="I61" s="53" t="s">
        <v>2154</v>
      </c>
      <c r="J61" s="45" t="s">
        <v>86</v>
      </c>
      <c r="K61" s="45" t="s">
        <v>86</v>
      </c>
      <c r="L61" s="45" t="s">
        <v>86</v>
      </c>
      <c r="M61" s="45" t="s">
        <v>86</v>
      </c>
      <c r="N61" s="54" t="s">
        <v>2744</v>
      </c>
      <c r="O61" s="54" t="s">
        <v>2745</v>
      </c>
      <c r="P61" s="54" t="s">
        <v>2746</v>
      </c>
      <c r="Q61" s="54"/>
      <c r="R61" s="54"/>
      <c r="S61" s="49"/>
    </row>
    <row r="62">
      <c r="A62" s="50" t="s">
        <v>69</v>
      </c>
      <c r="B62" s="51" t="s">
        <v>68</v>
      </c>
      <c r="C62" s="52" t="s">
        <v>73</v>
      </c>
      <c r="D62" s="41" t="s">
        <v>2747</v>
      </c>
      <c r="E62" s="45" t="s">
        <v>86</v>
      </c>
      <c r="F62" s="41" t="s">
        <v>2593</v>
      </c>
      <c r="G62" s="52">
        <v>15.0</v>
      </c>
      <c r="H62" s="53" t="s">
        <v>80</v>
      </c>
      <c r="I62" s="53" t="s">
        <v>79</v>
      </c>
      <c r="J62" s="45" t="s">
        <v>86</v>
      </c>
      <c r="K62" s="45" t="s">
        <v>2569</v>
      </c>
      <c r="L62" s="45" t="s">
        <v>2569</v>
      </c>
      <c r="M62" s="45" t="s">
        <v>2569</v>
      </c>
      <c r="N62" s="54" t="s">
        <v>88</v>
      </c>
      <c r="O62" s="54" t="s">
        <v>87</v>
      </c>
      <c r="P62" s="54" t="s">
        <v>76</v>
      </c>
      <c r="Q62" s="54" t="s">
        <v>2748</v>
      </c>
      <c r="R62" s="54"/>
      <c r="S62" s="49"/>
    </row>
    <row r="63">
      <c r="A63" s="50" t="s">
        <v>601</v>
      </c>
      <c r="B63" s="51" t="s">
        <v>600</v>
      </c>
      <c r="C63" s="52" t="s">
        <v>73</v>
      </c>
      <c r="D63" s="41" t="s">
        <v>2747</v>
      </c>
      <c r="E63" s="45" t="s">
        <v>86</v>
      </c>
      <c r="F63" s="41" t="s">
        <v>2593</v>
      </c>
      <c r="G63" s="52">
        <v>15.0</v>
      </c>
      <c r="H63" s="53" t="s">
        <v>602</v>
      </c>
      <c r="I63" s="53"/>
      <c r="J63" s="45" t="s">
        <v>86</v>
      </c>
      <c r="K63" s="45" t="s">
        <v>2569</v>
      </c>
      <c r="L63" s="45" t="s">
        <v>2569</v>
      </c>
      <c r="M63" s="45" t="s">
        <v>2569</v>
      </c>
      <c r="N63" s="54" t="s">
        <v>88</v>
      </c>
      <c r="O63" s="54" t="s">
        <v>87</v>
      </c>
      <c r="P63" s="54" t="s">
        <v>76</v>
      </c>
      <c r="Q63" s="54" t="s">
        <v>2749</v>
      </c>
      <c r="R63" s="54"/>
      <c r="S63" s="49"/>
    </row>
    <row r="64">
      <c r="A64" s="50" t="s">
        <v>464</v>
      </c>
      <c r="B64" s="51" t="s">
        <v>463</v>
      </c>
      <c r="C64" s="52" t="s">
        <v>73</v>
      </c>
      <c r="D64" s="41" t="s">
        <v>2624</v>
      </c>
      <c r="E64" s="45" t="s">
        <v>86</v>
      </c>
      <c r="F64" s="41" t="s">
        <v>2593</v>
      </c>
      <c r="G64" s="52">
        <v>15.0</v>
      </c>
      <c r="H64" s="53" t="s">
        <v>468</v>
      </c>
      <c r="I64" s="53" t="s">
        <v>467</v>
      </c>
      <c r="J64" s="45" t="s">
        <v>86</v>
      </c>
      <c r="K64" s="45" t="s">
        <v>2569</v>
      </c>
      <c r="L64" s="45" t="s">
        <v>2569</v>
      </c>
      <c r="M64" s="45" t="s">
        <v>2569</v>
      </c>
      <c r="N64" s="54" t="s">
        <v>88</v>
      </c>
      <c r="O64" s="54" t="s">
        <v>87</v>
      </c>
      <c r="P64" s="54" t="s">
        <v>76</v>
      </c>
      <c r="Q64" s="54"/>
      <c r="R64" s="54"/>
      <c r="S64" s="49"/>
    </row>
    <row r="65">
      <c r="A65" s="50" t="s">
        <v>1323</v>
      </c>
      <c r="B65" s="51" t="s">
        <v>1322</v>
      </c>
      <c r="C65" s="52" t="s">
        <v>73</v>
      </c>
      <c r="D65" s="41" t="s">
        <v>2624</v>
      </c>
      <c r="E65" s="45" t="s">
        <v>86</v>
      </c>
      <c r="F65" s="41" t="s">
        <v>2593</v>
      </c>
      <c r="G65" s="52">
        <v>15.0</v>
      </c>
      <c r="H65" s="53" t="s">
        <v>1326</v>
      </c>
      <c r="I65" s="53" t="s">
        <v>1325</v>
      </c>
      <c r="J65" s="45" t="s">
        <v>86</v>
      </c>
      <c r="K65" s="45" t="s">
        <v>2569</v>
      </c>
      <c r="L65" s="45" t="s">
        <v>2569</v>
      </c>
      <c r="M65" s="45" t="s">
        <v>2569</v>
      </c>
      <c r="N65" s="54" t="s">
        <v>1330</v>
      </c>
      <c r="O65" s="54" t="s">
        <v>1329</v>
      </c>
      <c r="P65" s="54" t="s">
        <v>76</v>
      </c>
      <c r="Q65" s="54" t="s">
        <v>2750</v>
      </c>
      <c r="R65" s="54"/>
      <c r="S65" s="49"/>
    </row>
    <row r="66">
      <c r="A66" s="50" t="s">
        <v>2140</v>
      </c>
      <c r="B66" s="51" t="s">
        <v>2139</v>
      </c>
      <c r="C66" s="52" t="s">
        <v>73</v>
      </c>
      <c r="D66" s="41" t="s">
        <v>2747</v>
      </c>
      <c r="E66" s="45" t="s">
        <v>86</v>
      </c>
      <c r="F66" s="41" t="s">
        <v>2570</v>
      </c>
      <c r="G66" s="52">
        <v>32.0</v>
      </c>
      <c r="H66" s="53" t="s">
        <v>2143</v>
      </c>
      <c r="I66" s="53" t="s">
        <v>2123</v>
      </c>
      <c r="J66" s="45" t="s">
        <v>86</v>
      </c>
      <c r="K66" s="45" t="s">
        <v>86</v>
      </c>
      <c r="L66" s="45" t="s">
        <v>86</v>
      </c>
      <c r="M66" s="45" t="s">
        <v>86</v>
      </c>
      <c r="N66" s="54" t="s">
        <v>2148</v>
      </c>
      <c r="O66" s="54" t="s">
        <v>2751</v>
      </c>
      <c r="P66" s="54" t="s">
        <v>2142</v>
      </c>
      <c r="Q66" s="54" t="s">
        <v>2752</v>
      </c>
      <c r="R66" s="54"/>
      <c r="S66" s="49"/>
    </row>
    <row r="67">
      <c r="A67" s="50" t="s">
        <v>2131</v>
      </c>
      <c r="B67" s="51" t="s">
        <v>2130</v>
      </c>
      <c r="C67" s="52" t="s">
        <v>73</v>
      </c>
      <c r="D67" s="41" t="s">
        <v>2589</v>
      </c>
      <c r="E67" s="45" t="s">
        <v>2569</v>
      </c>
      <c r="F67" s="41" t="s">
        <v>2593</v>
      </c>
      <c r="G67" s="52">
        <v>36.0</v>
      </c>
      <c r="H67" s="53" t="s">
        <v>2753</v>
      </c>
      <c r="I67" s="53" t="s">
        <v>2133</v>
      </c>
      <c r="J67" s="45" t="s">
        <v>2569</v>
      </c>
      <c r="K67" s="45" t="s">
        <v>2569</v>
      </c>
      <c r="L67" s="45" t="s">
        <v>2569</v>
      </c>
      <c r="M67" s="45" t="s">
        <v>2569</v>
      </c>
      <c r="N67" s="54" t="s">
        <v>137</v>
      </c>
      <c r="O67" s="54" t="s">
        <v>2754</v>
      </c>
      <c r="P67" s="54" t="s">
        <v>137</v>
      </c>
      <c r="Q67" s="54" t="s">
        <v>2755</v>
      </c>
      <c r="R67" s="54"/>
      <c r="S67" s="49"/>
    </row>
    <row r="68">
      <c r="A68" s="50" t="s">
        <v>2120</v>
      </c>
      <c r="B68" s="51" t="s">
        <v>2119</v>
      </c>
      <c r="C68" s="52" t="s">
        <v>73</v>
      </c>
      <c r="D68" s="41" t="s">
        <v>2747</v>
      </c>
      <c r="E68" s="45" t="s">
        <v>86</v>
      </c>
      <c r="F68" s="41" t="s">
        <v>2578</v>
      </c>
      <c r="G68" s="52">
        <v>37.0</v>
      </c>
      <c r="H68" s="53" t="s">
        <v>2124</v>
      </c>
      <c r="I68" s="53" t="s">
        <v>2123</v>
      </c>
      <c r="J68" s="45" t="s">
        <v>86</v>
      </c>
      <c r="K68" s="45" t="s">
        <v>86</v>
      </c>
      <c r="L68" s="45" t="s">
        <v>86</v>
      </c>
      <c r="M68" s="45" t="s">
        <v>86</v>
      </c>
      <c r="N68" s="54" t="s">
        <v>137</v>
      </c>
      <c r="O68" s="54" t="s">
        <v>2724</v>
      </c>
      <c r="P68" s="54" t="s">
        <v>76</v>
      </c>
      <c r="Q68" s="54" t="s">
        <v>2756</v>
      </c>
      <c r="R68" s="54"/>
      <c r="S68" s="49"/>
    </row>
    <row r="69">
      <c r="A69" s="50" t="s">
        <v>1421</v>
      </c>
      <c r="B69" s="51" t="s">
        <v>1420</v>
      </c>
      <c r="C69" s="52" t="s">
        <v>108</v>
      </c>
      <c r="D69" s="41" t="s">
        <v>2630</v>
      </c>
      <c r="E69" s="45" t="s">
        <v>2569</v>
      </c>
      <c r="F69" s="41" t="s">
        <v>2574</v>
      </c>
      <c r="G69" s="52">
        <v>25.0</v>
      </c>
      <c r="H69" s="53" t="s">
        <v>1423</v>
      </c>
      <c r="I69" s="53" t="s">
        <v>1422</v>
      </c>
      <c r="J69" s="45" t="s">
        <v>2569</v>
      </c>
      <c r="K69" s="45" t="s">
        <v>2569</v>
      </c>
      <c r="L69" s="45" t="s">
        <v>2569</v>
      </c>
      <c r="M69" s="45" t="s">
        <v>2569</v>
      </c>
      <c r="N69" s="54" t="s">
        <v>286</v>
      </c>
      <c r="O69" s="54" t="s">
        <v>286</v>
      </c>
      <c r="P69" s="54" t="s">
        <v>286</v>
      </c>
      <c r="Q69" s="54"/>
      <c r="R69" s="54"/>
      <c r="S69" s="49"/>
    </row>
    <row r="70">
      <c r="A70" s="50" t="s">
        <v>1536</v>
      </c>
      <c r="B70" s="51" t="s">
        <v>1535</v>
      </c>
      <c r="C70" s="52" t="s">
        <v>108</v>
      </c>
      <c r="D70" s="41" t="s">
        <v>2715</v>
      </c>
      <c r="E70" s="45" t="s">
        <v>86</v>
      </c>
      <c r="F70" s="41" t="s">
        <v>2608</v>
      </c>
      <c r="G70" s="52">
        <v>15.0</v>
      </c>
      <c r="H70" s="53" t="s">
        <v>1538</v>
      </c>
      <c r="I70" s="53" t="s">
        <v>1522</v>
      </c>
      <c r="J70" s="45" t="s">
        <v>86</v>
      </c>
      <c r="K70" s="45" t="s">
        <v>86</v>
      </c>
      <c r="L70" s="45" t="s">
        <v>86</v>
      </c>
      <c r="M70" s="45" t="s">
        <v>86</v>
      </c>
      <c r="N70" s="54" t="s">
        <v>2757</v>
      </c>
      <c r="O70" s="54" t="s">
        <v>1541</v>
      </c>
      <c r="P70" s="54" t="s">
        <v>2758</v>
      </c>
      <c r="Q70" s="54"/>
      <c r="R70" s="54"/>
      <c r="S70" s="49"/>
    </row>
    <row r="71">
      <c r="A71" s="50" t="s">
        <v>1487</v>
      </c>
      <c r="B71" s="51" t="s">
        <v>1486</v>
      </c>
      <c r="C71" s="52" t="s">
        <v>108</v>
      </c>
      <c r="D71" s="41" t="s">
        <v>2759</v>
      </c>
      <c r="E71" s="45" t="s">
        <v>86</v>
      </c>
      <c r="F71" s="41" t="s">
        <v>2570</v>
      </c>
      <c r="G71" s="52">
        <v>15.0</v>
      </c>
      <c r="H71" s="53" t="s">
        <v>1489</v>
      </c>
      <c r="I71" s="53" t="s">
        <v>1488</v>
      </c>
      <c r="J71" s="45" t="s">
        <v>86</v>
      </c>
      <c r="K71" s="45" t="s">
        <v>86</v>
      </c>
      <c r="L71" s="45" t="s">
        <v>86</v>
      </c>
      <c r="M71" s="45" t="s">
        <v>86</v>
      </c>
      <c r="N71" s="54" t="s">
        <v>1039</v>
      </c>
      <c r="O71" s="54" t="s">
        <v>675</v>
      </c>
      <c r="P71" s="54" t="s">
        <v>670</v>
      </c>
      <c r="Q71" s="54"/>
      <c r="R71" s="54"/>
      <c r="S71" s="49"/>
    </row>
    <row r="72">
      <c r="A72" s="50" t="s">
        <v>982</v>
      </c>
      <c r="B72" s="51" t="s">
        <v>981</v>
      </c>
      <c r="C72" s="52" t="s">
        <v>108</v>
      </c>
      <c r="D72" s="50" t="s">
        <v>2760</v>
      </c>
      <c r="E72" s="45" t="s">
        <v>86</v>
      </c>
      <c r="F72" s="41" t="s">
        <v>2570</v>
      </c>
      <c r="G72" s="52">
        <v>15.0</v>
      </c>
      <c r="H72" s="53" t="s">
        <v>985</v>
      </c>
      <c r="I72" s="53" t="s">
        <v>984</v>
      </c>
      <c r="J72" s="45" t="s">
        <v>86</v>
      </c>
      <c r="K72" s="45" t="s">
        <v>86</v>
      </c>
      <c r="L72" s="45" t="s">
        <v>86</v>
      </c>
      <c r="M72" s="45" t="s">
        <v>86</v>
      </c>
      <c r="N72" s="54" t="s">
        <v>988</v>
      </c>
      <c r="O72" s="54" t="s">
        <v>675</v>
      </c>
      <c r="P72" s="54" t="s">
        <v>305</v>
      </c>
      <c r="Q72" s="54"/>
      <c r="R72" s="54"/>
      <c r="S72" s="49"/>
    </row>
    <row r="73">
      <c r="A73" s="50" t="s">
        <v>1494</v>
      </c>
      <c r="B73" s="51" t="s">
        <v>1493</v>
      </c>
      <c r="C73" s="52" t="s">
        <v>108</v>
      </c>
      <c r="D73" s="41" t="s">
        <v>2761</v>
      </c>
      <c r="E73" s="45" t="s">
        <v>86</v>
      </c>
      <c r="F73" s="41" t="s">
        <v>2570</v>
      </c>
      <c r="G73" s="52">
        <v>14.0</v>
      </c>
      <c r="H73" s="53" t="s">
        <v>1496</v>
      </c>
      <c r="I73" s="53" t="s">
        <v>1495</v>
      </c>
      <c r="J73" s="45" t="s">
        <v>86</v>
      </c>
      <c r="K73" s="45" t="s">
        <v>2569</v>
      </c>
      <c r="L73" s="45" t="s">
        <v>86</v>
      </c>
      <c r="M73" s="45" t="s">
        <v>86</v>
      </c>
      <c r="N73" s="54" t="s">
        <v>1039</v>
      </c>
      <c r="O73" s="54" t="s">
        <v>675</v>
      </c>
      <c r="P73" s="54" t="s">
        <v>670</v>
      </c>
      <c r="Q73" s="54"/>
      <c r="R73" s="54"/>
      <c r="S73" s="49"/>
    </row>
    <row r="74">
      <c r="A74" s="50" t="s">
        <v>713</v>
      </c>
      <c r="B74" s="51" t="s">
        <v>712</v>
      </c>
      <c r="C74" s="52" t="s">
        <v>73</v>
      </c>
      <c r="D74" s="41" t="s">
        <v>2582</v>
      </c>
      <c r="E74" s="45" t="s">
        <v>86</v>
      </c>
      <c r="F74" s="41" t="s">
        <v>2578</v>
      </c>
      <c r="G74" s="52">
        <v>33.0</v>
      </c>
      <c r="H74" s="53" t="s">
        <v>716</v>
      </c>
      <c r="I74" s="53" t="s">
        <v>715</v>
      </c>
      <c r="J74" s="45" t="s">
        <v>86</v>
      </c>
      <c r="K74" s="45" t="s">
        <v>2569</v>
      </c>
      <c r="L74" s="45" t="s">
        <v>86</v>
      </c>
      <c r="M74" s="45" t="s">
        <v>86</v>
      </c>
      <c r="N74" s="54" t="s">
        <v>137</v>
      </c>
      <c r="O74" s="54" t="s">
        <v>2762</v>
      </c>
      <c r="P74" s="54" t="s">
        <v>2763</v>
      </c>
      <c r="Q74" s="54" t="s">
        <v>2764</v>
      </c>
      <c r="R74" s="54"/>
      <c r="S74" s="49"/>
    </row>
    <row r="75">
      <c r="A75" s="50" t="s">
        <v>2112</v>
      </c>
      <c r="B75" s="51" t="s">
        <v>2111</v>
      </c>
      <c r="C75" s="52" t="s">
        <v>108</v>
      </c>
      <c r="D75" s="41" t="s">
        <v>2694</v>
      </c>
      <c r="E75" s="45" t="s">
        <v>86</v>
      </c>
      <c r="F75" s="41" t="s">
        <v>2608</v>
      </c>
      <c r="G75" s="52">
        <v>30.0</v>
      </c>
      <c r="H75" s="53" t="s">
        <v>2115</v>
      </c>
      <c r="I75" s="53" t="s">
        <v>2069</v>
      </c>
      <c r="J75" s="45" t="s">
        <v>86</v>
      </c>
      <c r="K75" s="45" t="s">
        <v>86</v>
      </c>
      <c r="L75" s="45" t="s">
        <v>86</v>
      </c>
      <c r="M75" s="45" t="s">
        <v>86</v>
      </c>
      <c r="N75" s="54" t="s">
        <v>670</v>
      </c>
      <c r="O75" s="54" t="s">
        <v>675</v>
      </c>
      <c r="P75" s="54" t="s">
        <v>670</v>
      </c>
      <c r="Q75" s="54"/>
      <c r="R75" s="54" t="s">
        <v>144</v>
      </c>
      <c r="S75" s="49"/>
    </row>
    <row r="76">
      <c r="A76" s="50" t="s">
        <v>2103</v>
      </c>
      <c r="B76" s="51" t="s">
        <v>2102</v>
      </c>
      <c r="C76" s="52" t="s">
        <v>73</v>
      </c>
      <c r="D76" s="41" t="s">
        <v>2624</v>
      </c>
      <c r="E76" s="45" t="s">
        <v>86</v>
      </c>
      <c r="F76" s="41" t="s">
        <v>2593</v>
      </c>
      <c r="G76" s="52">
        <v>31.0</v>
      </c>
      <c r="H76" s="53" t="s">
        <v>2106</v>
      </c>
      <c r="I76" s="53" t="s">
        <v>2105</v>
      </c>
      <c r="J76" s="45" t="s">
        <v>86</v>
      </c>
      <c r="K76" s="45" t="s">
        <v>86</v>
      </c>
      <c r="L76" s="45" t="s">
        <v>86</v>
      </c>
      <c r="M76" s="45" t="s">
        <v>86</v>
      </c>
      <c r="N76" s="54" t="s">
        <v>137</v>
      </c>
      <c r="O76" s="54" t="s">
        <v>1591</v>
      </c>
      <c r="P76" s="54" t="s">
        <v>433</v>
      </c>
      <c r="Q76" s="54" t="s">
        <v>2765</v>
      </c>
      <c r="R76" s="54"/>
      <c r="S76" s="49"/>
    </row>
    <row r="77">
      <c r="A77" s="50" t="s">
        <v>560</v>
      </c>
      <c r="B77" s="51" t="s">
        <v>559</v>
      </c>
      <c r="C77" s="52" t="s">
        <v>2620</v>
      </c>
      <c r="D77" s="41" t="s">
        <v>2766</v>
      </c>
      <c r="E77" s="45" t="s">
        <v>86</v>
      </c>
      <c r="F77" s="41" t="s">
        <v>2608</v>
      </c>
      <c r="G77" s="52">
        <v>18.0</v>
      </c>
      <c r="H77" s="53" t="s">
        <v>565</v>
      </c>
      <c r="I77" s="53" t="s">
        <v>564</v>
      </c>
      <c r="J77" s="45" t="s">
        <v>2569</v>
      </c>
      <c r="K77" s="45" t="s">
        <v>2569</v>
      </c>
      <c r="L77" s="45" t="s">
        <v>2569</v>
      </c>
      <c r="M77" s="45" t="s">
        <v>2569</v>
      </c>
      <c r="N77" s="54"/>
      <c r="O77" s="54" t="s">
        <v>568</v>
      </c>
      <c r="P77" s="54" t="s">
        <v>2767</v>
      </c>
      <c r="Q77" s="54" t="s">
        <v>2768</v>
      </c>
      <c r="R77" s="54"/>
      <c r="S77" s="49"/>
    </row>
    <row r="78">
      <c r="A78" s="50" t="s">
        <v>490</v>
      </c>
      <c r="B78" s="51" t="s">
        <v>489</v>
      </c>
      <c r="C78" s="52" t="s">
        <v>108</v>
      </c>
      <c r="D78" s="41" t="s">
        <v>2769</v>
      </c>
      <c r="E78" s="45" t="s">
        <v>86</v>
      </c>
      <c r="F78" s="41" t="s">
        <v>2608</v>
      </c>
      <c r="G78" s="52">
        <v>23.0</v>
      </c>
      <c r="H78" s="53" t="s">
        <v>494</v>
      </c>
      <c r="I78" s="53" t="s">
        <v>181</v>
      </c>
      <c r="J78" s="45" t="s">
        <v>2569</v>
      </c>
      <c r="K78" s="45" t="s">
        <v>2569</v>
      </c>
      <c r="L78" s="45" t="s">
        <v>2569</v>
      </c>
      <c r="M78" s="45" t="s">
        <v>2569</v>
      </c>
      <c r="N78" s="54"/>
      <c r="O78" s="54" t="s">
        <v>497</v>
      </c>
      <c r="P78" s="54" t="s">
        <v>2770</v>
      </c>
      <c r="Q78" s="54" t="s">
        <v>2768</v>
      </c>
      <c r="R78" s="54"/>
      <c r="S78" s="49"/>
    </row>
    <row r="79">
      <c r="A79" s="50" t="s">
        <v>2771</v>
      </c>
      <c r="B79" s="51" t="s">
        <v>2772</v>
      </c>
      <c r="C79" s="52" t="s">
        <v>2620</v>
      </c>
      <c r="D79" s="41" t="s">
        <v>2715</v>
      </c>
      <c r="E79" s="45" t="s">
        <v>2569</v>
      </c>
      <c r="F79" s="41" t="s">
        <v>110</v>
      </c>
      <c r="G79" s="52">
        <v>29.0</v>
      </c>
      <c r="H79" s="53" t="s">
        <v>2773</v>
      </c>
      <c r="I79" s="53"/>
      <c r="J79" s="45" t="s">
        <v>2569</v>
      </c>
      <c r="K79" s="45" t="s">
        <v>2569</v>
      </c>
      <c r="L79" s="45" t="s">
        <v>2569</v>
      </c>
      <c r="M79" s="45" t="s">
        <v>2569</v>
      </c>
      <c r="N79" s="54"/>
      <c r="O79" s="54"/>
      <c r="P79" s="54" t="s">
        <v>2774</v>
      </c>
      <c r="Q79" s="54"/>
      <c r="R79" s="54"/>
      <c r="S79" s="49"/>
    </row>
    <row r="80">
      <c r="A80" s="50" t="s">
        <v>992</v>
      </c>
      <c r="B80" s="51" t="s">
        <v>991</v>
      </c>
      <c r="C80" s="52" t="s">
        <v>73</v>
      </c>
      <c r="D80" s="41" t="s">
        <v>2589</v>
      </c>
      <c r="E80" s="45" t="s">
        <v>2569</v>
      </c>
      <c r="F80" s="41" t="s">
        <v>2593</v>
      </c>
      <c r="G80" s="52">
        <v>35.0</v>
      </c>
      <c r="H80" s="53" t="s">
        <v>996</v>
      </c>
      <c r="I80" s="53" t="s">
        <v>995</v>
      </c>
      <c r="J80" s="45" t="s">
        <v>2569</v>
      </c>
      <c r="K80" s="45" t="s">
        <v>2569</v>
      </c>
      <c r="L80" s="45" t="s">
        <v>2569</v>
      </c>
      <c r="M80" s="45" t="s">
        <v>2569</v>
      </c>
      <c r="N80" s="54" t="s">
        <v>137</v>
      </c>
      <c r="O80" s="54" t="s">
        <v>137</v>
      </c>
      <c r="P80" s="54" t="s">
        <v>137</v>
      </c>
      <c r="Q80" s="54"/>
      <c r="R80" s="54"/>
      <c r="S80" s="49"/>
    </row>
    <row r="81">
      <c r="A81" s="50" t="s">
        <v>583</v>
      </c>
      <c r="B81" s="51" t="s">
        <v>582</v>
      </c>
      <c r="C81" s="52" t="s">
        <v>108</v>
      </c>
      <c r="D81" s="41" t="s">
        <v>2715</v>
      </c>
      <c r="E81" s="45" t="s">
        <v>86</v>
      </c>
      <c r="F81" s="41" t="s">
        <v>2574</v>
      </c>
      <c r="G81" s="52">
        <v>18.0</v>
      </c>
      <c r="H81" s="53" t="s">
        <v>585</v>
      </c>
      <c r="I81" s="53"/>
      <c r="J81" s="45" t="s">
        <v>2569</v>
      </c>
      <c r="K81" s="45" t="s">
        <v>2569</v>
      </c>
      <c r="L81" s="45" t="s">
        <v>2569</v>
      </c>
      <c r="M81" s="45" t="s">
        <v>2569</v>
      </c>
      <c r="N81" s="54"/>
      <c r="O81" s="54" t="s">
        <v>370</v>
      </c>
      <c r="P81" s="54" t="s">
        <v>2775</v>
      </c>
      <c r="Q81" s="54"/>
      <c r="R81" s="54"/>
      <c r="S81" s="49"/>
    </row>
    <row r="82">
      <c r="A82" s="50" t="s">
        <v>2303</v>
      </c>
      <c r="B82" s="51" t="s">
        <v>2302</v>
      </c>
      <c r="C82" s="52" t="s">
        <v>73</v>
      </c>
      <c r="D82" s="41" t="s">
        <v>2715</v>
      </c>
      <c r="E82" s="45" t="s">
        <v>86</v>
      </c>
      <c r="F82" s="41" t="s">
        <v>2608</v>
      </c>
      <c r="G82" s="52">
        <v>20.0</v>
      </c>
      <c r="H82" s="53" t="s">
        <v>585</v>
      </c>
      <c r="I82" s="53" t="s">
        <v>2306</v>
      </c>
      <c r="J82" s="45" t="s">
        <v>2569</v>
      </c>
      <c r="K82" s="45" t="s">
        <v>2569</v>
      </c>
      <c r="L82" s="45" t="s">
        <v>2569</v>
      </c>
      <c r="M82" s="45" t="s">
        <v>2569</v>
      </c>
      <c r="N82" s="54"/>
      <c r="O82" s="54" t="s">
        <v>370</v>
      </c>
      <c r="P82" s="54" t="s">
        <v>2775</v>
      </c>
      <c r="Q82" s="54"/>
      <c r="R82" s="54"/>
      <c r="S82" s="49"/>
    </row>
    <row r="83">
      <c r="A83" s="50" t="s">
        <v>2776</v>
      </c>
      <c r="B83" s="51" t="s">
        <v>2777</v>
      </c>
      <c r="C83" s="52" t="s">
        <v>2667</v>
      </c>
      <c r="D83" s="50" t="s">
        <v>2667</v>
      </c>
      <c r="E83" s="45" t="s">
        <v>2569</v>
      </c>
      <c r="F83" s="41" t="s">
        <v>2574</v>
      </c>
      <c r="G83" s="52">
        <v>27.0</v>
      </c>
      <c r="H83" s="53" t="s">
        <v>2778</v>
      </c>
      <c r="I83" s="53" t="s">
        <v>2779</v>
      </c>
      <c r="J83" s="45" t="s">
        <v>2569</v>
      </c>
      <c r="K83" s="45" t="s">
        <v>2569</v>
      </c>
      <c r="L83" s="45" t="s">
        <v>2569</v>
      </c>
      <c r="M83" s="45" t="s">
        <v>2569</v>
      </c>
      <c r="N83" s="54"/>
      <c r="O83" s="54"/>
      <c r="P83" s="54" t="s">
        <v>2780</v>
      </c>
      <c r="Q83" s="54" t="s">
        <v>2781</v>
      </c>
      <c r="R83" s="54"/>
      <c r="S83" s="49"/>
    </row>
    <row r="84">
      <c r="A84" s="50" t="s">
        <v>2782</v>
      </c>
      <c r="B84" s="51" t="s">
        <v>156</v>
      </c>
      <c r="C84" s="52" t="s">
        <v>2620</v>
      </c>
      <c r="D84" s="41" t="s">
        <v>2573</v>
      </c>
      <c r="E84" s="45" t="s">
        <v>86</v>
      </c>
      <c r="F84" s="41" t="s">
        <v>2590</v>
      </c>
      <c r="G84" s="52">
        <v>15.0</v>
      </c>
      <c r="H84" s="53" t="s">
        <v>164</v>
      </c>
      <c r="I84" s="53" t="s">
        <v>163</v>
      </c>
      <c r="J84" s="45" t="s">
        <v>2569</v>
      </c>
      <c r="K84" s="45" t="s">
        <v>2569</v>
      </c>
      <c r="L84" s="45" t="s">
        <v>2569</v>
      </c>
      <c r="M84" s="45" t="s">
        <v>2569</v>
      </c>
      <c r="N84" s="54"/>
      <c r="O84" s="54"/>
      <c r="P84" s="54"/>
      <c r="Q84" s="54"/>
      <c r="R84" s="54"/>
      <c r="S84" s="49"/>
    </row>
    <row r="85">
      <c r="A85" s="50" t="s">
        <v>1089</v>
      </c>
      <c r="B85" s="51" t="s">
        <v>1088</v>
      </c>
      <c r="C85" s="52" t="s">
        <v>108</v>
      </c>
      <c r="D85" s="41" t="s">
        <v>2589</v>
      </c>
      <c r="E85" s="45" t="s">
        <v>86</v>
      </c>
      <c r="F85" s="41" t="s">
        <v>2590</v>
      </c>
      <c r="G85" s="52">
        <v>12.0</v>
      </c>
      <c r="H85" s="53" t="s">
        <v>1092</v>
      </c>
      <c r="I85" s="53" t="s">
        <v>1057</v>
      </c>
      <c r="J85" s="45" t="s">
        <v>2569</v>
      </c>
      <c r="K85" s="45" t="s">
        <v>2569</v>
      </c>
      <c r="L85" s="45" t="s">
        <v>2569</v>
      </c>
      <c r="M85" s="45" t="s">
        <v>2569</v>
      </c>
      <c r="N85" s="54" t="s">
        <v>664</v>
      </c>
      <c r="O85" s="54" t="s">
        <v>310</v>
      </c>
      <c r="P85" s="54" t="s">
        <v>305</v>
      </c>
      <c r="Q85" s="54"/>
      <c r="R85" s="54" t="s">
        <v>144</v>
      </c>
      <c r="S85" s="49"/>
    </row>
    <row r="86">
      <c r="A86" s="50" t="s">
        <v>105</v>
      </c>
      <c r="B86" s="51" t="s">
        <v>104</v>
      </c>
      <c r="C86" s="52" t="s">
        <v>108</v>
      </c>
      <c r="D86" s="41" t="s">
        <v>2630</v>
      </c>
      <c r="E86" s="45" t="s">
        <v>86</v>
      </c>
      <c r="F86" s="41" t="s">
        <v>2590</v>
      </c>
      <c r="G86" s="52">
        <v>10.0</v>
      </c>
      <c r="H86" s="53" t="s">
        <v>114</v>
      </c>
      <c r="I86" s="53" t="s">
        <v>113</v>
      </c>
      <c r="J86" s="45" t="s">
        <v>86</v>
      </c>
      <c r="K86" s="45" t="s">
        <v>2569</v>
      </c>
      <c r="L86" s="45" t="s">
        <v>2569</v>
      </c>
      <c r="M86" s="45" t="s">
        <v>2569</v>
      </c>
      <c r="N86" s="54" t="s">
        <v>2783</v>
      </c>
      <c r="O86" s="54" t="s">
        <v>117</v>
      </c>
      <c r="P86" s="54" t="s">
        <v>2784</v>
      </c>
      <c r="Q86" s="54" t="s">
        <v>2785</v>
      </c>
      <c r="R86" s="54"/>
      <c r="S86" s="49"/>
    </row>
    <row r="87">
      <c r="A87" s="50" t="s">
        <v>942</v>
      </c>
      <c r="B87" s="51" t="s">
        <v>941</v>
      </c>
      <c r="C87" s="52" t="s">
        <v>108</v>
      </c>
      <c r="D87" s="41" t="s">
        <v>2694</v>
      </c>
      <c r="E87" s="45" t="s">
        <v>86</v>
      </c>
      <c r="F87" s="41" t="s">
        <v>2608</v>
      </c>
      <c r="G87" s="52">
        <v>15.0</v>
      </c>
      <c r="H87" s="53" t="s">
        <v>946</v>
      </c>
      <c r="I87" s="53" t="s">
        <v>912</v>
      </c>
      <c r="J87" s="45" t="s">
        <v>2569</v>
      </c>
      <c r="K87" s="45" t="s">
        <v>2569</v>
      </c>
      <c r="L87" s="45" t="s">
        <v>2569</v>
      </c>
      <c r="M87" s="45" t="s">
        <v>2569</v>
      </c>
      <c r="N87" s="54" t="s">
        <v>2786</v>
      </c>
      <c r="O87" s="54" t="s">
        <v>117</v>
      </c>
      <c r="P87" s="54" t="s">
        <v>2787</v>
      </c>
      <c r="Q87" s="54" t="s">
        <v>2788</v>
      </c>
      <c r="R87" s="54" t="s">
        <v>2789</v>
      </c>
      <c r="S87" s="49"/>
    </row>
    <row r="88">
      <c r="A88" s="50" t="s">
        <v>1055</v>
      </c>
      <c r="B88" s="51" t="s">
        <v>1054</v>
      </c>
      <c r="C88" s="52" t="s">
        <v>108</v>
      </c>
      <c r="D88" s="41" t="s">
        <v>2694</v>
      </c>
      <c r="E88" s="45" t="s">
        <v>86</v>
      </c>
      <c r="F88" s="41" t="s">
        <v>2608</v>
      </c>
      <c r="G88" s="52">
        <v>16.0</v>
      </c>
      <c r="H88" s="53" t="s">
        <v>1058</v>
      </c>
      <c r="I88" s="53" t="s">
        <v>1057</v>
      </c>
      <c r="J88" s="45" t="s">
        <v>86</v>
      </c>
      <c r="K88" s="45" t="s">
        <v>2569</v>
      </c>
      <c r="L88" s="45" t="s">
        <v>2569</v>
      </c>
      <c r="M88" s="45" t="s">
        <v>2569</v>
      </c>
      <c r="N88" s="54" t="s">
        <v>2790</v>
      </c>
      <c r="O88" s="54" t="s">
        <v>117</v>
      </c>
      <c r="P88" s="54" t="s">
        <v>2791</v>
      </c>
      <c r="Q88" s="54"/>
      <c r="R88" s="54" t="s">
        <v>2792</v>
      </c>
      <c r="S88" s="49"/>
    </row>
    <row r="89">
      <c r="A89" s="50" t="s">
        <v>2093</v>
      </c>
      <c r="B89" s="51" t="s">
        <v>2092</v>
      </c>
      <c r="C89" s="52" t="s">
        <v>73</v>
      </c>
      <c r="D89" s="41" t="s">
        <v>2577</v>
      </c>
      <c r="E89" s="45" t="s">
        <v>2569</v>
      </c>
      <c r="F89" s="41" t="s">
        <v>2593</v>
      </c>
      <c r="G89" s="52">
        <v>32.0</v>
      </c>
      <c r="H89" s="53" t="s">
        <v>2097</v>
      </c>
      <c r="I89" s="53" t="s">
        <v>2096</v>
      </c>
      <c r="J89" s="45" t="s">
        <v>86</v>
      </c>
      <c r="K89" s="45" t="s">
        <v>2569</v>
      </c>
      <c r="L89" s="45" t="s">
        <v>2569</v>
      </c>
      <c r="M89" s="45" t="s">
        <v>2569</v>
      </c>
      <c r="N89" s="54" t="s">
        <v>137</v>
      </c>
      <c r="O89" s="54" t="s">
        <v>2793</v>
      </c>
      <c r="P89" s="54" t="s">
        <v>433</v>
      </c>
      <c r="Q89" s="54" t="s">
        <v>2794</v>
      </c>
      <c r="R89" s="54"/>
      <c r="S89" s="49"/>
    </row>
    <row r="90">
      <c r="A90" s="50" t="s">
        <v>2084</v>
      </c>
      <c r="B90" s="51" t="s">
        <v>2083</v>
      </c>
      <c r="C90" s="52" t="s">
        <v>108</v>
      </c>
      <c r="D90" s="41" t="s">
        <v>2795</v>
      </c>
      <c r="E90" s="45" t="s">
        <v>86</v>
      </c>
      <c r="F90" s="41" t="s">
        <v>2570</v>
      </c>
      <c r="G90" s="52">
        <v>33.0</v>
      </c>
      <c r="H90" s="53" t="s">
        <v>2087</v>
      </c>
      <c r="I90" s="53" t="s">
        <v>1057</v>
      </c>
      <c r="J90" s="45" t="s">
        <v>86</v>
      </c>
      <c r="K90" s="45" t="s">
        <v>86</v>
      </c>
      <c r="L90" s="45" t="s">
        <v>86</v>
      </c>
      <c r="M90" s="45" t="s">
        <v>86</v>
      </c>
      <c r="N90" s="54" t="s">
        <v>2783</v>
      </c>
      <c r="O90" s="54" t="s">
        <v>117</v>
      </c>
      <c r="P90" s="54" t="s">
        <v>2086</v>
      </c>
      <c r="Q90" s="54" t="s">
        <v>2796</v>
      </c>
      <c r="R90" s="54"/>
      <c r="S90" s="49"/>
    </row>
    <row r="91">
      <c r="A91" s="50" t="s">
        <v>2797</v>
      </c>
      <c r="B91" s="51" t="s">
        <v>2798</v>
      </c>
      <c r="C91" s="52" t="s">
        <v>2620</v>
      </c>
      <c r="D91" s="41" t="s">
        <v>2715</v>
      </c>
      <c r="E91" s="45" t="s">
        <v>2569</v>
      </c>
      <c r="F91" s="41" t="s">
        <v>110</v>
      </c>
      <c r="G91" s="52">
        <v>24.0</v>
      </c>
      <c r="H91" s="53" t="s">
        <v>2799</v>
      </c>
      <c r="I91" s="53" t="s">
        <v>2800</v>
      </c>
      <c r="J91" s="45" t="s">
        <v>2569</v>
      </c>
      <c r="K91" s="45" t="s">
        <v>2569</v>
      </c>
      <c r="L91" s="45" t="s">
        <v>2569</v>
      </c>
      <c r="M91" s="45" t="s">
        <v>2569</v>
      </c>
      <c r="N91" s="54"/>
      <c r="O91" s="54"/>
      <c r="P91" s="54" t="s">
        <v>2801</v>
      </c>
      <c r="Q91" s="54"/>
      <c r="R91" s="54"/>
      <c r="S91" s="49"/>
    </row>
    <row r="92">
      <c r="A92" s="50" t="s">
        <v>2802</v>
      </c>
      <c r="B92" s="51" t="s">
        <v>2803</v>
      </c>
      <c r="C92" s="52" t="s">
        <v>108</v>
      </c>
      <c r="D92" s="50" t="s">
        <v>108</v>
      </c>
      <c r="E92" s="45" t="s">
        <v>86</v>
      </c>
      <c r="F92" s="54"/>
      <c r="G92" s="52">
        <v>25.0</v>
      </c>
      <c r="H92" s="53" t="s">
        <v>2804</v>
      </c>
      <c r="I92" s="53" t="s">
        <v>2805</v>
      </c>
      <c r="J92" s="45" t="s">
        <v>2569</v>
      </c>
      <c r="K92" s="45" t="s">
        <v>2569</v>
      </c>
      <c r="L92" s="45" t="s">
        <v>2569</v>
      </c>
      <c r="M92" s="45" t="s">
        <v>2569</v>
      </c>
      <c r="N92" s="54"/>
      <c r="O92" s="54"/>
      <c r="P92" s="54" t="s">
        <v>204</v>
      </c>
      <c r="Q92" s="54"/>
      <c r="R92" s="54"/>
      <c r="S92" s="49"/>
    </row>
    <row r="93">
      <c r="A93" s="50" t="s">
        <v>2806</v>
      </c>
      <c r="B93" s="51" t="s">
        <v>2807</v>
      </c>
      <c r="C93" s="52" t="s">
        <v>108</v>
      </c>
      <c r="D93" s="41" t="s">
        <v>2808</v>
      </c>
      <c r="E93" s="45" t="s">
        <v>86</v>
      </c>
      <c r="F93" s="41" t="s">
        <v>2574</v>
      </c>
      <c r="G93" s="52">
        <v>11.0</v>
      </c>
      <c r="H93" s="53" t="s">
        <v>2809</v>
      </c>
      <c r="I93" s="53"/>
      <c r="J93" s="45" t="s">
        <v>2569</v>
      </c>
      <c r="K93" s="45" t="s">
        <v>2569</v>
      </c>
      <c r="L93" s="45" t="s">
        <v>2569</v>
      </c>
      <c r="M93" s="45" t="s">
        <v>2569</v>
      </c>
      <c r="N93" s="54"/>
      <c r="O93" s="54"/>
      <c r="P93" s="54" t="s">
        <v>2262</v>
      </c>
      <c r="Q93" s="54" t="s">
        <v>2810</v>
      </c>
      <c r="R93" s="54"/>
      <c r="S93" s="49"/>
    </row>
    <row r="94">
      <c r="A94" s="50" t="s">
        <v>2075</v>
      </c>
      <c r="B94" s="51" t="s">
        <v>2074</v>
      </c>
      <c r="C94" s="52" t="s">
        <v>73</v>
      </c>
      <c r="D94" s="50" t="s">
        <v>73</v>
      </c>
      <c r="E94" s="45" t="s">
        <v>2569</v>
      </c>
      <c r="F94" s="41" t="s">
        <v>2574</v>
      </c>
      <c r="G94" s="52">
        <v>20.0</v>
      </c>
      <c r="H94" s="53" t="s">
        <v>2078</v>
      </c>
      <c r="I94" s="53" t="s">
        <v>2077</v>
      </c>
      <c r="J94" s="45" t="s">
        <v>2569</v>
      </c>
      <c r="K94" s="45" t="s">
        <v>2569</v>
      </c>
      <c r="L94" s="45" t="s">
        <v>2569</v>
      </c>
      <c r="M94" s="45" t="s">
        <v>2569</v>
      </c>
      <c r="N94" s="54" t="s">
        <v>137</v>
      </c>
      <c r="O94" s="54" t="s">
        <v>2081</v>
      </c>
      <c r="P94" s="54" t="s">
        <v>137</v>
      </c>
      <c r="Q94" s="54"/>
      <c r="R94" s="54"/>
      <c r="S94" s="49"/>
    </row>
    <row r="95">
      <c r="A95" s="50" t="s">
        <v>2067</v>
      </c>
      <c r="B95" s="51" t="s">
        <v>2066</v>
      </c>
      <c r="C95" s="52" t="s">
        <v>2693</v>
      </c>
      <c r="D95" s="41" t="s">
        <v>2624</v>
      </c>
      <c r="E95" s="45" t="s">
        <v>2569</v>
      </c>
      <c r="F95" s="41" t="s">
        <v>2593</v>
      </c>
      <c r="G95" s="52">
        <v>30.0</v>
      </c>
      <c r="H95" s="53" t="s">
        <v>2070</v>
      </c>
      <c r="I95" s="53" t="s">
        <v>2069</v>
      </c>
      <c r="J95" s="45" t="s">
        <v>86</v>
      </c>
      <c r="K95" s="45" t="s">
        <v>86</v>
      </c>
      <c r="L95" s="45" t="s">
        <v>86</v>
      </c>
      <c r="M95" s="45" t="s">
        <v>86</v>
      </c>
      <c r="N95" s="54" t="s">
        <v>137</v>
      </c>
      <c r="O95" s="54" t="s">
        <v>1084</v>
      </c>
      <c r="P95" s="54" t="s">
        <v>137</v>
      </c>
      <c r="Q95" s="54" t="s">
        <v>2811</v>
      </c>
      <c r="R95" s="54"/>
      <c r="S95" s="49"/>
    </row>
    <row r="96">
      <c r="A96" s="50" t="s">
        <v>91</v>
      </c>
      <c r="B96" s="51" t="s">
        <v>90</v>
      </c>
      <c r="C96" s="52" t="s">
        <v>2667</v>
      </c>
      <c r="D96" s="50" t="s">
        <v>2667</v>
      </c>
      <c r="E96" s="45" t="s">
        <v>86</v>
      </c>
      <c r="F96" s="41" t="s">
        <v>2608</v>
      </c>
      <c r="G96" s="52">
        <v>16.0</v>
      </c>
      <c r="H96" s="53" t="s">
        <v>98</v>
      </c>
      <c r="I96" s="53" t="s">
        <v>97</v>
      </c>
      <c r="J96" s="45" t="s">
        <v>86</v>
      </c>
      <c r="K96" s="45" t="s">
        <v>86</v>
      </c>
      <c r="L96" s="45" t="s">
        <v>86</v>
      </c>
      <c r="M96" s="45" t="s">
        <v>86</v>
      </c>
      <c r="N96" s="54" t="s">
        <v>2812</v>
      </c>
      <c r="O96" s="54" t="s">
        <v>2813</v>
      </c>
      <c r="P96" s="54" t="s">
        <v>96</v>
      </c>
      <c r="Q96" s="54" t="s">
        <v>2814</v>
      </c>
      <c r="R96" s="54"/>
      <c r="S96" s="49"/>
    </row>
    <row r="97">
      <c r="A97" s="50" t="s">
        <v>694</v>
      </c>
      <c r="B97" s="51" t="s">
        <v>693</v>
      </c>
      <c r="C97" s="52" t="s">
        <v>73</v>
      </c>
      <c r="D97" s="41" t="s">
        <v>2815</v>
      </c>
      <c r="E97" s="45" t="s">
        <v>86</v>
      </c>
      <c r="F97" s="41" t="s">
        <v>2593</v>
      </c>
      <c r="G97" s="52">
        <v>48.0</v>
      </c>
      <c r="H97" s="53" t="s">
        <v>695</v>
      </c>
      <c r="I97" s="53" t="s">
        <v>693</v>
      </c>
      <c r="J97" s="45" t="s">
        <v>86</v>
      </c>
      <c r="K97" s="45" t="s">
        <v>2569</v>
      </c>
      <c r="L97" s="45" t="s">
        <v>86</v>
      </c>
      <c r="M97" s="45" t="s">
        <v>86</v>
      </c>
      <c r="N97" s="54" t="s">
        <v>137</v>
      </c>
      <c r="O97" s="54" t="s">
        <v>137</v>
      </c>
      <c r="P97" s="54" t="s">
        <v>137</v>
      </c>
      <c r="Q97" s="54" t="s">
        <v>2816</v>
      </c>
      <c r="R97" s="54"/>
      <c r="S97" s="49"/>
    </row>
    <row r="98">
      <c r="A98" s="50" t="s">
        <v>2060</v>
      </c>
      <c r="B98" s="51" t="s">
        <v>2059</v>
      </c>
      <c r="C98" s="52" t="s">
        <v>108</v>
      </c>
      <c r="D98" s="41" t="s">
        <v>2589</v>
      </c>
      <c r="E98" s="45" t="s">
        <v>2569</v>
      </c>
      <c r="F98" s="41" t="s">
        <v>2590</v>
      </c>
      <c r="G98" s="52">
        <v>27.0</v>
      </c>
      <c r="H98" s="53" t="s">
        <v>2062</v>
      </c>
      <c r="I98" s="53" t="s">
        <v>2014</v>
      </c>
      <c r="J98" s="45" t="s">
        <v>86</v>
      </c>
      <c r="K98" s="45" t="s">
        <v>86</v>
      </c>
      <c r="L98" s="45" t="s">
        <v>86</v>
      </c>
      <c r="M98" s="45" t="s">
        <v>86</v>
      </c>
      <c r="N98" s="54" t="s">
        <v>137</v>
      </c>
      <c r="O98" s="54" t="s">
        <v>137</v>
      </c>
      <c r="P98" s="54" t="s">
        <v>137</v>
      </c>
      <c r="Q98" s="54" t="s">
        <v>2817</v>
      </c>
      <c r="R98" s="54"/>
      <c r="S98" s="49"/>
    </row>
    <row r="99">
      <c r="A99" s="50" t="s">
        <v>607</v>
      </c>
      <c r="B99" s="51" t="s">
        <v>606</v>
      </c>
      <c r="C99" s="52" t="s">
        <v>2693</v>
      </c>
      <c r="D99" s="41" t="s">
        <v>2589</v>
      </c>
      <c r="E99" s="45" t="s">
        <v>86</v>
      </c>
      <c r="F99" s="41" t="s">
        <v>2578</v>
      </c>
      <c r="G99" s="52">
        <v>30.0</v>
      </c>
      <c r="H99" s="53" t="s">
        <v>610</v>
      </c>
      <c r="I99" s="53" t="s">
        <v>609</v>
      </c>
      <c r="J99" s="45" t="s">
        <v>86</v>
      </c>
      <c r="K99" s="45" t="s">
        <v>86</v>
      </c>
      <c r="L99" s="45" t="s">
        <v>86</v>
      </c>
      <c r="M99" s="45" t="s">
        <v>86</v>
      </c>
      <c r="N99" s="54" t="s">
        <v>614</v>
      </c>
      <c r="O99" s="54" t="s">
        <v>2818</v>
      </c>
      <c r="P99" s="54" t="s">
        <v>608</v>
      </c>
      <c r="Q99" s="54"/>
      <c r="R99" s="54"/>
      <c r="S99" s="49"/>
    </row>
    <row r="100">
      <c r="A100" s="50" t="s">
        <v>2051</v>
      </c>
      <c r="B100" s="51" t="s">
        <v>2050</v>
      </c>
      <c r="C100" s="52" t="s">
        <v>73</v>
      </c>
      <c r="D100" s="41" t="s">
        <v>2573</v>
      </c>
      <c r="E100" s="45" t="s">
        <v>86</v>
      </c>
      <c r="F100" s="41" t="s">
        <v>2574</v>
      </c>
      <c r="G100" s="52">
        <v>49.0</v>
      </c>
      <c r="H100" s="53" t="s">
        <v>2055</v>
      </c>
      <c r="I100" s="53" t="s">
        <v>2054</v>
      </c>
      <c r="J100" s="45" t="s">
        <v>2569</v>
      </c>
      <c r="K100" s="45" t="s">
        <v>2569</v>
      </c>
      <c r="L100" s="45" t="s">
        <v>2569</v>
      </c>
      <c r="M100" s="45" t="s">
        <v>2569</v>
      </c>
      <c r="N100" s="54" t="s">
        <v>137</v>
      </c>
      <c r="O100" s="54" t="s">
        <v>137</v>
      </c>
      <c r="P100" s="54" t="s">
        <v>137</v>
      </c>
      <c r="Q100" s="54" t="s">
        <v>2819</v>
      </c>
      <c r="R100" s="54"/>
      <c r="S100" s="49"/>
    </row>
    <row r="101">
      <c r="A101" s="50" t="s">
        <v>1096</v>
      </c>
      <c r="B101" s="51" t="s">
        <v>271</v>
      </c>
      <c r="C101" s="52" t="s">
        <v>73</v>
      </c>
      <c r="D101" s="41" t="s">
        <v>2820</v>
      </c>
      <c r="E101" s="45" t="s">
        <v>86</v>
      </c>
      <c r="F101" s="41" t="s">
        <v>2578</v>
      </c>
      <c r="G101" s="52">
        <v>50.0</v>
      </c>
      <c r="H101" s="53" t="s">
        <v>1100</v>
      </c>
      <c r="I101" s="53" t="s">
        <v>1099</v>
      </c>
      <c r="J101" s="45" t="s">
        <v>86</v>
      </c>
      <c r="K101" s="45" t="s">
        <v>2569</v>
      </c>
      <c r="L101" s="45" t="s">
        <v>2569</v>
      </c>
      <c r="M101" s="45" t="s">
        <v>2569</v>
      </c>
      <c r="N101" s="54" t="s">
        <v>137</v>
      </c>
      <c r="O101" s="54" t="s">
        <v>137</v>
      </c>
      <c r="P101" s="54" t="s">
        <v>137</v>
      </c>
      <c r="Q101" s="54"/>
      <c r="R101" s="54" t="s">
        <v>2821</v>
      </c>
      <c r="S101" s="49"/>
    </row>
    <row r="102">
      <c r="A102" s="50" t="s">
        <v>269</v>
      </c>
      <c r="B102" s="51" t="s">
        <v>268</v>
      </c>
      <c r="C102" s="52" t="s">
        <v>73</v>
      </c>
      <c r="D102" s="41" t="s">
        <v>2822</v>
      </c>
      <c r="E102" s="45" t="s">
        <v>86</v>
      </c>
      <c r="F102" s="41" t="s">
        <v>2578</v>
      </c>
      <c r="G102" s="52">
        <v>25.0</v>
      </c>
      <c r="H102" s="53" t="s">
        <v>276</v>
      </c>
      <c r="I102" s="53" t="s">
        <v>275</v>
      </c>
      <c r="J102" s="45" t="s">
        <v>86</v>
      </c>
      <c r="K102" s="45" t="s">
        <v>86</v>
      </c>
      <c r="L102" s="45" t="s">
        <v>86</v>
      </c>
      <c r="M102" s="45" t="s">
        <v>86</v>
      </c>
      <c r="N102" s="54" t="s">
        <v>279</v>
      </c>
      <c r="O102" s="54" t="s">
        <v>279</v>
      </c>
      <c r="P102" s="54" t="s">
        <v>273</v>
      </c>
      <c r="Q102" s="54"/>
      <c r="R102" s="54"/>
      <c r="S102" s="49"/>
    </row>
    <row r="103">
      <c r="A103" s="50" t="s">
        <v>678</v>
      </c>
      <c r="B103" s="51" t="s">
        <v>677</v>
      </c>
      <c r="C103" s="52" t="s">
        <v>73</v>
      </c>
      <c r="D103" s="41" t="s">
        <v>2703</v>
      </c>
      <c r="E103" s="45" t="s">
        <v>2569</v>
      </c>
      <c r="F103" s="41" t="s">
        <v>2593</v>
      </c>
      <c r="G103" s="52">
        <v>15.0</v>
      </c>
      <c r="H103" s="53" t="s">
        <v>682</v>
      </c>
      <c r="I103" s="53" t="s">
        <v>275</v>
      </c>
      <c r="J103" s="45" t="s">
        <v>86</v>
      </c>
      <c r="K103" s="45" t="s">
        <v>86</v>
      </c>
      <c r="L103" s="45" t="s">
        <v>86</v>
      </c>
      <c r="M103" s="45" t="s">
        <v>86</v>
      </c>
      <c r="N103" s="54" t="s">
        <v>685</v>
      </c>
      <c r="O103" s="54" t="s">
        <v>310</v>
      </c>
      <c r="P103" s="54" t="s">
        <v>681</v>
      </c>
      <c r="Q103" s="54" t="s">
        <v>2823</v>
      </c>
      <c r="R103" s="54"/>
      <c r="S103" s="49"/>
    </row>
    <row r="104">
      <c r="A104" s="50" t="s">
        <v>2824</v>
      </c>
      <c r="B104" s="51" t="s">
        <v>2825</v>
      </c>
      <c r="C104" s="52" t="s">
        <v>108</v>
      </c>
      <c r="D104" s="41" t="s">
        <v>2826</v>
      </c>
      <c r="E104" s="45" t="s">
        <v>2569</v>
      </c>
      <c r="F104" s="41" t="s">
        <v>2590</v>
      </c>
      <c r="G104" s="52">
        <v>15.0</v>
      </c>
      <c r="H104" s="53" t="s">
        <v>2827</v>
      </c>
      <c r="I104" s="53"/>
      <c r="J104" s="45" t="s">
        <v>2569</v>
      </c>
      <c r="K104" s="45" t="s">
        <v>2569</v>
      </c>
      <c r="L104" s="45" t="s">
        <v>2569</v>
      </c>
      <c r="M104" s="45" t="s">
        <v>2569</v>
      </c>
      <c r="N104" s="54"/>
      <c r="O104" s="54"/>
      <c r="P104" s="54"/>
      <c r="Q104" s="54" t="s">
        <v>2828</v>
      </c>
      <c r="R104" s="54" t="s">
        <v>2605</v>
      </c>
      <c r="S104" s="49"/>
    </row>
    <row r="105">
      <c r="A105" s="50" t="s">
        <v>773</v>
      </c>
      <c r="B105" s="51" t="s">
        <v>772</v>
      </c>
      <c r="C105" s="52" t="s">
        <v>108</v>
      </c>
      <c r="D105" s="41" t="s">
        <v>2829</v>
      </c>
      <c r="E105" s="45" t="s">
        <v>86</v>
      </c>
      <c r="F105" s="41" t="s">
        <v>2578</v>
      </c>
      <c r="G105" s="52">
        <v>31.0</v>
      </c>
      <c r="H105" s="53" t="s">
        <v>777</v>
      </c>
      <c r="I105" s="53" t="s">
        <v>502</v>
      </c>
      <c r="J105" s="45" t="s">
        <v>86</v>
      </c>
      <c r="K105" s="45" t="s">
        <v>86</v>
      </c>
      <c r="L105" s="45" t="s">
        <v>86</v>
      </c>
      <c r="M105" s="45" t="s">
        <v>86</v>
      </c>
      <c r="N105" s="54" t="s">
        <v>2830</v>
      </c>
      <c r="O105" s="54" t="s">
        <v>781</v>
      </c>
      <c r="P105" s="54" t="s">
        <v>776</v>
      </c>
      <c r="Q105" s="54" t="s">
        <v>2831</v>
      </c>
      <c r="R105" s="54"/>
      <c r="S105" s="49"/>
    </row>
    <row r="106">
      <c r="A106" s="50" t="s">
        <v>314</v>
      </c>
      <c r="B106" s="51" t="s">
        <v>313</v>
      </c>
      <c r="C106" s="52" t="s">
        <v>73</v>
      </c>
      <c r="D106" s="41" t="s">
        <v>2747</v>
      </c>
      <c r="E106" s="45" t="s">
        <v>86</v>
      </c>
      <c r="F106" s="41" t="s">
        <v>2608</v>
      </c>
      <c r="G106" s="52">
        <v>15.0</v>
      </c>
      <c r="H106" s="53" t="s">
        <v>318</v>
      </c>
      <c r="I106" s="53" t="s">
        <v>317</v>
      </c>
      <c r="J106" s="45" t="s">
        <v>86</v>
      </c>
      <c r="K106" s="45" t="s">
        <v>2569</v>
      </c>
      <c r="L106" s="45" t="s">
        <v>2569</v>
      </c>
      <c r="M106" s="45" t="s">
        <v>2569</v>
      </c>
      <c r="N106" s="54" t="s">
        <v>322</v>
      </c>
      <c r="O106" s="54" t="s">
        <v>321</v>
      </c>
      <c r="P106" s="54"/>
      <c r="Q106" s="54" t="s">
        <v>2832</v>
      </c>
      <c r="R106" s="54" t="s">
        <v>2617</v>
      </c>
      <c r="S106" s="49"/>
    </row>
    <row r="107">
      <c r="A107" s="50" t="s">
        <v>834</v>
      </c>
      <c r="B107" s="51" t="s">
        <v>833</v>
      </c>
      <c r="C107" s="52" t="s">
        <v>73</v>
      </c>
      <c r="D107" s="41" t="s">
        <v>2833</v>
      </c>
      <c r="E107" s="45" t="s">
        <v>86</v>
      </c>
      <c r="F107" s="41" t="s">
        <v>2578</v>
      </c>
      <c r="G107" s="52">
        <v>15.0</v>
      </c>
      <c r="H107" s="53" t="s">
        <v>839</v>
      </c>
      <c r="I107" s="53" t="s">
        <v>838</v>
      </c>
      <c r="J107" s="45" t="s">
        <v>2569</v>
      </c>
      <c r="K107" s="45" t="s">
        <v>2569</v>
      </c>
      <c r="L107" s="45" t="s">
        <v>2569</v>
      </c>
      <c r="M107" s="45" t="s">
        <v>2569</v>
      </c>
      <c r="N107" s="54" t="s">
        <v>842</v>
      </c>
      <c r="O107" s="54" t="s">
        <v>321</v>
      </c>
      <c r="P107" s="54" t="s">
        <v>137</v>
      </c>
      <c r="Q107" s="54"/>
      <c r="R107" s="54"/>
      <c r="S107" s="49"/>
    </row>
    <row r="108">
      <c r="A108" s="50" t="s">
        <v>1545</v>
      </c>
      <c r="B108" s="51" t="s">
        <v>1544</v>
      </c>
      <c r="C108" s="52" t="s">
        <v>73</v>
      </c>
      <c r="D108" s="41" t="s">
        <v>2624</v>
      </c>
      <c r="E108" s="45" t="s">
        <v>86</v>
      </c>
      <c r="F108" s="41" t="s">
        <v>2574</v>
      </c>
      <c r="G108" s="52">
        <v>43.0</v>
      </c>
      <c r="H108" s="53" t="s">
        <v>1549</v>
      </c>
      <c r="I108" s="53" t="s">
        <v>1548</v>
      </c>
      <c r="J108" s="45" t="s">
        <v>86</v>
      </c>
      <c r="K108" s="45" t="s">
        <v>86</v>
      </c>
      <c r="L108" s="45" t="s">
        <v>86</v>
      </c>
      <c r="M108" s="45" t="s">
        <v>86</v>
      </c>
      <c r="N108" s="54" t="s">
        <v>2834</v>
      </c>
      <c r="O108" s="54" t="s">
        <v>1552</v>
      </c>
      <c r="P108" s="54" t="s">
        <v>1547</v>
      </c>
      <c r="Q108" s="54" t="s">
        <v>2835</v>
      </c>
      <c r="R108" s="54"/>
      <c r="S108" s="49"/>
    </row>
    <row r="109">
      <c r="A109" s="50" t="s">
        <v>2040</v>
      </c>
      <c r="B109" s="51" t="s">
        <v>2039</v>
      </c>
      <c r="C109" s="52" t="s">
        <v>73</v>
      </c>
      <c r="D109" s="41" t="s">
        <v>2589</v>
      </c>
      <c r="E109" s="45" t="s">
        <v>86</v>
      </c>
      <c r="F109" s="41" t="s">
        <v>2574</v>
      </c>
      <c r="G109" s="52">
        <v>35.0</v>
      </c>
      <c r="H109" s="53" t="s">
        <v>2043</v>
      </c>
      <c r="I109" s="53" t="s">
        <v>346</v>
      </c>
      <c r="J109" s="45" t="s">
        <v>86</v>
      </c>
      <c r="K109" s="45" t="s">
        <v>86</v>
      </c>
      <c r="L109" s="45" t="s">
        <v>86</v>
      </c>
      <c r="M109" s="45" t="s">
        <v>86</v>
      </c>
      <c r="N109" s="54" t="s">
        <v>2048</v>
      </c>
      <c r="O109" s="54" t="s">
        <v>2836</v>
      </c>
      <c r="P109" s="54" t="s">
        <v>2837</v>
      </c>
      <c r="Q109" s="54" t="s">
        <v>2838</v>
      </c>
      <c r="R109" s="54"/>
      <c r="S109" s="49"/>
    </row>
    <row r="110">
      <c r="A110" s="50" t="s">
        <v>700</v>
      </c>
      <c r="B110" s="51" t="s">
        <v>699</v>
      </c>
      <c r="C110" s="52" t="s">
        <v>73</v>
      </c>
      <c r="D110" s="50" t="s">
        <v>73</v>
      </c>
      <c r="E110" s="45" t="s">
        <v>2569</v>
      </c>
      <c r="F110" s="41" t="s">
        <v>2608</v>
      </c>
      <c r="G110" s="52">
        <v>30.0</v>
      </c>
      <c r="H110" s="53" t="s">
        <v>706</v>
      </c>
      <c r="I110" s="53" t="s">
        <v>705</v>
      </c>
      <c r="J110" s="45" t="s">
        <v>86</v>
      </c>
      <c r="K110" s="45" t="s">
        <v>2569</v>
      </c>
      <c r="L110" s="45" t="s">
        <v>86</v>
      </c>
      <c r="M110" s="45" t="s">
        <v>86</v>
      </c>
      <c r="N110" s="54" t="s">
        <v>710</v>
      </c>
      <c r="O110" s="54" t="s">
        <v>2839</v>
      </c>
      <c r="P110" s="54" t="s">
        <v>703</v>
      </c>
      <c r="Q110" s="54"/>
      <c r="R110" s="54"/>
      <c r="S110" s="49"/>
    </row>
    <row r="111">
      <c r="A111" s="50" t="s">
        <v>326</v>
      </c>
      <c r="B111" s="51" t="s">
        <v>325</v>
      </c>
      <c r="C111" s="52" t="s">
        <v>73</v>
      </c>
      <c r="D111" s="50" t="s">
        <v>73</v>
      </c>
      <c r="E111" s="45" t="s">
        <v>86</v>
      </c>
      <c r="F111" s="41" t="s">
        <v>2574</v>
      </c>
      <c r="G111" s="52">
        <v>20.0</v>
      </c>
      <c r="H111" s="53" t="s">
        <v>328</v>
      </c>
      <c r="I111" s="53" t="s">
        <v>194</v>
      </c>
      <c r="J111" s="45" t="s">
        <v>2569</v>
      </c>
      <c r="K111" s="45" t="s">
        <v>2569</v>
      </c>
      <c r="L111" s="45" t="s">
        <v>2569</v>
      </c>
      <c r="M111" s="45" t="s">
        <v>2569</v>
      </c>
      <c r="N111" s="54" t="s">
        <v>332</v>
      </c>
      <c r="O111" s="54" t="s">
        <v>331</v>
      </c>
      <c r="P111" s="54" t="s">
        <v>327</v>
      </c>
      <c r="Q111" s="54" t="s">
        <v>2840</v>
      </c>
      <c r="R111" s="54"/>
      <c r="S111" s="49"/>
    </row>
    <row r="112">
      <c r="A112" s="50" t="s">
        <v>391</v>
      </c>
      <c r="B112" s="51" t="s">
        <v>390</v>
      </c>
      <c r="C112" s="52" t="s">
        <v>73</v>
      </c>
      <c r="D112" s="41" t="s">
        <v>2624</v>
      </c>
      <c r="E112" s="45" t="s">
        <v>86</v>
      </c>
      <c r="F112" s="41" t="s">
        <v>2574</v>
      </c>
      <c r="G112" s="52">
        <v>15.0</v>
      </c>
      <c r="H112" s="53" t="s">
        <v>395</v>
      </c>
      <c r="I112" s="53" t="s">
        <v>394</v>
      </c>
      <c r="J112" s="45" t="s">
        <v>2569</v>
      </c>
      <c r="K112" s="45" t="s">
        <v>2569</v>
      </c>
      <c r="L112" s="45" t="s">
        <v>2569</v>
      </c>
      <c r="M112" s="45" t="s">
        <v>2569</v>
      </c>
      <c r="N112" s="54" t="s">
        <v>399</v>
      </c>
      <c r="O112" s="54" t="s">
        <v>398</v>
      </c>
      <c r="P112" s="54" t="s">
        <v>393</v>
      </c>
      <c r="Q112" s="54" t="s">
        <v>2841</v>
      </c>
      <c r="R112" s="54"/>
      <c r="S112" s="49"/>
    </row>
    <row r="113">
      <c r="A113" s="50" t="s">
        <v>520</v>
      </c>
      <c r="B113" s="51" t="s">
        <v>519</v>
      </c>
      <c r="C113" s="52" t="s">
        <v>73</v>
      </c>
      <c r="D113" s="50" t="s">
        <v>73</v>
      </c>
      <c r="E113" s="45" t="s">
        <v>86</v>
      </c>
      <c r="F113" s="41" t="s">
        <v>2590</v>
      </c>
      <c r="G113" s="52">
        <v>15.0</v>
      </c>
      <c r="H113" s="53" t="s">
        <v>523</v>
      </c>
      <c r="I113" s="53" t="s">
        <v>522</v>
      </c>
      <c r="J113" s="45" t="s">
        <v>2569</v>
      </c>
      <c r="K113" s="45" t="s">
        <v>2569</v>
      </c>
      <c r="L113" s="45" t="s">
        <v>2569</v>
      </c>
      <c r="M113" s="45" t="s">
        <v>2569</v>
      </c>
      <c r="N113" s="54" t="s">
        <v>526</v>
      </c>
      <c r="O113" s="54" t="s">
        <v>398</v>
      </c>
      <c r="P113" s="54" t="s">
        <v>608</v>
      </c>
      <c r="Q113" s="54" t="s">
        <v>2842</v>
      </c>
      <c r="R113" s="54"/>
      <c r="S113" s="49"/>
    </row>
    <row r="114">
      <c r="A114" s="50" t="s">
        <v>473</v>
      </c>
      <c r="B114" s="51" t="s">
        <v>472</v>
      </c>
      <c r="C114" s="52" t="s">
        <v>73</v>
      </c>
      <c r="D114" s="41" t="s">
        <v>2624</v>
      </c>
      <c r="E114" s="45" t="s">
        <v>86</v>
      </c>
      <c r="F114" s="41" t="s">
        <v>2574</v>
      </c>
      <c r="G114" s="52">
        <v>15.0</v>
      </c>
      <c r="H114" s="53" t="s">
        <v>475</v>
      </c>
      <c r="I114" s="53" t="s">
        <v>394</v>
      </c>
      <c r="J114" s="45" t="s">
        <v>2569</v>
      </c>
      <c r="K114" s="45" t="s">
        <v>2569</v>
      </c>
      <c r="L114" s="45" t="s">
        <v>2569</v>
      </c>
      <c r="M114" s="45" t="s">
        <v>2569</v>
      </c>
      <c r="N114" s="54" t="s">
        <v>478</v>
      </c>
      <c r="O114" s="54" t="s">
        <v>398</v>
      </c>
      <c r="P114" s="54" t="s">
        <v>474</v>
      </c>
      <c r="Q114" s="54" t="s">
        <v>2843</v>
      </c>
      <c r="R114" s="54"/>
      <c r="S114" s="49"/>
    </row>
    <row r="115">
      <c r="A115" s="50" t="s">
        <v>590</v>
      </c>
      <c r="B115" s="51" t="s">
        <v>589</v>
      </c>
      <c r="C115" s="52" t="s">
        <v>73</v>
      </c>
      <c r="D115" s="41" t="s">
        <v>2624</v>
      </c>
      <c r="E115" s="45" t="s">
        <v>86</v>
      </c>
      <c r="F115" s="41" t="s">
        <v>2574</v>
      </c>
      <c r="G115" s="52">
        <v>35.0</v>
      </c>
      <c r="H115" s="53" t="s">
        <v>593</v>
      </c>
      <c r="I115" s="53" t="s">
        <v>194</v>
      </c>
      <c r="J115" s="45" t="s">
        <v>86</v>
      </c>
      <c r="K115" s="45" t="s">
        <v>86</v>
      </c>
      <c r="L115" s="45" t="s">
        <v>86</v>
      </c>
      <c r="M115" s="45" t="s">
        <v>86</v>
      </c>
      <c r="N115" s="54" t="s">
        <v>598</v>
      </c>
      <c r="O115" s="54" t="s">
        <v>2844</v>
      </c>
      <c r="P115" s="54" t="s">
        <v>2845</v>
      </c>
      <c r="Q115" s="54" t="s">
        <v>2846</v>
      </c>
      <c r="R115" s="54"/>
      <c r="S115" s="49"/>
    </row>
    <row r="116">
      <c r="A116" s="50" t="s">
        <v>188</v>
      </c>
      <c r="B116" s="51" t="s">
        <v>187</v>
      </c>
      <c r="C116" s="52" t="s">
        <v>73</v>
      </c>
      <c r="D116" s="50" t="s">
        <v>73</v>
      </c>
      <c r="E116" s="45" t="s">
        <v>86</v>
      </c>
      <c r="F116" s="41" t="s">
        <v>2608</v>
      </c>
      <c r="G116" s="52">
        <v>30.0</v>
      </c>
      <c r="H116" s="53" t="s">
        <v>195</v>
      </c>
      <c r="I116" s="53" t="s">
        <v>194</v>
      </c>
      <c r="J116" s="45" t="s">
        <v>86</v>
      </c>
      <c r="K116" s="45" t="s">
        <v>86</v>
      </c>
      <c r="L116" s="45" t="s">
        <v>86</v>
      </c>
      <c r="M116" s="45" t="s">
        <v>86</v>
      </c>
      <c r="N116" s="54" t="s">
        <v>2847</v>
      </c>
      <c r="O116" s="54" t="s">
        <v>198</v>
      </c>
      <c r="P116" s="54" t="s">
        <v>2848</v>
      </c>
      <c r="Q116" s="54" t="s">
        <v>2849</v>
      </c>
      <c r="R116" s="54"/>
      <c r="S116" s="49"/>
    </row>
    <row r="117">
      <c r="A117" s="50" t="s">
        <v>179</v>
      </c>
      <c r="B117" s="51" t="s">
        <v>178</v>
      </c>
      <c r="C117" s="52" t="s">
        <v>2620</v>
      </c>
      <c r="D117" s="41" t="s">
        <v>2624</v>
      </c>
      <c r="E117" s="45" t="s">
        <v>86</v>
      </c>
      <c r="F117" s="41" t="s">
        <v>2593</v>
      </c>
      <c r="G117" s="52">
        <v>15.0</v>
      </c>
      <c r="H117" s="53" t="s">
        <v>182</v>
      </c>
      <c r="I117" s="53" t="s">
        <v>181</v>
      </c>
      <c r="J117" s="45" t="s">
        <v>2569</v>
      </c>
      <c r="K117" s="45" t="s">
        <v>2569</v>
      </c>
      <c r="L117" s="45" t="s">
        <v>2569</v>
      </c>
      <c r="M117" s="45" t="s">
        <v>2569</v>
      </c>
      <c r="N117" s="54" t="s">
        <v>185</v>
      </c>
      <c r="O117" s="54" t="s">
        <v>185</v>
      </c>
      <c r="P117" s="54" t="s">
        <v>137</v>
      </c>
      <c r="Q117" s="54" t="s">
        <v>2850</v>
      </c>
      <c r="R117" s="54"/>
      <c r="S117" s="49"/>
    </row>
    <row r="118">
      <c r="A118" s="50" t="s">
        <v>424</v>
      </c>
      <c r="B118" s="51" t="s">
        <v>423</v>
      </c>
      <c r="C118" s="52" t="s">
        <v>2620</v>
      </c>
      <c r="D118" s="41" t="s">
        <v>2833</v>
      </c>
      <c r="E118" s="45" t="s">
        <v>86</v>
      </c>
      <c r="F118" s="41" t="s">
        <v>2578</v>
      </c>
      <c r="G118" s="52">
        <v>15.0</v>
      </c>
      <c r="H118" s="53" t="s">
        <v>426</v>
      </c>
      <c r="I118" s="53" t="s">
        <v>405</v>
      </c>
      <c r="J118" s="45" t="s">
        <v>2569</v>
      </c>
      <c r="K118" s="45" t="s">
        <v>2569</v>
      </c>
      <c r="L118" s="45" t="s">
        <v>2569</v>
      </c>
      <c r="M118" s="45" t="s">
        <v>2569</v>
      </c>
      <c r="N118" s="54" t="s">
        <v>311</v>
      </c>
      <c r="O118" s="54" t="s">
        <v>311</v>
      </c>
      <c r="P118" s="54" t="s">
        <v>311</v>
      </c>
      <c r="Q118" s="54" t="s">
        <v>2851</v>
      </c>
      <c r="R118" s="54"/>
      <c r="S118" s="49"/>
    </row>
    <row r="119">
      <c r="A119" s="50" t="s">
        <v>402</v>
      </c>
      <c r="B119" s="51" t="s">
        <v>401</v>
      </c>
      <c r="C119" s="52" t="s">
        <v>73</v>
      </c>
      <c r="D119" s="41" t="s">
        <v>2833</v>
      </c>
      <c r="E119" s="45" t="s">
        <v>86</v>
      </c>
      <c r="F119" s="41" t="s">
        <v>2578</v>
      </c>
      <c r="G119" s="52">
        <v>35.0</v>
      </c>
      <c r="H119" s="53" t="s">
        <v>406</v>
      </c>
      <c r="I119" s="53" t="s">
        <v>405</v>
      </c>
      <c r="J119" s="45" t="s">
        <v>86</v>
      </c>
      <c r="K119" s="45" t="s">
        <v>86</v>
      </c>
      <c r="L119" s="45" t="s">
        <v>86</v>
      </c>
      <c r="M119" s="45" t="s">
        <v>86</v>
      </c>
      <c r="N119" s="54" t="s">
        <v>137</v>
      </c>
      <c r="O119" s="54" t="s">
        <v>137</v>
      </c>
      <c r="P119" s="54" t="s">
        <v>137</v>
      </c>
      <c r="Q119" s="54" t="s">
        <v>2852</v>
      </c>
      <c r="R119" s="54"/>
      <c r="S119" s="49"/>
    </row>
    <row r="120">
      <c r="A120" s="50" t="s">
        <v>2032</v>
      </c>
      <c r="B120" s="51" t="s">
        <v>2031</v>
      </c>
      <c r="C120" s="52" t="s">
        <v>73</v>
      </c>
      <c r="D120" s="41" t="s">
        <v>2589</v>
      </c>
      <c r="E120" s="45" t="s">
        <v>2569</v>
      </c>
      <c r="F120" s="41" t="s">
        <v>2590</v>
      </c>
      <c r="G120" s="52">
        <v>35.0</v>
      </c>
      <c r="H120" s="53" t="s">
        <v>2035</v>
      </c>
      <c r="I120" s="53" t="s">
        <v>2034</v>
      </c>
      <c r="J120" s="45" t="s">
        <v>2569</v>
      </c>
      <c r="K120" s="45" t="s">
        <v>2569</v>
      </c>
      <c r="L120" s="45" t="s">
        <v>2569</v>
      </c>
      <c r="M120" s="45" t="s">
        <v>2569</v>
      </c>
      <c r="N120" s="54"/>
      <c r="O120" s="54"/>
      <c r="P120" s="54"/>
      <c r="Q120" s="54"/>
      <c r="R120" s="54"/>
      <c r="S120" s="49"/>
    </row>
    <row r="121">
      <c r="A121" s="50" t="s">
        <v>1457</v>
      </c>
      <c r="B121" s="51" t="s">
        <v>1456</v>
      </c>
      <c r="C121" s="52" t="s">
        <v>108</v>
      </c>
      <c r="D121" s="41" t="s">
        <v>2826</v>
      </c>
      <c r="E121" s="45" t="s">
        <v>2569</v>
      </c>
      <c r="F121" s="41" t="s">
        <v>2590</v>
      </c>
      <c r="G121" s="52">
        <v>25.0</v>
      </c>
      <c r="H121" s="53" t="s">
        <v>1416</v>
      </c>
      <c r="I121" s="53" t="s">
        <v>1458</v>
      </c>
      <c r="J121" s="45" t="s">
        <v>2569</v>
      </c>
      <c r="K121" s="45" t="s">
        <v>2569</v>
      </c>
      <c r="L121" s="45" t="s">
        <v>2569</v>
      </c>
      <c r="M121" s="45" t="s">
        <v>2569</v>
      </c>
      <c r="N121" s="54" t="s">
        <v>286</v>
      </c>
      <c r="O121" s="54" t="s">
        <v>286</v>
      </c>
      <c r="P121" s="54" t="s">
        <v>286</v>
      </c>
      <c r="Q121" s="54"/>
      <c r="R121" s="54"/>
      <c r="S121" s="49"/>
    </row>
    <row r="122">
      <c r="A122" s="50" t="s">
        <v>2022</v>
      </c>
      <c r="B122" s="51" t="s">
        <v>2021</v>
      </c>
      <c r="C122" s="52" t="s">
        <v>73</v>
      </c>
      <c r="D122" s="50" t="s">
        <v>73</v>
      </c>
      <c r="E122" s="45" t="s">
        <v>86</v>
      </c>
      <c r="F122" s="41" t="s">
        <v>2574</v>
      </c>
      <c r="G122" s="52">
        <v>24.0</v>
      </c>
      <c r="H122" s="53" t="s">
        <v>2026</v>
      </c>
      <c r="I122" s="53" t="s">
        <v>2025</v>
      </c>
      <c r="J122" s="45" t="s">
        <v>2569</v>
      </c>
      <c r="K122" s="45" t="s">
        <v>2569</v>
      </c>
      <c r="L122" s="45" t="s">
        <v>2569</v>
      </c>
      <c r="M122" s="45" t="s">
        <v>2569</v>
      </c>
      <c r="N122" s="54" t="s">
        <v>137</v>
      </c>
      <c r="O122" s="54" t="s">
        <v>2029</v>
      </c>
      <c r="P122" s="54" t="s">
        <v>2853</v>
      </c>
      <c r="Q122" s="54"/>
      <c r="R122" s="54"/>
      <c r="S122" s="49"/>
    </row>
    <row r="123">
      <c r="A123" s="50" t="s">
        <v>134</v>
      </c>
      <c r="B123" s="51" t="s">
        <v>133</v>
      </c>
      <c r="C123" s="52" t="s">
        <v>73</v>
      </c>
      <c r="D123" s="41" t="s">
        <v>2589</v>
      </c>
      <c r="E123" s="45" t="s">
        <v>86</v>
      </c>
      <c r="F123" s="41" t="s">
        <v>2590</v>
      </c>
      <c r="G123" s="52">
        <v>35.0</v>
      </c>
      <c r="H123" s="53" t="s">
        <v>140</v>
      </c>
      <c r="I123" s="53" t="s">
        <v>139</v>
      </c>
      <c r="J123" s="45" t="s">
        <v>86</v>
      </c>
      <c r="K123" s="45" t="s">
        <v>2569</v>
      </c>
      <c r="L123" s="45" t="s">
        <v>86</v>
      </c>
      <c r="M123" s="45" t="s">
        <v>86</v>
      </c>
      <c r="N123" s="54" t="s">
        <v>137</v>
      </c>
      <c r="O123" s="54" t="s">
        <v>143</v>
      </c>
      <c r="P123" s="54" t="s">
        <v>137</v>
      </c>
      <c r="Q123" s="54" t="s">
        <v>2854</v>
      </c>
      <c r="R123" s="54"/>
      <c r="S123" s="49"/>
    </row>
    <row r="124">
      <c r="A124" s="50" t="s">
        <v>2855</v>
      </c>
      <c r="B124" s="51" t="s">
        <v>2856</v>
      </c>
      <c r="C124" s="52" t="s">
        <v>2667</v>
      </c>
      <c r="D124" s="41" t="s">
        <v>2857</v>
      </c>
      <c r="E124" s="45" t="s">
        <v>2569</v>
      </c>
      <c r="F124" s="41" t="s">
        <v>2608</v>
      </c>
      <c r="G124" s="49"/>
      <c r="H124" s="53" t="s">
        <v>2858</v>
      </c>
      <c r="I124" s="53"/>
      <c r="J124" s="45" t="s">
        <v>2569</v>
      </c>
      <c r="K124" s="45" t="s">
        <v>2569</v>
      </c>
      <c r="L124" s="45" t="s">
        <v>2569</v>
      </c>
      <c r="M124" s="45" t="s">
        <v>2569</v>
      </c>
      <c r="N124" s="54"/>
      <c r="O124" s="54"/>
      <c r="P124" s="54" t="s">
        <v>1799</v>
      </c>
      <c r="Q124" s="54" t="s">
        <v>2859</v>
      </c>
      <c r="R124" s="54"/>
      <c r="S124" s="49"/>
    </row>
    <row r="125">
      <c r="A125" s="50" t="s">
        <v>202</v>
      </c>
      <c r="B125" s="51" t="s">
        <v>201</v>
      </c>
      <c r="C125" s="52" t="s">
        <v>73</v>
      </c>
      <c r="D125" s="41" t="s">
        <v>2747</v>
      </c>
      <c r="E125" s="45" t="s">
        <v>2569</v>
      </c>
      <c r="F125" s="41" t="s">
        <v>2593</v>
      </c>
      <c r="G125" s="52">
        <v>25.0</v>
      </c>
      <c r="H125" s="53" t="s">
        <v>206</v>
      </c>
      <c r="I125" s="53" t="s">
        <v>201</v>
      </c>
      <c r="J125" s="45" t="s">
        <v>86</v>
      </c>
      <c r="K125" s="45" t="s">
        <v>2569</v>
      </c>
      <c r="L125" s="45" t="s">
        <v>2569</v>
      </c>
      <c r="M125" s="45" t="s">
        <v>2569</v>
      </c>
      <c r="N125" s="54" t="s">
        <v>210</v>
      </c>
      <c r="O125" s="54" t="s">
        <v>2727</v>
      </c>
      <c r="P125" s="54" t="s">
        <v>204</v>
      </c>
      <c r="Q125" s="54" t="s">
        <v>2860</v>
      </c>
      <c r="R125" s="54"/>
      <c r="S125" s="49"/>
    </row>
    <row r="126">
      <c r="A126" s="50" t="s">
        <v>2861</v>
      </c>
      <c r="B126" s="51" t="s">
        <v>2862</v>
      </c>
      <c r="C126" s="52" t="s">
        <v>2651</v>
      </c>
      <c r="D126" s="41" t="s">
        <v>2863</v>
      </c>
      <c r="E126" s="45" t="s">
        <v>2569</v>
      </c>
      <c r="F126" s="41" t="s">
        <v>2590</v>
      </c>
      <c r="G126" s="52">
        <v>25.0</v>
      </c>
      <c r="H126" s="46" t="s">
        <v>2864</v>
      </c>
      <c r="I126" s="46" t="s">
        <v>2865</v>
      </c>
      <c r="J126" s="45" t="s">
        <v>2569</v>
      </c>
      <c r="K126" s="45" t="s">
        <v>2569</v>
      </c>
      <c r="L126" s="45" t="s">
        <v>2569</v>
      </c>
      <c r="M126" s="45" t="s">
        <v>2569</v>
      </c>
      <c r="N126" s="54"/>
      <c r="O126" s="54"/>
      <c r="P126" s="54"/>
      <c r="Q126" s="54" t="s">
        <v>2866</v>
      </c>
      <c r="R126" s="54"/>
      <c r="S126" s="49"/>
    </row>
    <row r="127">
      <c r="A127" s="50" t="s">
        <v>2867</v>
      </c>
      <c r="B127" s="51" t="s">
        <v>2868</v>
      </c>
      <c r="C127" s="52" t="s">
        <v>2651</v>
      </c>
      <c r="D127" s="41" t="s">
        <v>2863</v>
      </c>
      <c r="E127" s="45" t="s">
        <v>2569</v>
      </c>
      <c r="F127" s="41" t="s">
        <v>2574</v>
      </c>
      <c r="G127" s="52">
        <v>25.0</v>
      </c>
      <c r="H127" s="46" t="s">
        <v>2869</v>
      </c>
      <c r="I127" s="53"/>
      <c r="J127" s="45" t="s">
        <v>2569</v>
      </c>
      <c r="K127" s="45" t="s">
        <v>2569</v>
      </c>
      <c r="L127" s="45" t="s">
        <v>2569</v>
      </c>
      <c r="M127" s="45" t="s">
        <v>2569</v>
      </c>
      <c r="N127" s="54"/>
      <c r="O127" s="54"/>
      <c r="P127" s="54"/>
      <c r="Q127" s="54" t="s">
        <v>2870</v>
      </c>
      <c r="R127" s="54"/>
      <c r="S127" s="49"/>
    </row>
    <row r="128">
      <c r="A128" s="50" t="s">
        <v>2871</v>
      </c>
      <c r="B128" s="51" t="s">
        <v>2872</v>
      </c>
      <c r="C128" s="52" t="s">
        <v>2651</v>
      </c>
      <c r="D128" s="41" t="s">
        <v>2863</v>
      </c>
      <c r="E128" s="45" t="s">
        <v>2569</v>
      </c>
      <c r="F128" s="41" t="s">
        <v>2574</v>
      </c>
      <c r="G128" s="52">
        <v>25.0</v>
      </c>
      <c r="H128" s="46" t="s">
        <v>2873</v>
      </c>
      <c r="I128" s="53"/>
      <c r="J128" s="45" t="s">
        <v>2569</v>
      </c>
      <c r="K128" s="45" t="s">
        <v>2569</v>
      </c>
      <c r="L128" s="45" t="s">
        <v>2569</v>
      </c>
      <c r="M128" s="45" t="s">
        <v>2569</v>
      </c>
      <c r="N128" s="54"/>
      <c r="O128" s="54"/>
      <c r="P128" s="54"/>
      <c r="Q128" s="54" t="s">
        <v>2874</v>
      </c>
      <c r="R128" s="54"/>
      <c r="S128" s="49"/>
    </row>
    <row r="129">
      <c r="A129" s="50" t="s">
        <v>2875</v>
      </c>
      <c r="B129" s="51" t="s">
        <v>2876</v>
      </c>
      <c r="C129" s="52" t="s">
        <v>2651</v>
      </c>
      <c r="D129" s="41" t="s">
        <v>2863</v>
      </c>
      <c r="E129" s="45" t="s">
        <v>2569</v>
      </c>
      <c r="F129" s="41" t="s">
        <v>2574</v>
      </c>
      <c r="G129" s="52">
        <v>25.0</v>
      </c>
      <c r="H129" s="46" t="s">
        <v>2877</v>
      </c>
      <c r="I129" s="53"/>
      <c r="J129" s="45" t="s">
        <v>2569</v>
      </c>
      <c r="K129" s="45" t="s">
        <v>2569</v>
      </c>
      <c r="L129" s="45" t="s">
        <v>2569</v>
      </c>
      <c r="M129" s="45" t="s">
        <v>2569</v>
      </c>
      <c r="N129" s="54"/>
      <c r="O129" s="54"/>
      <c r="P129" s="54"/>
      <c r="Q129" s="54" t="s">
        <v>2878</v>
      </c>
      <c r="R129" s="54"/>
      <c r="S129" s="49"/>
    </row>
    <row r="130">
      <c r="A130" s="50" t="s">
        <v>2879</v>
      </c>
      <c r="B130" s="51" t="s">
        <v>2880</v>
      </c>
      <c r="C130" s="52" t="s">
        <v>2651</v>
      </c>
      <c r="D130" s="41" t="s">
        <v>2863</v>
      </c>
      <c r="E130" s="45" t="s">
        <v>2569</v>
      </c>
      <c r="F130" s="41" t="s">
        <v>2574</v>
      </c>
      <c r="G130" s="52">
        <v>25.0</v>
      </c>
      <c r="H130" s="46" t="s">
        <v>2881</v>
      </c>
      <c r="I130" s="53"/>
      <c r="J130" s="45" t="s">
        <v>2569</v>
      </c>
      <c r="K130" s="45" t="s">
        <v>2569</v>
      </c>
      <c r="L130" s="45" t="s">
        <v>2569</v>
      </c>
      <c r="M130" s="45" t="s">
        <v>2569</v>
      </c>
      <c r="N130" s="54"/>
      <c r="O130" s="54"/>
      <c r="P130" s="54"/>
      <c r="Q130" s="54"/>
      <c r="R130" s="54"/>
      <c r="S130" s="49"/>
    </row>
    <row r="131">
      <c r="A131" s="50" t="s">
        <v>2007</v>
      </c>
      <c r="B131" s="51" t="s">
        <v>2006</v>
      </c>
      <c r="C131" s="52" t="s">
        <v>108</v>
      </c>
      <c r="D131" s="41" t="s">
        <v>2694</v>
      </c>
      <c r="E131" s="45" t="s">
        <v>2569</v>
      </c>
      <c r="F131" s="41" t="s">
        <v>2590</v>
      </c>
      <c r="G131" s="52">
        <v>25.0</v>
      </c>
      <c r="H131" s="53" t="s">
        <v>2010</v>
      </c>
      <c r="I131" s="53" t="s">
        <v>2009</v>
      </c>
      <c r="J131" s="45" t="s">
        <v>86</v>
      </c>
      <c r="K131" s="45" t="s">
        <v>86</v>
      </c>
      <c r="L131" s="45" t="s">
        <v>86</v>
      </c>
      <c r="M131" s="45" t="s">
        <v>86</v>
      </c>
      <c r="N131" s="54" t="s">
        <v>210</v>
      </c>
      <c r="O131" s="54" t="s">
        <v>2727</v>
      </c>
      <c r="P131" s="54" t="s">
        <v>204</v>
      </c>
      <c r="Q131" s="54" t="s">
        <v>2882</v>
      </c>
      <c r="R131" s="54"/>
      <c r="S131" s="49"/>
    </row>
    <row r="132">
      <c r="A132" s="50" t="s">
        <v>500</v>
      </c>
      <c r="B132" s="51" t="s">
        <v>499</v>
      </c>
      <c r="C132" s="52" t="s">
        <v>73</v>
      </c>
      <c r="D132" s="41" t="s">
        <v>2624</v>
      </c>
      <c r="E132" s="45" t="s">
        <v>2569</v>
      </c>
      <c r="F132" s="41" t="s">
        <v>2578</v>
      </c>
      <c r="G132" s="52">
        <v>32.0</v>
      </c>
      <c r="H132" s="53" t="s">
        <v>503</v>
      </c>
      <c r="I132" s="53" t="s">
        <v>502</v>
      </c>
      <c r="J132" s="45" t="s">
        <v>86</v>
      </c>
      <c r="K132" s="45" t="s">
        <v>2569</v>
      </c>
      <c r="L132" s="45" t="s">
        <v>86</v>
      </c>
      <c r="M132" s="45" t="s">
        <v>86</v>
      </c>
      <c r="N132" s="54" t="s">
        <v>137</v>
      </c>
      <c r="O132" s="54" t="s">
        <v>506</v>
      </c>
      <c r="P132" s="54" t="s">
        <v>137</v>
      </c>
      <c r="Q132" s="54" t="s">
        <v>2883</v>
      </c>
      <c r="R132" s="54"/>
      <c r="S132" s="49"/>
    </row>
    <row r="133">
      <c r="A133" s="50" t="s">
        <v>343</v>
      </c>
      <c r="B133" s="51" t="s">
        <v>342</v>
      </c>
      <c r="C133" s="52" t="s">
        <v>2667</v>
      </c>
      <c r="D133" s="41" t="s">
        <v>2884</v>
      </c>
      <c r="E133" s="45" t="s">
        <v>2569</v>
      </c>
      <c r="F133" s="41" t="s">
        <v>2578</v>
      </c>
      <c r="G133" s="52">
        <v>22.0</v>
      </c>
      <c r="H133" s="53" t="s">
        <v>347</v>
      </c>
      <c r="I133" s="53" t="s">
        <v>346</v>
      </c>
      <c r="J133" s="45" t="s">
        <v>86</v>
      </c>
      <c r="K133" s="45" t="s">
        <v>86</v>
      </c>
      <c r="L133" s="45" t="s">
        <v>86</v>
      </c>
      <c r="M133" s="45" t="s">
        <v>86</v>
      </c>
      <c r="N133" s="54" t="s">
        <v>2885</v>
      </c>
      <c r="O133" s="54" t="s">
        <v>351</v>
      </c>
      <c r="P133" s="54" t="s">
        <v>345</v>
      </c>
      <c r="Q133" s="54" t="s">
        <v>2886</v>
      </c>
      <c r="R133" s="54"/>
      <c r="S133" s="49"/>
    </row>
    <row r="134">
      <c r="A134" s="50" t="s">
        <v>1999</v>
      </c>
      <c r="B134" s="51" t="s">
        <v>1998</v>
      </c>
      <c r="C134" s="52" t="s">
        <v>73</v>
      </c>
      <c r="D134" s="50" t="s">
        <v>73</v>
      </c>
      <c r="E134" s="45" t="s">
        <v>2569</v>
      </c>
      <c r="F134" s="41" t="s">
        <v>2590</v>
      </c>
      <c r="G134" s="52">
        <v>35.0</v>
      </c>
      <c r="H134" s="53" t="s">
        <v>2002</v>
      </c>
      <c r="I134" s="53" t="s">
        <v>2001</v>
      </c>
      <c r="J134" s="45" t="s">
        <v>2569</v>
      </c>
      <c r="K134" s="45" t="s">
        <v>2569</v>
      </c>
      <c r="L134" s="45" t="s">
        <v>2569</v>
      </c>
      <c r="M134" s="45" t="s">
        <v>2569</v>
      </c>
      <c r="N134" s="54" t="s">
        <v>137</v>
      </c>
      <c r="O134" s="54" t="s">
        <v>137</v>
      </c>
      <c r="P134" s="54" t="s">
        <v>137</v>
      </c>
      <c r="Q134" s="54"/>
      <c r="R134" s="54"/>
      <c r="S134" s="49"/>
    </row>
    <row r="135">
      <c r="A135" s="50" t="s">
        <v>2887</v>
      </c>
      <c r="B135" s="51" t="s">
        <v>2888</v>
      </c>
      <c r="C135" s="52" t="s">
        <v>108</v>
      </c>
      <c r="D135" s="41" t="s">
        <v>2694</v>
      </c>
      <c r="E135" s="45" t="s">
        <v>2569</v>
      </c>
      <c r="F135" s="41" t="s">
        <v>2574</v>
      </c>
      <c r="G135" s="52">
        <v>22.0</v>
      </c>
      <c r="H135" s="53" t="s">
        <v>2889</v>
      </c>
      <c r="I135" s="53" t="s">
        <v>2890</v>
      </c>
      <c r="J135" s="45" t="s">
        <v>2569</v>
      </c>
      <c r="K135" s="45" t="s">
        <v>2569</v>
      </c>
      <c r="L135" s="45" t="s">
        <v>2569</v>
      </c>
      <c r="M135" s="45" t="s">
        <v>2569</v>
      </c>
      <c r="N135" s="54"/>
      <c r="O135" s="54"/>
      <c r="P135" s="54"/>
      <c r="Q135" s="54" t="s">
        <v>2891</v>
      </c>
      <c r="R135" s="54"/>
      <c r="S135" s="49"/>
    </row>
    <row r="136">
      <c r="A136" s="50" t="s">
        <v>2892</v>
      </c>
      <c r="B136" s="51" t="s">
        <v>2893</v>
      </c>
      <c r="C136" s="52" t="s">
        <v>2667</v>
      </c>
      <c r="D136" s="41" t="s">
        <v>2808</v>
      </c>
      <c r="E136" s="45" t="s">
        <v>2569</v>
      </c>
      <c r="F136" s="41" t="s">
        <v>2574</v>
      </c>
      <c r="G136" s="49"/>
      <c r="H136" s="53" t="s">
        <v>2894</v>
      </c>
      <c r="I136" s="53"/>
      <c r="J136" s="45" t="s">
        <v>2569</v>
      </c>
      <c r="K136" s="45" t="s">
        <v>2569</v>
      </c>
      <c r="L136" s="45" t="s">
        <v>2569</v>
      </c>
      <c r="M136" s="45" t="s">
        <v>2569</v>
      </c>
      <c r="N136" s="54"/>
      <c r="O136" s="54"/>
      <c r="P136" s="54" t="s">
        <v>1799</v>
      </c>
      <c r="Q136" s="54" t="s">
        <v>2895</v>
      </c>
      <c r="R136" s="54"/>
      <c r="S136" s="49"/>
    </row>
    <row r="137">
      <c r="A137" s="50" t="s">
        <v>2896</v>
      </c>
      <c r="B137" s="51" t="s">
        <v>2897</v>
      </c>
      <c r="C137" s="52" t="s">
        <v>108</v>
      </c>
      <c r="D137" s="41" t="s">
        <v>2630</v>
      </c>
      <c r="E137" s="45" t="s">
        <v>86</v>
      </c>
      <c r="F137" s="41" t="s">
        <v>2574</v>
      </c>
      <c r="G137" s="52">
        <v>15.0</v>
      </c>
      <c r="H137" s="53" t="s">
        <v>2898</v>
      </c>
      <c r="I137" s="53"/>
      <c r="J137" s="45" t="s">
        <v>2569</v>
      </c>
      <c r="K137" s="45" t="s">
        <v>2569</v>
      </c>
      <c r="L137" s="45" t="s">
        <v>2569</v>
      </c>
      <c r="M137" s="45" t="s">
        <v>2569</v>
      </c>
      <c r="N137" s="54"/>
      <c r="O137" s="54"/>
      <c r="P137" s="54"/>
      <c r="Q137" s="54" t="s">
        <v>2899</v>
      </c>
      <c r="R137" s="54" t="s">
        <v>2900</v>
      </c>
      <c r="S137" s="49"/>
    </row>
    <row r="138">
      <c r="A138" s="50" t="s">
        <v>1463</v>
      </c>
      <c r="B138" s="51" t="s">
        <v>1462</v>
      </c>
      <c r="C138" s="52" t="s">
        <v>108</v>
      </c>
      <c r="D138" s="41" t="s">
        <v>2901</v>
      </c>
      <c r="E138" s="45" t="s">
        <v>86</v>
      </c>
      <c r="F138" s="41" t="s">
        <v>2608</v>
      </c>
      <c r="G138" s="52">
        <v>15.0</v>
      </c>
      <c r="H138" s="53" t="s">
        <v>1465</v>
      </c>
      <c r="I138" s="53" t="s">
        <v>1464</v>
      </c>
      <c r="J138" s="45" t="s">
        <v>86</v>
      </c>
      <c r="K138" s="45" t="s">
        <v>2569</v>
      </c>
      <c r="L138" s="45" t="s">
        <v>2569</v>
      </c>
      <c r="M138" s="45" t="s">
        <v>2569</v>
      </c>
      <c r="N138" s="54" t="s">
        <v>2902</v>
      </c>
      <c r="O138" s="54" t="s">
        <v>137</v>
      </c>
      <c r="P138" s="54" t="s">
        <v>137</v>
      </c>
      <c r="Q138" s="54" t="s">
        <v>2903</v>
      </c>
      <c r="R138" s="54"/>
      <c r="S138" s="49"/>
    </row>
    <row r="139">
      <c r="A139" s="50" t="s">
        <v>1471</v>
      </c>
      <c r="B139" s="51" t="s">
        <v>1470</v>
      </c>
      <c r="C139" s="52" t="s">
        <v>108</v>
      </c>
      <c r="D139" s="41" t="s">
        <v>2901</v>
      </c>
      <c r="E139" s="45" t="s">
        <v>86</v>
      </c>
      <c r="F139" s="41" t="s">
        <v>2608</v>
      </c>
      <c r="G139" s="52">
        <v>15.0</v>
      </c>
      <c r="H139" s="53" t="s">
        <v>1473</v>
      </c>
      <c r="I139" s="53" t="s">
        <v>1472</v>
      </c>
      <c r="J139" s="45" t="s">
        <v>2569</v>
      </c>
      <c r="K139" s="45" t="s">
        <v>2569</v>
      </c>
      <c r="L139" s="45" t="s">
        <v>2569</v>
      </c>
      <c r="M139" s="45" t="s">
        <v>2569</v>
      </c>
      <c r="N139" s="54" t="s">
        <v>2902</v>
      </c>
      <c r="O139" s="54" t="s">
        <v>137</v>
      </c>
      <c r="P139" s="54" t="s">
        <v>137</v>
      </c>
      <c r="Q139" s="54"/>
      <c r="R139" s="54"/>
      <c r="S139" s="49"/>
    </row>
    <row r="140">
      <c r="A140" s="50" t="s">
        <v>1987</v>
      </c>
      <c r="B140" s="51" t="s">
        <v>1986</v>
      </c>
      <c r="C140" s="52" t="s">
        <v>108</v>
      </c>
      <c r="D140" s="41" t="s">
        <v>2901</v>
      </c>
      <c r="E140" s="45" t="s">
        <v>86</v>
      </c>
      <c r="F140" s="41" t="s">
        <v>2574</v>
      </c>
      <c r="G140" s="52">
        <v>31.0</v>
      </c>
      <c r="H140" s="53" t="s">
        <v>1992</v>
      </c>
      <c r="I140" s="53" t="s">
        <v>1991</v>
      </c>
      <c r="J140" s="45" t="s">
        <v>86</v>
      </c>
      <c r="K140" s="45" t="s">
        <v>86</v>
      </c>
      <c r="L140" s="45" t="s">
        <v>86</v>
      </c>
      <c r="M140" s="45" t="s">
        <v>86</v>
      </c>
      <c r="N140" s="54" t="s">
        <v>1996</v>
      </c>
      <c r="O140" s="54" t="s">
        <v>2904</v>
      </c>
      <c r="P140" s="54" t="s">
        <v>1990</v>
      </c>
      <c r="Q140" s="54" t="s">
        <v>2905</v>
      </c>
      <c r="R140" s="54"/>
      <c r="S140" s="49"/>
    </row>
    <row r="141">
      <c r="A141" s="50" t="s">
        <v>1979</v>
      </c>
      <c r="B141" s="51" t="s">
        <v>1978</v>
      </c>
      <c r="C141" s="52" t="s">
        <v>73</v>
      </c>
      <c r="D141" s="41" t="s">
        <v>2573</v>
      </c>
      <c r="E141" s="45" t="s">
        <v>2569</v>
      </c>
      <c r="F141" s="41" t="s">
        <v>2574</v>
      </c>
      <c r="G141" s="52">
        <v>47.0</v>
      </c>
      <c r="H141" s="53" t="s">
        <v>1982</v>
      </c>
      <c r="I141" s="53" t="s">
        <v>1981</v>
      </c>
      <c r="J141" s="45" t="s">
        <v>2569</v>
      </c>
      <c r="K141" s="45" t="s">
        <v>2569</v>
      </c>
      <c r="L141" s="45" t="s">
        <v>2569</v>
      </c>
      <c r="M141" s="45" t="s">
        <v>2569</v>
      </c>
      <c r="N141" s="54" t="s">
        <v>137</v>
      </c>
      <c r="O141" s="54" t="s">
        <v>137</v>
      </c>
      <c r="P141" s="54" t="s">
        <v>137</v>
      </c>
      <c r="Q141" s="54"/>
      <c r="R141" s="54"/>
      <c r="S141" s="49"/>
    </row>
    <row r="142">
      <c r="A142" s="50" t="s">
        <v>963</v>
      </c>
      <c r="B142" s="51" t="s">
        <v>962</v>
      </c>
      <c r="C142" s="52" t="s">
        <v>73</v>
      </c>
      <c r="D142" s="41" t="s">
        <v>2906</v>
      </c>
      <c r="E142" s="45" t="s">
        <v>2569</v>
      </c>
      <c r="F142" s="41" t="s">
        <v>2578</v>
      </c>
      <c r="G142" s="52">
        <v>74.0</v>
      </c>
      <c r="H142" s="53" t="s">
        <v>967</v>
      </c>
      <c r="I142" s="53" t="s">
        <v>966</v>
      </c>
      <c r="J142" s="45" t="s">
        <v>86</v>
      </c>
      <c r="K142" s="45" t="s">
        <v>2569</v>
      </c>
      <c r="L142" s="45" t="s">
        <v>86</v>
      </c>
      <c r="M142" s="45" t="s">
        <v>86</v>
      </c>
      <c r="N142" s="54" t="s">
        <v>971</v>
      </c>
      <c r="O142" s="54" t="s">
        <v>970</v>
      </c>
      <c r="P142" s="54" t="s">
        <v>2598</v>
      </c>
      <c r="Q142" s="54" t="s">
        <v>2907</v>
      </c>
      <c r="R142" s="54"/>
      <c r="S142" s="49"/>
    </row>
    <row r="143">
      <c r="A143" s="50" t="s">
        <v>2908</v>
      </c>
      <c r="B143" s="51" t="s">
        <v>2909</v>
      </c>
      <c r="C143" s="49"/>
      <c r="D143" s="41" t="s">
        <v>2589</v>
      </c>
      <c r="E143" s="45" t="s">
        <v>2569</v>
      </c>
      <c r="F143" s="41" t="s">
        <v>2593</v>
      </c>
      <c r="G143" s="52">
        <v>22.0</v>
      </c>
      <c r="H143" s="53" t="s">
        <v>2910</v>
      </c>
      <c r="I143" s="53"/>
      <c r="J143" s="45" t="s">
        <v>2569</v>
      </c>
      <c r="K143" s="45" t="s">
        <v>2569</v>
      </c>
      <c r="L143" s="45" t="s">
        <v>2569</v>
      </c>
      <c r="M143" s="45" t="s">
        <v>2569</v>
      </c>
      <c r="N143" s="54"/>
      <c r="O143" s="54"/>
      <c r="P143" s="54"/>
      <c r="Q143" s="54" t="s">
        <v>2911</v>
      </c>
      <c r="R143" s="54" t="s">
        <v>2912</v>
      </c>
      <c r="S143" s="49"/>
    </row>
    <row r="144">
      <c r="A144" s="50" t="s">
        <v>639</v>
      </c>
      <c r="B144" s="51" t="s">
        <v>638</v>
      </c>
      <c r="C144" s="49"/>
      <c r="D144" s="41" t="s">
        <v>2582</v>
      </c>
      <c r="E144" s="45" t="s">
        <v>86</v>
      </c>
      <c r="F144" s="41" t="s">
        <v>2593</v>
      </c>
      <c r="G144" s="52">
        <v>15.0</v>
      </c>
      <c r="H144" s="53" t="s">
        <v>641</v>
      </c>
      <c r="I144" s="53" t="s">
        <v>640</v>
      </c>
      <c r="J144" s="45" t="s">
        <v>86</v>
      </c>
      <c r="K144" s="45" t="s">
        <v>86</v>
      </c>
      <c r="L144" s="45" t="s">
        <v>86</v>
      </c>
      <c r="M144" s="45" t="s">
        <v>86</v>
      </c>
      <c r="N144" s="54" t="s">
        <v>286</v>
      </c>
      <c r="O144" s="54" t="s">
        <v>286</v>
      </c>
      <c r="P144" s="54" t="s">
        <v>286</v>
      </c>
      <c r="Q144" s="54" t="s">
        <v>2913</v>
      </c>
      <c r="R144" s="54"/>
      <c r="S144" s="49"/>
    </row>
    <row r="145">
      <c r="A145" s="50" t="s">
        <v>1972</v>
      </c>
      <c r="B145" s="51" t="s">
        <v>1971</v>
      </c>
      <c r="C145" s="52" t="s">
        <v>73</v>
      </c>
      <c r="D145" s="41" t="s">
        <v>2589</v>
      </c>
      <c r="E145" s="45" t="s">
        <v>86</v>
      </c>
      <c r="F145" s="41" t="s">
        <v>2578</v>
      </c>
      <c r="G145" s="52">
        <v>55.0</v>
      </c>
      <c r="H145" s="53" t="s">
        <v>808</v>
      </c>
      <c r="I145" s="53" t="s">
        <v>1974</v>
      </c>
      <c r="J145" s="45" t="s">
        <v>86</v>
      </c>
      <c r="K145" s="45" t="s">
        <v>86</v>
      </c>
      <c r="L145" s="45" t="s">
        <v>86</v>
      </c>
      <c r="M145" s="45" t="s">
        <v>86</v>
      </c>
      <c r="N145" s="54" t="s">
        <v>137</v>
      </c>
      <c r="O145" s="54" t="s">
        <v>143</v>
      </c>
      <c r="P145" s="54" t="s">
        <v>137</v>
      </c>
      <c r="Q145" s="54" t="s">
        <v>2914</v>
      </c>
      <c r="R145" s="54"/>
      <c r="S145" s="49"/>
    </row>
    <row r="146">
      <c r="A146" s="50" t="s">
        <v>785</v>
      </c>
      <c r="B146" s="51" t="s">
        <v>784</v>
      </c>
      <c r="C146" s="52" t="s">
        <v>73</v>
      </c>
      <c r="D146" s="41" t="s">
        <v>2589</v>
      </c>
      <c r="E146" s="45" t="s">
        <v>86</v>
      </c>
      <c r="F146" s="41" t="s">
        <v>2593</v>
      </c>
      <c r="G146" s="52">
        <v>54.0</v>
      </c>
      <c r="H146" s="53" t="s">
        <v>789</v>
      </c>
      <c r="I146" s="53" t="s">
        <v>788</v>
      </c>
      <c r="J146" s="45" t="s">
        <v>86</v>
      </c>
      <c r="K146" s="45" t="s">
        <v>86</v>
      </c>
      <c r="L146" s="45" t="s">
        <v>86</v>
      </c>
      <c r="M146" s="45" t="s">
        <v>86</v>
      </c>
      <c r="N146" s="54" t="s">
        <v>137</v>
      </c>
      <c r="O146" s="54" t="s">
        <v>143</v>
      </c>
      <c r="P146" s="54" t="s">
        <v>137</v>
      </c>
      <c r="Q146" s="54" t="s">
        <v>2915</v>
      </c>
      <c r="R146" s="54"/>
      <c r="S146" s="49"/>
    </row>
    <row r="147">
      <c r="A147" s="50" t="s">
        <v>1964</v>
      </c>
      <c r="B147" s="51" t="s">
        <v>1963</v>
      </c>
      <c r="C147" s="52" t="s">
        <v>73</v>
      </c>
      <c r="D147" s="41" t="s">
        <v>2906</v>
      </c>
      <c r="E147" s="45" t="s">
        <v>86</v>
      </c>
      <c r="F147" s="41" t="s">
        <v>2578</v>
      </c>
      <c r="G147" s="52">
        <v>43.0</v>
      </c>
      <c r="H147" s="53" t="s">
        <v>1967</v>
      </c>
      <c r="I147" s="53" t="s">
        <v>2916</v>
      </c>
      <c r="J147" s="45" t="s">
        <v>86</v>
      </c>
      <c r="K147" s="45" t="s">
        <v>86</v>
      </c>
      <c r="L147" s="45" t="s">
        <v>86</v>
      </c>
      <c r="M147" s="45" t="s">
        <v>86</v>
      </c>
      <c r="N147" s="54" t="s">
        <v>137</v>
      </c>
      <c r="O147" s="54" t="s">
        <v>137</v>
      </c>
      <c r="P147" s="54" t="s">
        <v>137</v>
      </c>
      <c r="Q147" s="54" t="s">
        <v>2917</v>
      </c>
      <c r="R147" s="54"/>
      <c r="S147" s="49"/>
    </row>
    <row r="148">
      <c r="A148" s="50" t="s">
        <v>1106</v>
      </c>
      <c r="B148" s="51" t="s">
        <v>1105</v>
      </c>
      <c r="C148" s="52" t="s">
        <v>73</v>
      </c>
      <c r="D148" s="41" t="s">
        <v>2624</v>
      </c>
      <c r="E148" s="45" t="s">
        <v>86</v>
      </c>
      <c r="F148" s="41" t="s">
        <v>2608</v>
      </c>
      <c r="G148" s="52">
        <v>15.0</v>
      </c>
      <c r="H148" s="53" t="s">
        <v>1111</v>
      </c>
      <c r="I148" s="53" t="s">
        <v>1110</v>
      </c>
      <c r="J148" s="45" t="s">
        <v>86</v>
      </c>
      <c r="K148" s="45" t="s">
        <v>86</v>
      </c>
      <c r="L148" s="45" t="s">
        <v>86</v>
      </c>
      <c r="M148" s="45" t="s">
        <v>86</v>
      </c>
      <c r="N148" s="54" t="s">
        <v>517</v>
      </c>
      <c r="O148" s="54" t="s">
        <v>2918</v>
      </c>
      <c r="P148" s="54" t="s">
        <v>2919</v>
      </c>
      <c r="Q148" s="54" t="s">
        <v>2920</v>
      </c>
      <c r="R148" s="54" t="s">
        <v>2921</v>
      </c>
      <c r="S148" s="49"/>
    </row>
    <row r="149">
      <c r="A149" s="50" t="s">
        <v>953</v>
      </c>
      <c r="B149" s="51" t="s">
        <v>952</v>
      </c>
      <c r="C149" s="52" t="s">
        <v>73</v>
      </c>
      <c r="D149" s="41" t="s">
        <v>2624</v>
      </c>
      <c r="E149" s="45" t="s">
        <v>86</v>
      </c>
      <c r="F149" s="41" t="s">
        <v>2608</v>
      </c>
      <c r="G149" s="52">
        <v>10.0</v>
      </c>
      <c r="H149" s="53" t="s">
        <v>2922</v>
      </c>
      <c r="I149" s="53" t="s">
        <v>957</v>
      </c>
      <c r="J149" s="45" t="s">
        <v>86</v>
      </c>
      <c r="K149" s="45" t="s">
        <v>86</v>
      </c>
      <c r="L149" s="45" t="s">
        <v>86</v>
      </c>
      <c r="M149" s="45" t="s">
        <v>86</v>
      </c>
      <c r="N149" s="54" t="s">
        <v>517</v>
      </c>
      <c r="O149" s="54" t="s">
        <v>2918</v>
      </c>
      <c r="P149" s="54" t="s">
        <v>2919</v>
      </c>
      <c r="Q149" s="54" t="s">
        <v>2920</v>
      </c>
      <c r="R149" s="54" t="s">
        <v>2921</v>
      </c>
      <c r="S149" s="49"/>
    </row>
    <row r="150">
      <c r="A150" s="50" t="s">
        <v>1156</v>
      </c>
      <c r="B150" s="51" t="s">
        <v>1155</v>
      </c>
      <c r="C150" s="52" t="s">
        <v>73</v>
      </c>
      <c r="D150" s="41" t="s">
        <v>2624</v>
      </c>
      <c r="E150" s="45" t="s">
        <v>86</v>
      </c>
      <c r="F150" s="41" t="s">
        <v>2608</v>
      </c>
      <c r="G150" s="52">
        <v>13.0</v>
      </c>
      <c r="H150" s="53" t="s">
        <v>1160</v>
      </c>
      <c r="I150" s="53" t="s">
        <v>1159</v>
      </c>
      <c r="J150" s="45" t="s">
        <v>86</v>
      </c>
      <c r="K150" s="45" t="s">
        <v>86</v>
      </c>
      <c r="L150" s="45" t="s">
        <v>86</v>
      </c>
      <c r="M150" s="45" t="s">
        <v>86</v>
      </c>
      <c r="N150" s="54" t="s">
        <v>517</v>
      </c>
      <c r="O150" s="54" t="s">
        <v>2918</v>
      </c>
      <c r="P150" s="54" t="s">
        <v>806</v>
      </c>
      <c r="Q150" s="54" t="s">
        <v>2920</v>
      </c>
      <c r="R150" s="54" t="s">
        <v>2923</v>
      </c>
      <c r="S150" s="49"/>
    </row>
    <row r="151">
      <c r="A151" s="50" t="s">
        <v>805</v>
      </c>
      <c r="B151" s="51" t="s">
        <v>804</v>
      </c>
      <c r="C151" s="52" t="s">
        <v>73</v>
      </c>
      <c r="D151" s="54"/>
      <c r="E151" s="45" t="s">
        <v>86</v>
      </c>
      <c r="F151" s="54"/>
      <c r="G151" s="52">
        <v>29.0</v>
      </c>
      <c r="H151" s="53" t="s">
        <v>808</v>
      </c>
      <c r="I151" s="53" t="s">
        <v>807</v>
      </c>
      <c r="J151" s="45" t="s">
        <v>86</v>
      </c>
      <c r="K151" s="45" t="s">
        <v>86</v>
      </c>
      <c r="L151" s="45" t="s">
        <v>86</v>
      </c>
      <c r="M151" s="45" t="s">
        <v>86</v>
      </c>
      <c r="N151" s="54" t="s">
        <v>517</v>
      </c>
      <c r="O151" s="54" t="s">
        <v>2918</v>
      </c>
      <c r="P151" s="54" t="s">
        <v>806</v>
      </c>
      <c r="Q151" s="54" t="s">
        <v>2924</v>
      </c>
      <c r="R151" s="54" t="s">
        <v>2923</v>
      </c>
      <c r="S151" s="49"/>
    </row>
    <row r="152">
      <c r="A152" s="50" t="s">
        <v>1955</v>
      </c>
      <c r="B152" s="51" t="s">
        <v>1954</v>
      </c>
      <c r="C152" s="52" t="s">
        <v>73</v>
      </c>
      <c r="D152" s="41" t="s">
        <v>2589</v>
      </c>
      <c r="E152" s="45" t="s">
        <v>86</v>
      </c>
      <c r="F152" s="41" t="s">
        <v>2593</v>
      </c>
      <c r="G152" s="52">
        <v>34.0</v>
      </c>
      <c r="H152" s="53" t="s">
        <v>1958</v>
      </c>
      <c r="I152" s="53" t="s">
        <v>1957</v>
      </c>
      <c r="J152" s="45" t="s">
        <v>86</v>
      </c>
      <c r="K152" s="45" t="s">
        <v>86</v>
      </c>
      <c r="L152" s="45" t="s">
        <v>86</v>
      </c>
      <c r="M152" s="45" t="s">
        <v>86</v>
      </c>
      <c r="N152" s="54" t="s">
        <v>137</v>
      </c>
      <c r="O152" s="54" t="s">
        <v>1961</v>
      </c>
      <c r="P152" s="54" t="s">
        <v>137</v>
      </c>
      <c r="Q152" s="54" t="s">
        <v>2925</v>
      </c>
      <c r="R152" s="54"/>
      <c r="S152" s="49"/>
    </row>
    <row r="153">
      <c r="A153" s="50" t="s">
        <v>856</v>
      </c>
      <c r="B153" s="51" t="s">
        <v>855</v>
      </c>
      <c r="C153" s="52" t="s">
        <v>73</v>
      </c>
      <c r="D153" s="41" t="s">
        <v>2573</v>
      </c>
      <c r="E153" s="45" t="s">
        <v>2569</v>
      </c>
      <c r="F153" s="41" t="s">
        <v>2590</v>
      </c>
      <c r="G153" s="52">
        <v>37.0</v>
      </c>
      <c r="H153" s="53" t="s">
        <v>860</v>
      </c>
      <c r="I153" s="53" t="s">
        <v>859</v>
      </c>
      <c r="J153" s="45" t="s">
        <v>2569</v>
      </c>
      <c r="K153" s="45" t="s">
        <v>2569</v>
      </c>
      <c r="L153" s="45" t="s">
        <v>2569</v>
      </c>
      <c r="M153" s="45" t="s">
        <v>2569</v>
      </c>
      <c r="N153" s="54" t="s">
        <v>137</v>
      </c>
      <c r="O153" s="54" t="s">
        <v>863</v>
      </c>
      <c r="P153" s="54" t="s">
        <v>137</v>
      </c>
      <c r="Q153" s="54" t="s">
        <v>2926</v>
      </c>
      <c r="R153" s="54"/>
      <c r="S153" s="49"/>
    </row>
    <row r="154">
      <c r="A154" s="50" t="s">
        <v>2927</v>
      </c>
      <c r="B154" s="51" t="s">
        <v>2928</v>
      </c>
      <c r="C154" s="52" t="s">
        <v>2667</v>
      </c>
      <c r="D154" s="50" t="s">
        <v>2667</v>
      </c>
      <c r="E154" s="45" t="s">
        <v>2569</v>
      </c>
      <c r="F154" s="41" t="s">
        <v>2608</v>
      </c>
      <c r="G154" s="52">
        <v>17.0</v>
      </c>
      <c r="H154" s="53" t="s">
        <v>2929</v>
      </c>
      <c r="I154" s="53" t="s">
        <v>2930</v>
      </c>
      <c r="J154" s="45" t="s">
        <v>2569</v>
      </c>
      <c r="K154" s="45" t="s">
        <v>2569</v>
      </c>
      <c r="L154" s="45" t="s">
        <v>2569</v>
      </c>
      <c r="M154" s="45" t="s">
        <v>2569</v>
      </c>
      <c r="N154" s="54"/>
      <c r="O154" s="54"/>
      <c r="P154" s="54" t="s">
        <v>2931</v>
      </c>
      <c r="Q154" s="54" t="s">
        <v>2932</v>
      </c>
      <c r="R154" s="54"/>
      <c r="S154" s="49"/>
    </row>
    <row r="155">
      <c r="A155" s="50" t="s">
        <v>2933</v>
      </c>
      <c r="B155" s="51" t="s">
        <v>2934</v>
      </c>
      <c r="C155" s="52" t="s">
        <v>2667</v>
      </c>
      <c r="D155" s="41" t="s">
        <v>2731</v>
      </c>
      <c r="E155" s="45" t="s">
        <v>2569</v>
      </c>
      <c r="F155" s="41" t="s">
        <v>2608</v>
      </c>
      <c r="G155" s="52">
        <v>22.0</v>
      </c>
      <c r="H155" s="53" t="s">
        <v>2935</v>
      </c>
      <c r="I155" s="53" t="s">
        <v>2936</v>
      </c>
      <c r="J155" s="45" t="s">
        <v>2569</v>
      </c>
      <c r="K155" s="45" t="s">
        <v>2569</v>
      </c>
      <c r="L155" s="45" t="s">
        <v>2569</v>
      </c>
      <c r="M155" s="45" t="s">
        <v>2569</v>
      </c>
      <c r="N155" s="54"/>
      <c r="O155" s="54"/>
      <c r="P155" s="54" t="s">
        <v>2937</v>
      </c>
      <c r="Q155" s="54" t="s">
        <v>2938</v>
      </c>
      <c r="R155" s="54"/>
      <c r="S155" s="49"/>
    </row>
    <row r="156">
      <c r="A156" s="50" t="s">
        <v>363</v>
      </c>
      <c r="B156" s="51" t="s">
        <v>362</v>
      </c>
      <c r="C156" s="52" t="s">
        <v>73</v>
      </c>
      <c r="D156" s="41" t="s">
        <v>2833</v>
      </c>
      <c r="E156" s="45" t="s">
        <v>86</v>
      </c>
      <c r="F156" s="41" t="s">
        <v>2608</v>
      </c>
      <c r="G156" s="52">
        <v>15.0</v>
      </c>
      <c r="H156" s="53" t="s">
        <v>367</v>
      </c>
      <c r="I156" s="53" t="s">
        <v>113</v>
      </c>
      <c r="J156" s="45" t="s">
        <v>2569</v>
      </c>
      <c r="K156" s="45" t="s">
        <v>2569</v>
      </c>
      <c r="L156" s="45" t="s">
        <v>2569</v>
      </c>
      <c r="M156" s="45" t="s">
        <v>2569</v>
      </c>
      <c r="N156" s="54" t="s">
        <v>371</v>
      </c>
      <c r="O156" s="54" t="s">
        <v>370</v>
      </c>
      <c r="P156" s="54" t="s">
        <v>366</v>
      </c>
      <c r="Q156" s="54" t="s">
        <v>2939</v>
      </c>
      <c r="R156" s="54"/>
      <c r="S156" s="49"/>
    </row>
    <row r="157">
      <c r="A157" s="50" t="s">
        <v>1946</v>
      </c>
      <c r="B157" s="51" t="s">
        <v>1945</v>
      </c>
      <c r="C157" s="52" t="s">
        <v>2693</v>
      </c>
      <c r="D157" s="41" t="s">
        <v>2589</v>
      </c>
      <c r="E157" s="45" t="s">
        <v>2569</v>
      </c>
      <c r="F157" s="41" t="s">
        <v>2593</v>
      </c>
      <c r="G157" s="52">
        <v>40.0</v>
      </c>
      <c r="H157" s="53" t="s">
        <v>1949</v>
      </c>
      <c r="I157" s="53" t="s">
        <v>1948</v>
      </c>
      <c r="J157" s="45" t="s">
        <v>86</v>
      </c>
      <c r="K157" s="45" t="s">
        <v>86</v>
      </c>
      <c r="L157" s="45" t="s">
        <v>86</v>
      </c>
      <c r="M157" s="45" t="s">
        <v>86</v>
      </c>
      <c r="N157" s="54" t="s">
        <v>137</v>
      </c>
      <c r="O157" s="54" t="s">
        <v>1952</v>
      </c>
      <c r="P157" s="54" t="s">
        <v>137</v>
      </c>
      <c r="Q157" s="54" t="s">
        <v>2940</v>
      </c>
      <c r="R157" s="54"/>
      <c r="S157" s="49"/>
    </row>
    <row r="158">
      <c r="A158" s="50" t="s">
        <v>2382</v>
      </c>
      <c r="B158" s="51" t="s">
        <v>2381</v>
      </c>
      <c r="C158" s="52" t="s">
        <v>2667</v>
      </c>
      <c r="D158" s="50" t="s">
        <v>2667</v>
      </c>
      <c r="E158" s="45" t="s">
        <v>2569</v>
      </c>
      <c r="F158" s="41" t="s">
        <v>110</v>
      </c>
      <c r="G158" s="52">
        <v>15.0</v>
      </c>
      <c r="H158" s="53" t="s">
        <v>2386</v>
      </c>
      <c r="I158" s="53" t="s">
        <v>2385</v>
      </c>
      <c r="J158" s="45" t="s">
        <v>2569</v>
      </c>
      <c r="K158" s="45" t="s">
        <v>2569</v>
      </c>
      <c r="L158" s="45" t="s">
        <v>2569</v>
      </c>
      <c r="M158" s="45" t="s">
        <v>2569</v>
      </c>
      <c r="N158" s="54" t="s">
        <v>2941</v>
      </c>
      <c r="O158" s="54"/>
      <c r="P158" s="54" t="s">
        <v>2942</v>
      </c>
      <c r="Q158" s="54" t="s">
        <v>2943</v>
      </c>
      <c r="R158" s="54"/>
      <c r="S158" s="49"/>
    </row>
    <row r="159">
      <c r="A159" s="50" t="s">
        <v>1940</v>
      </c>
      <c r="B159" s="51" t="s">
        <v>1939</v>
      </c>
      <c r="C159" s="52" t="s">
        <v>108</v>
      </c>
      <c r="D159" s="41" t="s">
        <v>2694</v>
      </c>
      <c r="E159" s="45" t="s">
        <v>2569</v>
      </c>
      <c r="F159" s="41" t="s">
        <v>2590</v>
      </c>
      <c r="G159" s="52">
        <v>25.0</v>
      </c>
      <c r="H159" s="53" t="s">
        <v>1941</v>
      </c>
      <c r="I159" s="53" t="s">
        <v>1905</v>
      </c>
      <c r="J159" s="45" t="s">
        <v>86</v>
      </c>
      <c r="K159" s="45" t="s">
        <v>86</v>
      </c>
      <c r="L159" s="45" t="s">
        <v>86</v>
      </c>
      <c r="M159" s="45" t="s">
        <v>86</v>
      </c>
      <c r="N159" s="54" t="s">
        <v>210</v>
      </c>
      <c r="O159" s="54" t="s">
        <v>2727</v>
      </c>
      <c r="P159" s="54" t="s">
        <v>1429</v>
      </c>
      <c r="Q159" s="54" t="s">
        <v>2944</v>
      </c>
      <c r="R159" s="54"/>
      <c r="S159" s="49"/>
    </row>
    <row r="160">
      <c r="A160" s="50" t="s">
        <v>257</v>
      </c>
      <c r="B160" s="51" t="s">
        <v>256</v>
      </c>
      <c r="C160" s="52" t="s">
        <v>73</v>
      </c>
      <c r="D160" s="41" t="s">
        <v>2694</v>
      </c>
      <c r="E160" s="45" t="s">
        <v>2569</v>
      </c>
      <c r="F160" s="41" t="s">
        <v>2590</v>
      </c>
      <c r="G160" s="52">
        <v>26.0</v>
      </c>
      <c r="H160" s="53" t="s">
        <v>263</v>
      </c>
      <c r="I160" s="53" t="s">
        <v>262</v>
      </c>
      <c r="J160" s="45" t="s">
        <v>2569</v>
      </c>
      <c r="K160" s="45" t="s">
        <v>2569</v>
      </c>
      <c r="L160" s="45" t="s">
        <v>2569</v>
      </c>
      <c r="M160" s="45" t="s">
        <v>2569</v>
      </c>
      <c r="N160" s="54" t="s">
        <v>137</v>
      </c>
      <c r="O160" s="54" t="s">
        <v>266</v>
      </c>
      <c r="P160" s="54" t="s">
        <v>137</v>
      </c>
      <c r="Q160" s="54" t="s">
        <v>2945</v>
      </c>
      <c r="R160" s="54"/>
      <c r="S160" s="49"/>
    </row>
    <row r="161">
      <c r="A161" s="50" t="s">
        <v>1931</v>
      </c>
      <c r="B161" s="51" t="s">
        <v>1930</v>
      </c>
      <c r="C161" s="52" t="s">
        <v>73</v>
      </c>
      <c r="D161" s="50" t="s">
        <v>73</v>
      </c>
      <c r="E161" s="45" t="s">
        <v>2569</v>
      </c>
      <c r="F161" s="41" t="s">
        <v>2593</v>
      </c>
      <c r="G161" s="52">
        <v>38.0</v>
      </c>
      <c r="H161" s="53" t="s">
        <v>1934</v>
      </c>
      <c r="I161" s="53" t="s">
        <v>1933</v>
      </c>
      <c r="J161" s="45" t="s">
        <v>2569</v>
      </c>
      <c r="K161" s="45" t="s">
        <v>2569</v>
      </c>
      <c r="L161" s="45" t="s">
        <v>2569</v>
      </c>
      <c r="M161" s="45" t="s">
        <v>2569</v>
      </c>
      <c r="N161" s="54" t="s">
        <v>137</v>
      </c>
      <c r="O161" s="54" t="s">
        <v>1937</v>
      </c>
      <c r="P161" s="54" t="s">
        <v>137</v>
      </c>
      <c r="Q161" s="54" t="s">
        <v>2946</v>
      </c>
      <c r="R161" s="54"/>
      <c r="S161" s="49"/>
    </row>
    <row r="162">
      <c r="A162" s="50" t="s">
        <v>1923</v>
      </c>
      <c r="B162" s="51" t="s">
        <v>1922</v>
      </c>
      <c r="C162" s="52" t="s">
        <v>108</v>
      </c>
      <c r="D162" s="41" t="s">
        <v>2577</v>
      </c>
      <c r="E162" s="45" t="s">
        <v>2569</v>
      </c>
      <c r="F162" s="41" t="s">
        <v>2578</v>
      </c>
      <c r="G162" s="52">
        <v>52.0</v>
      </c>
      <c r="H162" s="53" t="s">
        <v>1925</v>
      </c>
      <c r="I162" s="53" t="s">
        <v>1922</v>
      </c>
      <c r="J162" s="45" t="s">
        <v>2569</v>
      </c>
      <c r="K162" s="45" t="s">
        <v>2569</v>
      </c>
      <c r="L162" s="45" t="s">
        <v>2569</v>
      </c>
      <c r="M162" s="45" t="s">
        <v>2569</v>
      </c>
      <c r="N162" s="54" t="s">
        <v>770</v>
      </c>
      <c r="O162" s="54" t="s">
        <v>1928</v>
      </c>
      <c r="P162" s="54" t="s">
        <v>765</v>
      </c>
      <c r="Q162" s="54" t="s">
        <v>2947</v>
      </c>
      <c r="R162" s="54"/>
      <c r="S162" s="49"/>
    </row>
    <row r="163">
      <c r="A163" s="50" t="s">
        <v>431</v>
      </c>
      <c r="B163" s="51" t="s">
        <v>430</v>
      </c>
      <c r="C163" s="52" t="s">
        <v>73</v>
      </c>
      <c r="D163" s="41" t="s">
        <v>2624</v>
      </c>
      <c r="E163" s="45" t="s">
        <v>86</v>
      </c>
      <c r="F163" s="41" t="s">
        <v>2593</v>
      </c>
      <c r="G163" s="52">
        <v>35.0</v>
      </c>
      <c r="H163" s="53" t="s">
        <v>435</v>
      </c>
      <c r="I163" s="53" t="s">
        <v>434</v>
      </c>
      <c r="J163" s="45" t="s">
        <v>86</v>
      </c>
      <c r="K163" s="45" t="s">
        <v>86</v>
      </c>
      <c r="L163" s="45" t="s">
        <v>86</v>
      </c>
      <c r="M163" s="45" t="s">
        <v>86</v>
      </c>
      <c r="N163" s="54" t="s">
        <v>286</v>
      </c>
      <c r="O163" s="54" t="s">
        <v>286</v>
      </c>
      <c r="P163" s="54" t="s">
        <v>433</v>
      </c>
      <c r="Q163" s="54" t="s">
        <v>2948</v>
      </c>
      <c r="R163" s="54"/>
      <c r="S163" s="49"/>
    </row>
    <row r="164">
      <c r="A164" s="50" t="s">
        <v>1911</v>
      </c>
      <c r="B164" s="51" t="s">
        <v>1910</v>
      </c>
      <c r="C164" s="52" t="s">
        <v>108</v>
      </c>
      <c r="D164" s="41" t="s">
        <v>2795</v>
      </c>
      <c r="E164" s="45" t="s">
        <v>86</v>
      </c>
      <c r="F164" s="41" t="s">
        <v>2570</v>
      </c>
      <c r="G164" s="52">
        <v>39.0</v>
      </c>
      <c r="H164" s="53" t="s">
        <v>1916</v>
      </c>
      <c r="I164" s="53" t="s">
        <v>1915</v>
      </c>
      <c r="J164" s="45" t="s">
        <v>86</v>
      </c>
      <c r="K164" s="45" t="s">
        <v>86</v>
      </c>
      <c r="L164" s="45" t="s">
        <v>86</v>
      </c>
      <c r="M164" s="45" t="s">
        <v>86</v>
      </c>
      <c r="N164" s="54" t="s">
        <v>2949</v>
      </c>
      <c r="O164" s="54" t="s">
        <v>2950</v>
      </c>
      <c r="P164" s="54" t="s">
        <v>2951</v>
      </c>
      <c r="Q164" s="54" t="s">
        <v>2952</v>
      </c>
      <c r="R164" s="54"/>
      <c r="S164" s="49"/>
    </row>
    <row r="165">
      <c r="A165" s="50" t="s">
        <v>1903</v>
      </c>
      <c r="B165" s="51" t="s">
        <v>1902</v>
      </c>
      <c r="C165" s="52" t="s">
        <v>73</v>
      </c>
      <c r="D165" s="41" t="s">
        <v>2589</v>
      </c>
      <c r="E165" s="45" t="s">
        <v>86</v>
      </c>
      <c r="F165" s="41" t="s">
        <v>2593</v>
      </c>
      <c r="G165" s="52">
        <v>40.0</v>
      </c>
      <c r="H165" s="53" t="s">
        <v>1906</v>
      </c>
      <c r="I165" s="53" t="s">
        <v>1905</v>
      </c>
      <c r="J165" s="45" t="s">
        <v>86</v>
      </c>
      <c r="K165" s="45" t="s">
        <v>86</v>
      </c>
      <c r="L165" s="45" t="s">
        <v>86</v>
      </c>
      <c r="M165" s="45" t="s">
        <v>86</v>
      </c>
      <c r="N165" s="54" t="s">
        <v>137</v>
      </c>
      <c r="O165" s="54" t="s">
        <v>137</v>
      </c>
      <c r="P165" s="54" t="s">
        <v>137</v>
      </c>
      <c r="Q165" s="54" t="s">
        <v>2953</v>
      </c>
      <c r="R165" s="54"/>
      <c r="S165" s="49"/>
    </row>
    <row r="166">
      <c r="A166" s="50" t="s">
        <v>2954</v>
      </c>
      <c r="B166" s="51" t="s">
        <v>2955</v>
      </c>
      <c r="C166" s="52" t="s">
        <v>2620</v>
      </c>
      <c r="D166" s="41" t="s">
        <v>2956</v>
      </c>
      <c r="E166" s="45" t="s">
        <v>86</v>
      </c>
      <c r="F166" s="41" t="s">
        <v>2574</v>
      </c>
      <c r="G166" s="52">
        <v>12.0</v>
      </c>
      <c r="H166" s="53" t="s">
        <v>2957</v>
      </c>
      <c r="I166" s="53" t="s">
        <v>2958</v>
      </c>
      <c r="J166" s="45" t="s">
        <v>2569</v>
      </c>
      <c r="K166" s="45" t="s">
        <v>2569</v>
      </c>
      <c r="L166" s="45" t="s">
        <v>2569</v>
      </c>
      <c r="M166" s="45" t="s">
        <v>2569</v>
      </c>
      <c r="N166" s="54"/>
      <c r="O166" s="54"/>
      <c r="P166" s="54" t="s">
        <v>2959</v>
      </c>
      <c r="Q166" s="54" t="s">
        <v>2960</v>
      </c>
      <c r="R166" s="54"/>
      <c r="S166" s="49"/>
    </row>
    <row r="167">
      <c r="A167" s="50" t="s">
        <v>295</v>
      </c>
      <c r="B167" s="51" t="s">
        <v>294</v>
      </c>
      <c r="C167" s="52" t="s">
        <v>73</v>
      </c>
      <c r="D167" s="41" t="s">
        <v>2573</v>
      </c>
      <c r="E167" s="45" t="s">
        <v>86</v>
      </c>
      <c r="F167" s="41" t="s">
        <v>2574</v>
      </c>
      <c r="G167" s="52">
        <v>15.0</v>
      </c>
      <c r="H167" s="53" t="s">
        <v>297</v>
      </c>
      <c r="I167" s="53" t="s">
        <v>2961</v>
      </c>
      <c r="J167" s="45" t="s">
        <v>86</v>
      </c>
      <c r="K167" s="45" t="s">
        <v>2569</v>
      </c>
      <c r="L167" s="45" t="s">
        <v>86</v>
      </c>
      <c r="M167" s="45" t="s">
        <v>86</v>
      </c>
      <c r="N167" s="54" t="s">
        <v>2962</v>
      </c>
      <c r="O167" s="54" t="s">
        <v>2963</v>
      </c>
      <c r="P167" s="54" t="s">
        <v>137</v>
      </c>
      <c r="Q167" s="54" t="s">
        <v>2964</v>
      </c>
      <c r="R167" s="54"/>
      <c r="S167" s="49"/>
    </row>
    <row r="168">
      <c r="A168" s="50" t="s">
        <v>335</v>
      </c>
      <c r="B168" s="51" t="s">
        <v>334</v>
      </c>
      <c r="C168" s="52" t="s">
        <v>73</v>
      </c>
      <c r="D168" s="41" t="s">
        <v>2577</v>
      </c>
      <c r="E168" s="45" t="s">
        <v>86</v>
      </c>
      <c r="F168" s="41" t="s">
        <v>2574</v>
      </c>
      <c r="G168" s="52">
        <v>15.0</v>
      </c>
      <c r="H168" s="53" t="s">
        <v>338</v>
      </c>
      <c r="I168" s="53" t="s">
        <v>337</v>
      </c>
      <c r="J168" s="45" t="s">
        <v>86</v>
      </c>
      <c r="K168" s="45" t="s">
        <v>2569</v>
      </c>
      <c r="L168" s="45" t="s">
        <v>86</v>
      </c>
      <c r="M168" s="45" t="s">
        <v>86</v>
      </c>
      <c r="N168" s="54" t="s">
        <v>2962</v>
      </c>
      <c r="O168" s="54" t="s">
        <v>2963</v>
      </c>
      <c r="P168" s="54" t="s">
        <v>137</v>
      </c>
      <c r="Q168" s="54" t="s">
        <v>2964</v>
      </c>
      <c r="R168" s="54"/>
      <c r="S168" s="49"/>
    </row>
    <row r="169">
      <c r="A169" s="50" t="s">
        <v>223</v>
      </c>
      <c r="B169" s="51" t="s">
        <v>222</v>
      </c>
      <c r="C169" s="52" t="s">
        <v>73</v>
      </c>
      <c r="D169" s="41" t="s">
        <v>2573</v>
      </c>
      <c r="E169" s="45" t="s">
        <v>86</v>
      </c>
      <c r="F169" s="41" t="s">
        <v>2574</v>
      </c>
      <c r="G169" s="52">
        <v>15.0</v>
      </c>
      <c r="H169" s="53" t="s">
        <v>226</v>
      </c>
      <c r="I169" s="53" t="s">
        <v>225</v>
      </c>
      <c r="J169" s="45" t="s">
        <v>86</v>
      </c>
      <c r="K169" s="45" t="s">
        <v>2569</v>
      </c>
      <c r="L169" s="45" t="s">
        <v>86</v>
      </c>
      <c r="M169" s="45" t="s">
        <v>86</v>
      </c>
      <c r="N169" s="54" t="s">
        <v>2962</v>
      </c>
      <c r="O169" s="54" t="s">
        <v>2963</v>
      </c>
      <c r="P169" s="54" t="s">
        <v>137</v>
      </c>
      <c r="Q169" s="54" t="s">
        <v>2965</v>
      </c>
      <c r="R169" s="54"/>
      <c r="S169" s="49"/>
    </row>
    <row r="170">
      <c r="A170" s="50" t="s">
        <v>355</v>
      </c>
      <c r="B170" s="51" t="s">
        <v>354</v>
      </c>
      <c r="C170" s="52" t="s">
        <v>73</v>
      </c>
      <c r="D170" s="41" t="s">
        <v>2573</v>
      </c>
      <c r="E170" s="45" t="s">
        <v>86</v>
      </c>
      <c r="F170" s="41" t="s">
        <v>2574</v>
      </c>
      <c r="G170" s="52">
        <v>15.0</v>
      </c>
      <c r="H170" s="53" t="s">
        <v>357</v>
      </c>
      <c r="I170" s="53" t="s">
        <v>356</v>
      </c>
      <c r="J170" s="45" t="s">
        <v>86</v>
      </c>
      <c r="K170" s="45" t="s">
        <v>2569</v>
      </c>
      <c r="L170" s="45" t="s">
        <v>86</v>
      </c>
      <c r="M170" s="45" t="s">
        <v>86</v>
      </c>
      <c r="N170" s="54" t="s">
        <v>2962</v>
      </c>
      <c r="O170" s="54" t="s">
        <v>2966</v>
      </c>
      <c r="P170" s="54" t="s">
        <v>137</v>
      </c>
      <c r="Q170" s="54" t="s">
        <v>2967</v>
      </c>
      <c r="R170" s="54"/>
      <c r="S170" s="49"/>
    </row>
    <row r="171">
      <c r="A171" s="50" t="s">
        <v>932</v>
      </c>
      <c r="B171" s="51" t="s">
        <v>931</v>
      </c>
      <c r="C171" s="52" t="s">
        <v>73</v>
      </c>
      <c r="D171" s="41" t="s">
        <v>2968</v>
      </c>
      <c r="E171" s="45" t="s">
        <v>86</v>
      </c>
      <c r="F171" s="41" t="s">
        <v>2574</v>
      </c>
      <c r="G171" s="52">
        <v>49.0</v>
      </c>
      <c r="H171" s="53" t="s">
        <v>935</v>
      </c>
      <c r="I171" s="53" t="s">
        <v>2969</v>
      </c>
      <c r="J171" s="45" t="s">
        <v>86</v>
      </c>
      <c r="K171" s="45" t="s">
        <v>86</v>
      </c>
      <c r="L171" s="45" t="s">
        <v>86</v>
      </c>
      <c r="M171" s="45" t="s">
        <v>86</v>
      </c>
      <c r="N171" s="54" t="s">
        <v>2962</v>
      </c>
      <c r="O171" s="54" t="s">
        <v>2970</v>
      </c>
      <c r="P171" s="54" t="s">
        <v>76</v>
      </c>
      <c r="Q171" s="54" t="s">
        <v>2971</v>
      </c>
      <c r="R171" s="54"/>
      <c r="S171" s="49"/>
    </row>
    <row r="172">
      <c r="A172" s="50" t="s">
        <v>213</v>
      </c>
      <c r="B172" s="51" t="s">
        <v>212</v>
      </c>
      <c r="C172" s="52" t="s">
        <v>73</v>
      </c>
      <c r="D172" s="41" t="s">
        <v>2624</v>
      </c>
      <c r="E172" s="45" t="s">
        <v>86</v>
      </c>
      <c r="F172" s="41" t="s">
        <v>2593</v>
      </c>
      <c r="G172" s="52">
        <v>22.0</v>
      </c>
      <c r="H172" s="53" t="s">
        <v>217</v>
      </c>
      <c r="I172" s="53"/>
      <c r="J172" s="45" t="s">
        <v>86</v>
      </c>
      <c r="K172" s="45" t="s">
        <v>2569</v>
      </c>
      <c r="L172" s="45" t="s">
        <v>2569</v>
      </c>
      <c r="M172" s="45" t="s">
        <v>2569</v>
      </c>
      <c r="N172" s="54"/>
      <c r="O172" s="54"/>
      <c r="P172" s="54" t="s">
        <v>2972</v>
      </c>
      <c r="Q172" s="54" t="s">
        <v>2973</v>
      </c>
      <c r="R172" s="54" t="s">
        <v>2974</v>
      </c>
      <c r="S172" s="49"/>
    </row>
    <row r="173">
      <c r="A173" s="50" t="s">
        <v>628</v>
      </c>
      <c r="B173" s="51" t="s">
        <v>627</v>
      </c>
      <c r="C173" s="52" t="s">
        <v>73</v>
      </c>
      <c r="D173" s="41" t="s">
        <v>2747</v>
      </c>
      <c r="E173" s="45" t="s">
        <v>86</v>
      </c>
      <c r="F173" s="41" t="s">
        <v>2593</v>
      </c>
      <c r="G173" s="52">
        <v>17.0</v>
      </c>
      <c r="H173" s="53" t="s">
        <v>633</v>
      </c>
      <c r="I173" s="53" t="s">
        <v>632</v>
      </c>
      <c r="J173" s="45" t="s">
        <v>86</v>
      </c>
      <c r="K173" s="45" t="s">
        <v>2569</v>
      </c>
      <c r="L173" s="45" t="s">
        <v>2569</v>
      </c>
      <c r="M173" s="45" t="s">
        <v>2569</v>
      </c>
      <c r="N173" s="54"/>
      <c r="O173" s="54" t="s">
        <v>2975</v>
      </c>
      <c r="P173" s="54"/>
      <c r="Q173" s="54"/>
      <c r="R173" s="54" t="s">
        <v>2976</v>
      </c>
      <c r="S173" s="49"/>
    </row>
    <row r="174">
      <c r="A174" s="50" t="s">
        <v>919</v>
      </c>
      <c r="B174" s="51" t="s">
        <v>918</v>
      </c>
      <c r="C174" s="52" t="s">
        <v>2693</v>
      </c>
      <c r="D174" s="41" t="s">
        <v>2747</v>
      </c>
      <c r="E174" s="45" t="s">
        <v>86</v>
      </c>
      <c r="F174" s="41" t="s">
        <v>2593</v>
      </c>
      <c r="G174" s="52">
        <v>57.0</v>
      </c>
      <c r="H174" s="53" t="s">
        <v>925</v>
      </c>
      <c r="I174" s="53" t="s">
        <v>924</v>
      </c>
      <c r="J174" s="45" t="s">
        <v>86</v>
      </c>
      <c r="K174" s="45" t="s">
        <v>86</v>
      </c>
      <c r="L174" s="45" t="s">
        <v>86</v>
      </c>
      <c r="M174" s="45" t="s">
        <v>86</v>
      </c>
      <c r="N174" s="54" t="s">
        <v>137</v>
      </c>
      <c r="O174" s="54" t="s">
        <v>2977</v>
      </c>
      <c r="P174" s="54" t="s">
        <v>137</v>
      </c>
      <c r="Q174" s="54" t="s">
        <v>2978</v>
      </c>
      <c r="R174" s="54"/>
      <c r="S174" s="49"/>
    </row>
    <row r="175">
      <c r="A175" s="50" t="s">
        <v>374</v>
      </c>
      <c r="B175" s="51" t="s">
        <v>373</v>
      </c>
      <c r="C175" s="52" t="s">
        <v>73</v>
      </c>
      <c r="D175" s="50" t="s">
        <v>73</v>
      </c>
      <c r="E175" s="45" t="s">
        <v>86</v>
      </c>
      <c r="F175" s="41" t="s">
        <v>2590</v>
      </c>
      <c r="G175" s="52">
        <v>50.0</v>
      </c>
      <c r="H175" s="53" t="s">
        <v>377</v>
      </c>
      <c r="I175" s="53" t="s">
        <v>376</v>
      </c>
      <c r="J175" s="45" t="s">
        <v>2569</v>
      </c>
      <c r="K175" s="45" t="s">
        <v>2569</v>
      </c>
      <c r="L175" s="45" t="s">
        <v>2569</v>
      </c>
      <c r="M175" s="45" t="s">
        <v>2569</v>
      </c>
      <c r="N175" s="54" t="s">
        <v>137</v>
      </c>
      <c r="O175" s="54" t="s">
        <v>137</v>
      </c>
      <c r="P175" s="54" t="s">
        <v>137</v>
      </c>
      <c r="Q175" s="54" t="s">
        <v>2979</v>
      </c>
      <c r="R175" s="54"/>
      <c r="S175" s="49"/>
    </row>
    <row r="176">
      <c r="A176" s="50" t="s">
        <v>1450</v>
      </c>
      <c r="B176" s="51" t="s">
        <v>1449</v>
      </c>
      <c r="C176" s="52" t="s">
        <v>73</v>
      </c>
      <c r="D176" s="41" t="s">
        <v>2820</v>
      </c>
      <c r="E176" s="45" t="s">
        <v>2569</v>
      </c>
      <c r="F176" s="41" t="s">
        <v>2593</v>
      </c>
      <c r="G176" s="52">
        <v>25.0</v>
      </c>
      <c r="H176" s="53" t="s">
        <v>1452</v>
      </c>
      <c r="I176" s="53" t="s">
        <v>1451</v>
      </c>
      <c r="J176" s="45" t="s">
        <v>86</v>
      </c>
      <c r="K176" s="45" t="s">
        <v>86</v>
      </c>
      <c r="L176" s="45" t="s">
        <v>86</v>
      </c>
      <c r="M176" s="45" t="s">
        <v>86</v>
      </c>
      <c r="N176" s="54" t="s">
        <v>286</v>
      </c>
      <c r="O176" s="54" t="s">
        <v>286</v>
      </c>
      <c r="P176" s="54" t="s">
        <v>286</v>
      </c>
      <c r="Q176" s="54"/>
      <c r="R176" s="54"/>
      <c r="S176" s="49"/>
    </row>
    <row r="177">
      <c r="A177" s="50" t="s">
        <v>302</v>
      </c>
      <c r="B177" s="51" t="s">
        <v>301</v>
      </c>
      <c r="C177" s="52" t="s">
        <v>73</v>
      </c>
      <c r="D177" s="41" t="s">
        <v>2694</v>
      </c>
      <c r="E177" s="45" t="s">
        <v>86</v>
      </c>
      <c r="F177" s="41" t="s">
        <v>2608</v>
      </c>
      <c r="G177" s="52">
        <v>31.0</v>
      </c>
      <c r="H177" s="53" t="s">
        <v>307</v>
      </c>
      <c r="I177" s="53" t="s">
        <v>306</v>
      </c>
      <c r="J177" s="45" t="s">
        <v>86</v>
      </c>
      <c r="K177" s="45" t="s">
        <v>86</v>
      </c>
      <c r="L177" s="45" t="s">
        <v>86</v>
      </c>
      <c r="M177" s="45" t="s">
        <v>86</v>
      </c>
      <c r="N177" s="54" t="s">
        <v>311</v>
      </c>
      <c r="O177" s="54" t="s">
        <v>310</v>
      </c>
      <c r="P177" s="54" t="s">
        <v>305</v>
      </c>
      <c r="Q177" s="54" t="s">
        <v>2980</v>
      </c>
      <c r="R177" s="54" t="s">
        <v>144</v>
      </c>
      <c r="S177" s="49"/>
    </row>
    <row r="178">
      <c r="A178" s="50" t="s">
        <v>2981</v>
      </c>
      <c r="B178" s="51" t="s">
        <v>2982</v>
      </c>
      <c r="C178" s="52" t="s">
        <v>108</v>
      </c>
      <c r="D178" s="41" t="s">
        <v>2694</v>
      </c>
      <c r="E178" s="45" t="s">
        <v>2569</v>
      </c>
      <c r="F178" s="41" t="s">
        <v>2608</v>
      </c>
      <c r="G178" s="52">
        <v>18.0</v>
      </c>
      <c r="H178" s="53" t="s">
        <v>2983</v>
      </c>
      <c r="I178" s="53" t="s">
        <v>2984</v>
      </c>
      <c r="J178" s="45" t="s">
        <v>2569</v>
      </c>
      <c r="K178" s="45" t="s">
        <v>2569</v>
      </c>
      <c r="L178" s="45" t="s">
        <v>2569</v>
      </c>
      <c r="M178" s="45" t="s">
        <v>2569</v>
      </c>
      <c r="N178" s="54"/>
      <c r="O178" s="54"/>
      <c r="P178" s="54"/>
      <c r="Q178" s="54" t="s">
        <v>2985</v>
      </c>
      <c r="R178" s="54" t="s">
        <v>2986</v>
      </c>
      <c r="S178" s="49"/>
    </row>
    <row r="179">
      <c r="A179" s="50" t="s">
        <v>2987</v>
      </c>
      <c r="B179" s="51" t="s">
        <v>2988</v>
      </c>
      <c r="C179" s="52" t="s">
        <v>2667</v>
      </c>
      <c r="D179" s="41" t="s">
        <v>2731</v>
      </c>
      <c r="E179" s="45" t="s">
        <v>2569</v>
      </c>
      <c r="F179" s="41" t="s">
        <v>2608</v>
      </c>
      <c r="G179" s="52">
        <v>16.0</v>
      </c>
      <c r="H179" s="53" t="s">
        <v>2989</v>
      </c>
      <c r="I179" s="53"/>
      <c r="J179" s="45" t="s">
        <v>2569</v>
      </c>
      <c r="K179" s="45" t="s">
        <v>2569</v>
      </c>
      <c r="L179" s="45" t="s">
        <v>2569</v>
      </c>
      <c r="M179" s="45" t="s">
        <v>2569</v>
      </c>
      <c r="N179" s="54"/>
      <c r="O179" s="54"/>
      <c r="P179" s="54" t="s">
        <v>2990</v>
      </c>
      <c r="Q179" s="54" t="s">
        <v>2991</v>
      </c>
      <c r="R179" s="54"/>
      <c r="S179" s="49"/>
    </row>
    <row r="180">
      <c r="A180" s="50" t="s">
        <v>1894</v>
      </c>
      <c r="B180" s="51" t="s">
        <v>1893</v>
      </c>
      <c r="C180" s="52" t="s">
        <v>108</v>
      </c>
      <c r="D180" s="41" t="s">
        <v>2826</v>
      </c>
      <c r="E180" s="45" t="s">
        <v>2569</v>
      </c>
      <c r="F180" s="41" t="s">
        <v>2590</v>
      </c>
      <c r="G180" s="52">
        <v>52.0</v>
      </c>
      <c r="H180" s="53" t="s">
        <v>2992</v>
      </c>
      <c r="I180" s="53" t="s">
        <v>1896</v>
      </c>
      <c r="J180" s="45" t="s">
        <v>86</v>
      </c>
      <c r="K180" s="45" t="s">
        <v>86</v>
      </c>
      <c r="L180" s="45" t="s">
        <v>86</v>
      </c>
      <c r="M180" s="45" t="s">
        <v>86</v>
      </c>
      <c r="N180" s="54" t="s">
        <v>137</v>
      </c>
      <c r="O180" s="54" t="s">
        <v>137</v>
      </c>
      <c r="P180" s="54" t="s">
        <v>137</v>
      </c>
      <c r="Q180" s="54" t="s">
        <v>2993</v>
      </c>
      <c r="R180" s="54"/>
      <c r="S180" s="49"/>
    </row>
    <row r="181">
      <c r="A181" s="50" t="s">
        <v>1883</v>
      </c>
      <c r="B181" s="51" t="s">
        <v>1882</v>
      </c>
      <c r="C181" s="52" t="s">
        <v>108</v>
      </c>
      <c r="D181" s="41" t="s">
        <v>2829</v>
      </c>
      <c r="E181" s="45" t="s">
        <v>2569</v>
      </c>
      <c r="F181" s="41" t="s">
        <v>2578</v>
      </c>
      <c r="G181" s="52">
        <v>35.0</v>
      </c>
      <c r="H181" s="53" t="s">
        <v>1886</v>
      </c>
      <c r="I181" s="53" t="s">
        <v>1849</v>
      </c>
      <c r="J181" s="45" t="s">
        <v>86</v>
      </c>
      <c r="K181" s="45" t="s">
        <v>2569</v>
      </c>
      <c r="L181" s="45" t="s">
        <v>2569</v>
      </c>
      <c r="M181" s="45" t="s">
        <v>2569</v>
      </c>
      <c r="N181" s="54" t="s">
        <v>1871</v>
      </c>
      <c r="O181" s="54" t="s">
        <v>2994</v>
      </c>
      <c r="P181" s="54" t="s">
        <v>2995</v>
      </c>
      <c r="Q181" s="54" t="s">
        <v>2996</v>
      </c>
      <c r="R181" s="54"/>
      <c r="S181" s="49"/>
    </row>
    <row r="182">
      <c r="A182" s="50" t="s">
        <v>763</v>
      </c>
      <c r="B182" s="51" t="s">
        <v>762</v>
      </c>
      <c r="C182" s="52" t="s">
        <v>108</v>
      </c>
      <c r="D182" s="41" t="s">
        <v>2589</v>
      </c>
      <c r="E182" s="45" t="s">
        <v>2569</v>
      </c>
      <c r="F182" s="41" t="s">
        <v>2590</v>
      </c>
      <c r="G182" s="52">
        <v>45.0</v>
      </c>
      <c r="H182" s="53" t="s">
        <v>766</v>
      </c>
      <c r="I182" s="53" t="s">
        <v>467</v>
      </c>
      <c r="J182" s="45" t="s">
        <v>2569</v>
      </c>
      <c r="K182" s="45" t="s">
        <v>2569</v>
      </c>
      <c r="L182" s="45" t="s">
        <v>2569</v>
      </c>
      <c r="M182" s="45" t="s">
        <v>2569</v>
      </c>
      <c r="N182" s="54" t="s">
        <v>770</v>
      </c>
      <c r="O182" s="54" t="s">
        <v>769</v>
      </c>
      <c r="P182" s="54" t="s">
        <v>765</v>
      </c>
      <c r="Q182" s="54"/>
      <c r="R182" s="54"/>
      <c r="S182" s="49"/>
    </row>
    <row r="183">
      <c r="A183" s="50" t="s">
        <v>2486</v>
      </c>
      <c r="B183" s="51" t="s">
        <v>2997</v>
      </c>
      <c r="C183" s="52" t="s">
        <v>108</v>
      </c>
      <c r="D183" s="41" t="s">
        <v>2573</v>
      </c>
      <c r="E183" s="45" t="s">
        <v>2569</v>
      </c>
      <c r="F183" s="41" t="s">
        <v>2590</v>
      </c>
      <c r="G183" s="52">
        <v>11.0</v>
      </c>
      <c r="H183" s="53" t="s">
        <v>2488</v>
      </c>
      <c r="I183" s="53" t="s">
        <v>2487</v>
      </c>
      <c r="J183" s="45" t="s">
        <v>2569</v>
      </c>
      <c r="K183" s="45" t="s">
        <v>2569</v>
      </c>
      <c r="L183" s="45" t="s">
        <v>2569</v>
      </c>
      <c r="M183" s="45" t="s">
        <v>2569</v>
      </c>
      <c r="N183" s="54"/>
      <c r="O183" s="54"/>
      <c r="P183" s="54" t="s">
        <v>2360</v>
      </c>
      <c r="Q183" s="54"/>
      <c r="R183" s="54"/>
      <c r="S183" s="49"/>
    </row>
    <row r="184">
      <c r="A184" s="50" t="s">
        <v>1874</v>
      </c>
      <c r="B184" s="51" t="s">
        <v>1873</v>
      </c>
      <c r="C184" s="52" t="s">
        <v>73</v>
      </c>
      <c r="D184" s="50" t="s">
        <v>73</v>
      </c>
      <c r="E184" s="45" t="s">
        <v>2569</v>
      </c>
      <c r="F184" s="41" t="s">
        <v>2574</v>
      </c>
      <c r="G184" s="52">
        <v>50.0</v>
      </c>
      <c r="H184" s="53" t="s">
        <v>1878</v>
      </c>
      <c r="I184" s="53" t="s">
        <v>1877</v>
      </c>
      <c r="J184" s="45" t="s">
        <v>2569</v>
      </c>
      <c r="K184" s="45" t="s">
        <v>2569</v>
      </c>
      <c r="L184" s="45" t="s">
        <v>2569</v>
      </c>
      <c r="M184" s="45" t="s">
        <v>2569</v>
      </c>
      <c r="N184" s="54" t="s">
        <v>137</v>
      </c>
      <c r="O184" s="54" t="s">
        <v>137</v>
      </c>
      <c r="P184" s="54" t="s">
        <v>1876</v>
      </c>
      <c r="Q184" s="54" t="s">
        <v>2998</v>
      </c>
      <c r="R184" s="54"/>
      <c r="S184" s="49"/>
    </row>
    <row r="185">
      <c r="A185" s="50" t="s">
        <v>539</v>
      </c>
      <c r="B185" s="51" t="s">
        <v>538</v>
      </c>
      <c r="C185" s="52" t="s">
        <v>2667</v>
      </c>
      <c r="D185" s="41" t="s">
        <v>2808</v>
      </c>
      <c r="E185" s="45" t="s">
        <v>86</v>
      </c>
      <c r="F185" s="41" t="s">
        <v>2574</v>
      </c>
      <c r="G185" s="52">
        <v>20.0</v>
      </c>
      <c r="H185" s="53" t="s">
        <v>543</v>
      </c>
      <c r="I185" s="53" t="s">
        <v>542</v>
      </c>
      <c r="J185" s="45" t="s">
        <v>86</v>
      </c>
      <c r="K185" s="45" t="s">
        <v>86</v>
      </c>
      <c r="L185" s="45" t="s">
        <v>86</v>
      </c>
      <c r="M185" s="45" t="s">
        <v>86</v>
      </c>
      <c r="N185" s="54" t="s">
        <v>547</v>
      </c>
      <c r="O185" s="54" t="s">
        <v>2999</v>
      </c>
      <c r="P185" s="54" t="s">
        <v>541</v>
      </c>
      <c r="Q185" s="54" t="s">
        <v>3000</v>
      </c>
      <c r="R185" s="54"/>
      <c r="S185" s="49"/>
    </row>
    <row r="186">
      <c r="A186" s="50" t="s">
        <v>412</v>
      </c>
      <c r="B186" s="51" t="s">
        <v>411</v>
      </c>
      <c r="C186" s="52" t="s">
        <v>2667</v>
      </c>
      <c r="D186" s="41" t="s">
        <v>2901</v>
      </c>
      <c r="E186" s="45" t="s">
        <v>86</v>
      </c>
      <c r="F186" s="41" t="s">
        <v>110</v>
      </c>
      <c r="G186" s="52">
        <v>16.0</v>
      </c>
      <c r="H186" s="53" t="s">
        <v>416</v>
      </c>
      <c r="I186" s="53" t="s">
        <v>415</v>
      </c>
      <c r="J186" s="45" t="s">
        <v>86</v>
      </c>
      <c r="K186" s="45" t="s">
        <v>86</v>
      </c>
      <c r="L186" s="45" t="s">
        <v>86</v>
      </c>
      <c r="M186" s="45" t="s">
        <v>86</v>
      </c>
      <c r="N186" s="54" t="s">
        <v>421</v>
      </c>
      <c r="O186" s="54" t="s">
        <v>420</v>
      </c>
      <c r="P186" s="54" t="s">
        <v>414</v>
      </c>
      <c r="Q186" s="54" t="s">
        <v>3001</v>
      </c>
      <c r="R186" s="54"/>
      <c r="S186" s="49"/>
    </row>
    <row r="187">
      <c r="A187" s="50" t="s">
        <v>169</v>
      </c>
      <c r="B187" s="51" t="s">
        <v>168</v>
      </c>
      <c r="C187" s="52" t="s">
        <v>2667</v>
      </c>
      <c r="D187" s="50" t="s">
        <v>2667</v>
      </c>
      <c r="E187" s="45" t="s">
        <v>2569</v>
      </c>
      <c r="F187" s="41" t="s">
        <v>2608</v>
      </c>
      <c r="G187" s="52">
        <v>29.0</v>
      </c>
      <c r="H187" s="53" t="s">
        <v>174</v>
      </c>
      <c r="I187" s="53" t="s">
        <v>173</v>
      </c>
      <c r="J187" s="45" t="s">
        <v>86</v>
      </c>
      <c r="K187" s="45" t="s">
        <v>86</v>
      </c>
      <c r="L187" s="45" t="s">
        <v>86</v>
      </c>
      <c r="M187" s="45" t="s">
        <v>86</v>
      </c>
      <c r="N187" s="54" t="s">
        <v>137</v>
      </c>
      <c r="O187" s="54" t="s">
        <v>137</v>
      </c>
      <c r="P187" s="54" t="s">
        <v>137</v>
      </c>
      <c r="Q187" s="54" t="s">
        <v>3002</v>
      </c>
      <c r="R187" s="54"/>
      <c r="S187" s="49"/>
    </row>
    <row r="188">
      <c r="A188" s="50" t="s">
        <v>1340</v>
      </c>
      <c r="B188" s="51" t="s">
        <v>1339</v>
      </c>
      <c r="C188" s="52" t="s">
        <v>108</v>
      </c>
      <c r="D188" s="54"/>
      <c r="E188" s="45" t="s">
        <v>2569</v>
      </c>
      <c r="F188" s="54"/>
      <c r="G188" s="52">
        <v>35.0</v>
      </c>
      <c r="H188" s="53" t="s">
        <v>1342</v>
      </c>
      <c r="I188" s="53" t="s">
        <v>1341</v>
      </c>
      <c r="J188" s="45" t="s">
        <v>86</v>
      </c>
      <c r="K188" s="45" t="s">
        <v>2569</v>
      </c>
      <c r="L188" s="45" t="s">
        <v>2569</v>
      </c>
      <c r="M188" s="45" t="s">
        <v>2569</v>
      </c>
      <c r="N188" s="54" t="s">
        <v>286</v>
      </c>
      <c r="O188" s="54" t="s">
        <v>286</v>
      </c>
      <c r="P188" s="54" t="s">
        <v>286</v>
      </c>
      <c r="Q188" s="54"/>
      <c r="R188" s="54"/>
      <c r="S188" s="49"/>
    </row>
    <row r="189">
      <c r="A189" s="50" t="s">
        <v>3003</v>
      </c>
      <c r="B189" s="51" t="s">
        <v>3004</v>
      </c>
      <c r="C189" s="52" t="s">
        <v>73</v>
      </c>
      <c r="D189" s="41" t="s">
        <v>2589</v>
      </c>
      <c r="E189" s="45" t="s">
        <v>2569</v>
      </c>
      <c r="F189" s="41" t="s">
        <v>2590</v>
      </c>
      <c r="G189" s="52">
        <v>28.0</v>
      </c>
      <c r="H189" s="53" t="s">
        <v>3005</v>
      </c>
      <c r="I189" s="53"/>
      <c r="J189" s="45" t="s">
        <v>2569</v>
      </c>
      <c r="K189" s="45" t="s">
        <v>2569</v>
      </c>
      <c r="L189" s="45" t="s">
        <v>2569</v>
      </c>
      <c r="M189" s="45" t="s">
        <v>2569</v>
      </c>
      <c r="N189" s="54"/>
      <c r="O189" s="54"/>
      <c r="P189" s="54"/>
      <c r="Q189" s="54" t="s">
        <v>3006</v>
      </c>
      <c r="R189" s="54" t="s">
        <v>3007</v>
      </c>
      <c r="S189" s="49"/>
    </row>
    <row r="190">
      <c r="A190" s="50" t="s">
        <v>666</v>
      </c>
      <c r="B190" s="51" t="s">
        <v>58</v>
      </c>
      <c r="C190" s="52" t="s">
        <v>73</v>
      </c>
      <c r="D190" s="41" t="s">
        <v>2655</v>
      </c>
      <c r="E190" s="45" t="s">
        <v>86</v>
      </c>
      <c r="F190" s="41" t="s">
        <v>2578</v>
      </c>
      <c r="G190" s="52">
        <v>25.0</v>
      </c>
      <c r="H190" s="53" t="s">
        <v>671</v>
      </c>
      <c r="I190" s="53" t="s">
        <v>58</v>
      </c>
      <c r="J190" s="45" t="s">
        <v>86</v>
      </c>
      <c r="K190" s="45" t="s">
        <v>86</v>
      </c>
      <c r="L190" s="45" t="s">
        <v>86</v>
      </c>
      <c r="M190" s="45" t="s">
        <v>86</v>
      </c>
      <c r="N190" s="54" t="s">
        <v>670</v>
      </c>
      <c r="O190" s="54" t="s">
        <v>675</v>
      </c>
      <c r="P190" s="54" t="s">
        <v>670</v>
      </c>
      <c r="Q190" s="54" t="s">
        <v>2980</v>
      </c>
      <c r="R190" s="54" t="s">
        <v>144</v>
      </c>
      <c r="S190" s="49"/>
    </row>
    <row r="191">
      <c r="A191" s="50" t="s">
        <v>571</v>
      </c>
      <c r="B191" s="51" t="s">
        <v>570</v>
      </c>
      <c r="C191" s="52" t="s">
        <v>2667</v>
      </c>
      <c r="D191" s="41" t="s">
        <v>2731</v>
      </c>
      <c r="E191" s="45" t="s">
        <v>86</v>
      </c>
      <c r="F191" s="41" t="s">
        <v>2608</v>
      </c>
      <c r="G191" s="52">
        <v>27.0</v>
      </c>
      <c r="H191" s="53" t="s">
        <v>575</v>
      </c>
      <c r="I191" s="53" t="s">
        <v>574</v>
      </c>
      <c r="J191" s="45" t="s">
        <v>86</v>
      </c>
      <c r="K191" s="45" t="s">
        <v>86</v>
      </c>
      <c r="L191" s="45" t="s">
        <v>86</v>
      </c>
      <c r="M191" s="45" t="s">
        <v>86</v>
      </c>
      <c r="N191" s="54" t="s">
        <v>3008</v>
      </c>
      <c r="O191" s="54" t="s">
        <v>3009</v>
      </c>
      <c r="P191" s="54" t="s">
        <v>573</v>
      </c>
      <c r="Q191" s="54" t="s">
        <v>3010</v>
      </c>
      <c r="R191" s="54"/>
      <c r="S191" s="49"/>
    </row>
    <row r="192">
      <c r="A192" s="50" t="s">
        <v>1863</v>
      </c>
      <c r="B192" s="51" t="s">
        <v>1862</v>
      </c>
      <c r="C192" s="52" t="s">
        <v>73</v>
      </c>
      <c r="D192" s="41" t="s">
        <v>2624</v>
      </c>
      <c r="E192" s="45" t="s">
        <v>2569</v>
      </c>
      <c r="F192" s="41" t="s">
        <v>2574</v>
      </c>
      <c r="G192" s="52">
        <v>25.0</v>
      </c>
      <c r="H192" s="53" t="s">
        <v>1867</v>
      </c>
      <c r="I192" s="53" t="s">
        <v>1866</v>
      </c>
      <c r="J192" s="45" t="s">
        <v>86</v>
      </c>
      <c r="K192" s="45" t="s">
        <v>86</v>
      </c>
      <c r="L192" s="45" t="s">
        <v>86</v>
      </c>
      <c r="M192" s="45" t="s">
        <v>86</v>
      </c>
      <c r="N192" s="54" t="s">
        <v>1871</v>
      </c>
      <c r="O192" s="54" t="s">
        <v>3011</v>
      </c>
      <c r="P192" s="54" t="s">
        <v>3012</v>
      </c>
      <c r="Q192" s="54" t="s">
        <v>3013</v>
      </c>
      <c r="R192" s="54"/>
      <c r="S192" s="49"/>
    </row>
    <row r="193">
      <c r="A193" s="50" t="s">
        <v>1528</v>
      </c>
      <c r="B193" s="51" t="s">
        <v>1527</v>
      </c>
      <c r="C193" s="52" t="s">
        <v>73</v>
      </c>
      <c r="D193" s="50" t="s">
        <v>73</v>
      </c>
      <c r="E193" s="45" t="s">
        <v>86</v>
      </c>
      <c r="F193" s="41" t="s">
        <v>2608</v>
      </c>
      <c r="G193" s="52">
        <v>15.0</v>
      </c>
      <c r="H193" s="53" t="s">
        <v>1530</v>
      </c>
      <c r="I193" s="53" t="s">
        <v>3014</v>
      </c>
      <c r="J193" s="45" t="s">
        <v>2569</v>
      </c>
      <c r="K193" s="45" t="s">
        <v>2569</v>
      </c>
      <c r="L193" s="45" t="s">
        <v>2569</v>
      </c>
      <c r="M193" s="45" t="s">
        <v>2569</v>
      </c>
      <c r="N193" s="54" t="s">
        <v>3015</v>
      </c>
      <c r="O193" s="54" t="s">
        <v>398</v>
      </c>
      <c r="P193" s="54" t="s">
        <v>137</v>
      </c>
      <c r="Q193" s="54" t="s">
        <v>3016</v>
      </c>
      <c r="R193" s="54"/>
      <c r="S193" s="49"/>
    </row>
    <row r="194">
      <c r="A194" s="50" t="s">
        <v>754</v>
      </c>
      <c r="B194" s="51" t="s">
        <v>753</v>
      </c>
      <c r="C194" s="52" t="s">
        <v>73</v>
      </c>
      <c r="D194" s="50" t="s">
        <v>73</v>
      </c>
      <c r="E194" s="45" t="s">
        <v>86</v>
      </c>
      <c r="F194" s="41" t="s">
        <v>2608</v>
      </c>
      <c r="G194" s="52">
        <v>28.0</v>
      </c>
      <c r="H194" s="53" t="s">
        <v>758</v>
      </c>
      <c r="I194" s="53" t="s">
        <v>3017</v>
      </c>
      <c r="J194" s="45" t="s">
        <v>86</v>
      </c>
      <c r="K194" s="45" t="s">
        <v>86</v>
      </c>
      <c r="L194" s="45" t="s">
        <v>86</v>
      </c>
      <c r="M194" s="45" t="s">
        <v>86</v>
      </c>
      <c r="N194" s="54" t="s">
        <v>3018</v>
      </c>
      <c r="O194" s="54" t="s">
        <v>137</v>
      </c>
      <c r="P194" s="54" t="s">
        <v>756</v>
      </c>
      <c r="Q194" s="54" t="s">
        <v>3016</v>
      </c>
      <c r="R194" s="54"/>
      <c r="S194" s="49"/>
    </row>
    <row r="195">
      <c r="A195" s="50" t="s">
        <v>908</v>
      </c>
      <c r="B195" s="51" t="s">
        <v>907</v>
      </c>
      <c r="C195" s="52" t="s">
        <v>108</v>
      </c>
      <c r="D195" s="41" t="s">
        <v>2901</v>
      </c>
      <c r="E195" s="45" t="s">
        <v>86</v>
      </c>
      <c r="F195" s="41" t="s">
        <v>2574</v>
      </c>
      <c r="G195" s="52">
        <v>25.0</v>
      </c>
      <c r="H195" s="53" t="s">
        <v>913</v>
      </c>
      <c r="I195" s="53" t="s">
        <v>912</v>
      </c>
      <c r="J195" s="45" t="s">
        <v>2569</v>
      </c>
      <c r="K195" s="45" t="s">
        <v>2569</v>
      </c>
      <c r="L195" s="45" t="s">
        <v>2569</v>
      </c>
      <c r="M195" s="45" t="s">
        <v>2569</v>
      </c>
      <c r="N195" s="54" t="s">
        <v>916</v>
      </c>
      <c r="O195" s="54"/>
      <c r="P195" s="54" t="s">
        <v>3019</v>
      </c>
      <c r="Q195" s="54" t="s">
        <v>3020</v>
      </c>
      <c r="R195" s="54" t="s">
        <v>2617</v>
      </c>
      <c r="S195" s="49"/>
    </row>
    <row r="196">
      <c r="A196" s="50" t="s">
        <v>1189</v>
      </c>
      <c r="B196" s="51" t="s">
        <v>1188</v>
      </c>
      <c r="C196" s="52" t="s">
        <v>73</v>
      </c>
      <c r="D196" s="41" t="s">
        <v>2820</v>
      </c>
      <c r="E196" s="45" t="s">
        <v>86</v>
      </c>
      <c r="F196" s="41" t="s">
        <v>2593</v>
      </c>
      <c r="G196" s="52">
        <v>57.0</v>
      </c>
      <c r="H196" s="53" t="s">
        <v>1193</v>
      </c>
      <c r="I196" s="53" t="s">
        <v>1192</v>
      </c>
      <c r="J196" s="45" t="s">
        <v>86</v>
      </c>
      <c r="K196" s="45" t="s">
        <v>86</v>
      </c>
      <c r="L196" s="45" t="s">
        <v>86</v>
      </c>
      <c r="M196" s="45" t="s">
        <v>86</v>
      </c>
      <c r="N196" s="54" t="s">
        <v>137</v>
      </c>
      <c r="O196" s="54" t="s">
        <v>137</v>
      </c>
      <c r="P196" s="54" t="s">
        <v>137</v>
      </c>
      <c r="Q196" s="54" t="s">
        <v>3021</v>
      </c>
      <c r="R196" s="54" t="s">
        <v>2976</v>
      </c>
      <c r="S196" s="49"/>
    </row>
    <row r="197">
      <c r="A197" s="50" t="s">
        <v>1847</v>
      </c>
      <c r="B197" s="51" t="s">
        <v>1846</v>
      </c>
      <c r="C197" s="52" t="s">
        <v>73</v>
      </c>
      <c r="D197" s="41" t="s">
        <v>2589</v>
      </c>
      <c r="E197" s="45" t="s">
        <v>2569</v>
      </c>
      <c r="F197" s="41" t="s">
        <v>2593</v>
      </c>
      <c r="G197" s="52">
        <v>63.0</v>
      </c>
      <c r="H197" s="53" t="s">
        <v>1850</v>
      </c>
      <c r="I197" s="53" t="s">
        <v>1849</v>
      </c>
      <c r="J197" s="45" t="s">
        <v>2569</v>
      </c>
      <c r="K197" s="45" t="s">
        <v>2569</v>
      </c>
      <c r="L197" s="45" t="s">
        <v>2569</v>
      </c>
      <c r="M197" s="45" t="s">
        <v>2569</v>
      </c>
      <c r="N197" s="54" t="s">
        <v>137</v>
      </c>
      <c r="O197" s="54" t="s">
        <v>739</v>
      </c>
      <c r="P197" s="54" t="s">
        <v>3022</v>
      </c>
      <c r="Q197" s="54" t="s">
        <v>3023</v>
      </c>
      <c r="R197" s="54"/>
      <c r="S197" s="49"/>
    </row>
    <row r="198">
      <c r="A198" s="50" t="s">
        <v>1396</v>
      </c>
      <c r="B198" s="51" t="s">
        <v>1395</v>
      </c>
      <c r="C198" s="52" t="s">
        <v>73</v>
      </c>
      <c r="D198" s="41" t="s">
        <v>2589</v>
      </c>
      <c r="E198" s="45" t="s">
        <v>86</v>
      </c>
      <c r="F198" s="41" t="s">
        <v>2578</v>
      </c>
      <c r="G198" s="52">
        <v>15.0</v>
      </c>
      <c r="H198" s="53" t="s">
        <v>1399</v>
      </c>
      <c r="I198" s="53" t="s">
        <v>1398</v>
      </c>
      <c r="J198" s="45" t="s">
        <v>2569</v>
      </c>
      <c r="K198" s="45" t="s">
        <v>2569</v>
      </c>
      <c r="L198" s="45" t="s">
        <v>2569</v>
      </c>
      <c r="M198" s="45" t="s">
        <v>2569</v>
      </c>
      <c r="N198" s="54" t="s">
        <v>1403</v>
      </c>
      <c r="O198" s="54" t="s">
        <v>1402</v>
      </c>
      <c r="P198" s="54" t="s">
        <v>1397</v>
      </c>
      <c r="Q198" s="54" t="s">
        <v>3024</v>
      </c>
      <c r="R198" s="54"/>
      <c r="S198" s="49"/>
    </row>
    <row r="199">
      <c r="A199" s="50" t="s">
        <v>1443</v>
      </c>
      <c r="B199" s="51" t="s">
        <v>1442</v>
      </c>
      <c r="C199" s="52" t="s">
        <v>73</v>
      </c>
      <c r="D199" s="41" t="s">
        <v>2589</v>
      </c>
      <c r="E199" s="45" t="s">
        <v>86</v>
      </c>
      <c r="F199" s="41" t="s">
        <v>2578</v>
      </c>
      <c r="G199" s="52">
        <v>15.0</v>
      </c>
      <c r="H199" s="53" t="s">
        <v>1445</v>
      </c>
      <c r="I199" s="53" t="s">
        <v>1444</v>
      </c>
      <c r="J199" s="45" t="s">
        <v>2569</v>
      </c>
      <c r="K199" s="45" t="s">
        <v>2569</v>
      </c>
      <c r="L199" s="45" t="s">
        <v>2569</v>
      </c>
      <c r="M199" s="45" t="s">
        <v>2569</v>
      </c>
      <c r="N199" s="54" t="s">
        <v>1403</v>
      </c>
      <c r="O199" s="54" t="s">
        <v>1402</v>
      </c>
      <c r="P199" s="54" t="s">
        <v>1397</v>
      </c>
      <c r="Q199" s="54" t="s">
        <v>3025</v>
      </c>
      <c r="R199" s="54"/>
      <c r="S199" s="49"/>
    </row>
    <row r="200">
      <c r="A200" s="50" t="s">
        <v>1435</v>
      </c>
      <c r="B200" s="51" t="s">
        <v>1434</v>
      </c>
      <c r="C200" s="52" t="s">
        <v>73</v>
      </c>
      <c r="D200" s="41" t="s">
        <v>2589</v>
      </c>
      <c r="E200" s="45" t="s">
        <v>86</v>
      </c>
      <c r="F200" s="41" t="s">
        <v>2593</v>
      </c>
      <c r="G200" s="52">
        <v>15.0</v>
      </c>
      <c r="H200" s="53" t="s">
        <v>3026</v>
      </c>
      <c r="I200" s="53" t="s">
        <v>1422</v>
      </c>
      <c r="J200" s="45" t="s">
        <v>2569</v>
      </c>
      <c r="K200" s="45" t="s">
        <v>2569</v>
      </c>
      <c r="L200" s="45" t="s">
        <v>2569</v>
      </c>
      <c r="M200" s="45" t="s">
        <v>2569</v>
      </c>
      <c r="N200" s="54" t="s">
        <v>1440</v>
      </c>
      <c r="O200" s="54" t="s">
        <v>1402</v>
      </c>
      <c r="P200" s="54" t="s">
        <v>1436</v>
      </c>
      <c r="Q200" s="54" t="s">
        <v>3027</v>
      </c>
      <c r="R200" s="54"/>
      <c r="S200" s="49"/>
    </row>
    <row r="201">
      <c r="A201" s="50" t="s">
        <v>3028</v>
      </c>
      <c r="B201" s="51" t="s">
        <v>3029</v>
      </c>
      <c r="C201" s="52" t="s">
        <v>2667</v>
      </c>
      <c r="D201" s="50" t="s">
        <v>2667</v>
      </c>
      <c r="E201" s="45" t="s">
        <v>2569</v>
      </c>
      <c r="F201" s="41" t="s">
        <v>2608</v>
      </c>
      <c r="G201" s="49"/>
      <c r="H201" s="53" t="s">
        <v>3030</v>
      </c>
      <c r="I201" s="53"/>
      <c r="J201" s="45" t="s">
        <v>2569</v>
      </c>
      <c r="K201" s="45" t="s">
        <v>2569</v>
      </c>
      <c r="L201" s="45" t="s">
        <v>2569</v>
      </c>
      <c r="M201" s="45" t="s">
        <v>2569</v>
      </c>
      <c r="N201" s="54"/>
      <c r="O201" s="54"/>
      <c r="P201" s="54" t="s">
        <v>96</v>
      </c>
      <c r="Q201" s="54" t="s">
        <v>3031</v>
      </c>
      <c r="R201" s="54"/>
      <c r="S201" s="49"/>
    </row>
    <row r="202">
      <c r="A202" s="50" t="s">
        <v>1837</v>
      </c>
      <c r="B202" s="51" t="s">
        <v>1229</v>
      </c>
      <c r="C202" s="52" t="s">
        <v>2693</v>
      </c>
      <c r="D202" s="41" t="s">
        <v>2589</v>
      </c>
      <c r="E202" s="45" t="s">
        <v>86</v>
      </c>
      <c r="F202" s="41" t="s">
        <v>2578</v>
      </c>
      <c r="G202" s="52">
        <v>52.0</v>
      </c>
      <c r="H202" s="53" t="s">
        <v>1842</v>
      </c>
      <c r="I202" s="53" t="s">
        <v>1841</v>
      </c>
      <c r="J202" s="45" t="s">
        <v>86</v>
      </c>
      <c r="K202" s="45" t="s">
        <v>86</v>
      </c>
      <c r="L202" s="45" t="s">
        <v>86</v>
      </c>
      <c r="M202" s="45" t="s">
        <v>86</v>
      </c>
      <c r="N202" s="54" t="s">
        <v>137</v>
      </c>
      <c r="O202" s="54" t="s">
        <v>137</v>
      </c>
      <c r="P202" s="54" t="s">
        <v>3022</v>
      </c>
      <c r="Q202" s="54" t="s">
        <v>3032</v>
      </c>
      <c r="R202" s="54"/>
      <c r="S202" s="49"/>
    </row>
    <row r="203">
      <c r="A203" s="50" t="s">
        <v>743</v>
      </c>
      <c r="B203" s="51" t="s">
        <v>742</v>
      </c>
      <c r="C203" s="52" t="s">
        <v>73</v>
      </c>
      <c r="D203" s="41" t="s">
        <v>2624</v>
      </c>
      <c r="E203" s="45" t="s">
        <v>86</v>
      </c>
      <c r="F203" s="41" t="s">
        <v>2570</v>
      </c>
      <c r="G203" s="52">
        <v>36.0</v>
      </c>
      <c r="H203" s="53" t="s">
        <v>747</v>
      </c>
      <c r="I203" s="53" t="s">
        <v>746</v>
      </c>
      <c r="J203" s="45" t="s">
        <v>86</v>
      </c>
      <c r="K203" s="45" t="s">
        <v>86</v>
      </c>
      <c r="L203" s="45" t="s">
        <v>86</v>
      </c>
      <c r="M203" s="45" t="s">
        <v>86</v>
      </c>
      <c r="N203" s="54" t="s">
        <v>751</v>
      </c>
      <c r="O203" s="54" t="s">
        <v>3033</v>
      </c>
      <c r="P203" s="54" t="s">
        <v>745</v>
      </c>
      <c r="Q203" s="54" t="s">
        <v>3034</v>
      </c>
      <c r="R203" s="54"/>
      <c r="S203" s="49"/>
    </row>
    <row r="204">
      <c r="A204" s="50" t="s">
        <v>734</v>
      </c>
      <c r="B204" s="51" t="s">
        <v>733</v>
      </c>
      <c r="C204" s="52" t="s">
        <v>73</v>
      </c>
      <c r="D204" s="41" t="s">
        <v>2589</v>
      </c>
      <c r="E204" s="45" t="s">
        <v>86</v>
      </c>
      <c r="F204" s="41" t="s">
        <v>2578</v>
      </c>
      <c r="G204" s="52">
        <v>30.0</v>
      </c>
      <c r="H204" s="53" t="s">
        <v>3035</v>
      </c>
      <c r="I204" s="53" t="s">
        <v>3036</v>
      </c>
      <c r="J204" s="45" t="s">
        <v>86</v>
      </c>
      <c r="K204" s="45" t="s">
        <v>86</v>
      </c>
      <c r="L204" s="45" t="s">
        <v>86</v>
      </c>
      <c r="M204" s="45" t="s">
        <v>86</v>
      </c>
      <c r="N204" s="54" t="s">
        <v>740</v>
      </c>
      <c r="O204" s="54" t="s">
        <v>739</v>
      </c>
      <c r="P204" s="54" t="s">
        <v>3037</v>
      </c>
      <c r="Q204" s="54" t="s">
        <v>3038</v>
      </c>
      <c r="R204" s="54"/>
      <c r="S204" s="49"/>
    </row>
    <row r="205">
      <c r="A205" s="50" t="s">
        <v>1227</v>
      </c>
      <c r="B205" s="51" t="s">
        <v>1226</v>
      </c>
      <c r="C205" s="52" t="s">
        <v>73</v>
      </c>
      <c r="D205" s="41" t="s">
        <v>2589</v>
      </c>
      <c r="E205" s="45" t="s">
        <v>86</v>
      </c>
      <c r="F205" s="41" t="s">
        <v>2593</v>
      </c>
      <c r="G205" s="52">
        <v>15.0</v>
      </c>
      <c r="H205" s="53" t="s">
        <v>1231</v>
      </c>
      <c r="I205" s="53" t="s">
        <v>1230</v>
      </c>
      <c r="J205" s="45" t="s">
        <v>2569</v>
      </c>
      <c r="K205" s="45" t="s">
        <v>2569</v>
      </c>
      <c r="L205" s="45" t="s">
        <v>2569</v>
      </c>
      <c r="M205" s="45" t="s">
        <v>2569</v>
      </c>
      <c r="N205" s="54" t="s">
        <v>1235</v>
      </c>
      <c r="O205" s="54" t="s">
        <v>1234</v>
      </c>
      <c r="P205" s="54"/>
      <c r="Q205" s="54" t="s">
        <v>3039</v>
      </c>
      <c r="R205" s="54" t="s">
        <v>3040</v>
      </c>
      <c r="S205" s="49"/>
    </row>
    <row r="206">
      <c r="A206" s="50" t="s">
        <v>1116</v>
      </c>
      <c r="B206" s="51" t="s">
        <v>1115</v>
      </c>
      <c r="C206" s="52" t="s">
        <v>73</v>
      </c>
      <c r="D206" s="41" t="s">
        <v>2624</v>
      </c>
      <c r="E206" s="45" t="s">
        <v>86</v>
      </c>
      <c r="F206" s="41" t="s">
        <v>2578</v>
      </c>
      <c r="G206" s="52">
        <v>20.0</v>
      </c>
      <c r="H206" s="53" t="s">
        <v>1119</v>
      </c>
      <c r="I206" s="53" t="s">
        <v>1118</v>
      </c>
      <c r="J206" s="45" t="s">
        <v>86</v>
      </c>
      <c r="K206" s="45" t="s">
        <v>2569</v>
      </c>
      <c r="L206" s="45" t="s">
        <v>2569</v>
      </c>
      <c r="M206" s="45" t="s">
        <v>2569</v>
      </c>
      <c r="N206" s="54" t="s">
        <v>1122</v>
      </c>
      <c r="O206" s="54"/>
      <c r="P206" s="54"/>
      <c r="Q206" s="54" t="s">
        <v>3041</v>
      </c>
      <c r="R206" s="54" t="s">
        <v>3042</v>
      </c>
      <c r="S206" s="49"/>
    </row>
    <row r="207">
      <c r="A207" s="50" t="s">
        <v>688</v>
      </c>
      <c r="B207" s="51" t="s">
        <v>687</v>
      </c>
      <c r="C207" s="52" t="s">
        <v>108</v>
      </c>
      <c r="D207" s="50" t="s">
        <v>108</v>
      </c>
      <c r="E207" s="45" t="s">
        <v>2569</v>
      </c>
      <c r="F207" s="41" t="s">
        <v>2574</v>
      </c>
      <c r="G207" s="52">
        <v>15.0</v>
      </c>
      <c r="H207" s="53" t="s">
        <v>689</v>
      </c>
      <c r="I207" s="53" t="s">
        <v>384</v>
      </c>
      <c r="J207" s="45" t="s">
        <v>2569</v>
      </c>
      <c r="K207" s="45" t="s">
        <v>2569</v>
      </c>
      <c r="L207" s="45" t="s">
        <v>2569</v>
      </c>
      <c r="M207" s="45" t="s">
        <v>2569</v>
      </c>
      <c r="N207" s="54" t="s">
        <v>286</v>
      </c>
      <c r="O207" s="54" t="s">
        <v>286</v>
      </c>
      <c r="P207" s="54" t="s">
        <v>286</v>
      </c>
      <c r="Q207" s="54" t="s">
        <v>3043</v>
      </c>
      <c r="R207" s="54"/>
      <c r="S207" s="49"/>
    </row>
    <row r="208">
      <c r="A208" s="50" t="s">
        <v>509</v>
      </c>
      <c r="B208" s="51" t="s">
        <v>508</v>
      </c>
      <c r="C208" s="52" t="s">
        <v>73</v>
      </c>
      <c r="D208" s="41" t="s">
        <v>3044</v>
      </c>
      <c r="E208" s="45" t="s">
        <v>86</v>
      </c>
      <c r="F208" s="41" t="s">
        <v>2570</v>
      </c>
      <c r="G208" s="52">
        <v>45.0</v>
      </c>
      <c r="H208" s="53" t="s">
        <v>513</v>
      </c>
      <c r="I208" s="53" t="s">
        <v>3045</v>
      </c>
      <c r="J208" s="45" t="s">
        <v>86</v>
      </c>
      <c r="K208" s="45" t="s">
        <v>86</v>
      </c>
      <c r="L208" s="45" t="s">
        <v>86</v>
      </c>
      <c r="M208" s="45" t="s">
        <v>86</v>
      </c>
      <c r="N208" s="54" t="s">
        <v>517</v>
      </c>
      <c r="O208" s="54" t="s">
        <v>3046</v>
      </c>
      <c r="P208" s="54" t="s">
        <v>511</v>
      </c>
      <c r="Q208" s="54" t="s">
        <v>3047</v>
      </c>
      <c r="R208" s="54"/>
      <c r="S208" s="49"/>
    </row>
    <row r="209">
      <c r="A209" s="50" t="s">
        <v>1830</v>
      </c>
      <c r="B209" s="51" t="s">
        <v>1829</v>
      </c>
      <c r="C209" s="52" t="s">
        <v>73</v>
      </c>
      <c r="D209" s="41" t="s">
        <v>2624</v>
      </c>
      <c r="E209" s="45" t="s">
        <v>86</v>
      </c>
      <c r="F209" s="41" t="s">
        <v>2578</v>
      </c>
      <c r="G209" s="52">
        <v>32.0</v>
      </c>
      <c r="H209" s="53" t="s">
        <v>1833</v>
      </c>
      <c r="I209" s="53" t="s">
        <v>1807</v>
      </c>
      <c r="J209" s="45" t="s">
        <v>86</v>
      </c>
      <c r="K209" s="45" t="s">
        <v>86</v>
      </c>
      <c r="L209" s="45" t="s">
        <v>86</v>
      </c>
      <c r="M209" s="45" t="s">
        <v>86</v>
      </c>
      <c r="N209" s="54" t="s">
        <v>1353</v>
      </c>
      <c r="O209" s="54" t="s">
        <v>3048</v>
      </c>
      <c r="P209" s="54" t="s">
        <v>3037</v>
      </c>
      <c r="Q209" s="54" t="s">
        <v>3049</v>
      </c>
      <c r="R209" s="54"/>
      <c r="S209" s="49"/>
    </row>
    <row r="210">
      <c r="A210" s="50" t="s">
        <v>722</v>
      </c>
      <c r="B210" s="51" t="s">
        <v>721</v>
      </c>
      <c r="C210" s="52" t="s">
        <v>73</v>
      </c>
      <c r="D210" s="41" t="s">
        <v>2624</v>
      </c>
      <c r="E210" s="45" t="s">
        <v>86</v>
      </c>
      <c r="F210" s="41" t="s">
        <v>2578</v>
      </c>
      <c r="G210" s="52">
        <v>46.0</v>
      </c>
      <c r="H210" s="53" t="s">
        <v>726</v>
      </c>
      <c r="I210" s="53" t="s">
        <v>3050</v>
      </c>
      <c r="J210" s="45" t="s">
        <v>86</v>
      </c>
      <c r="K210" s="45" t="s">
        <v>86</v>
      </c>
      <c r="L210" s="45" t="s">
        <v>86</v>
      </c>
      <c r="M210" s="45" t="s">
        <v>86</v>
      </c>
      <c r="N210" s="54" t="s">
        <v>731</v>
      </c>
      <c r="O210" s="54" t="s">
        <v>730</v>
      </c>
      <c r="P210" s="54" t="s">
        <v>724</v>
      </c>
      <c r="Q210" s="54" t="s">
        <v>3051</v>
      </c>
      <c r="R210" s="54"/>
      <c r="S210" s="49"/>
    </row>
    <row r="211">
      <c r="A211" s="50" t="s">
        <v>1075</v>
      </c>
      <c r="B211" s="51" t="s">
        <v>1074</v>
      </c>
      <c r="C211" s="52" t="s">
        <v>73</v>
      </c>
      <c r="D211" s="41" t="s">
        <v>2589</v>
      </c>
      <c r="E211" s="45" t="s">
        <v>86</v>
      </c>
      <c r="F211" s="41" t="s">
        <v>2593</v>
      </c>
      <c r="G211" s="52">
        <v>13.0</v>
      </c>
      <c r="H211" s="53" t="s">
        <v>1081</v>
      </c>
      <c r="I211" s="53" t="s">
        <v>1080</v>
      </c>
      <c r="J211" s="45" t="s">
        <v>86</v>
      </c>
      <c r="K211" s="45" t="s">
        <v>86</v>
      </c>
      <c r="L211" s="45" t="s">
        <v>86</v>
      </c>
      <c r="M211" s="45" t="s">
        <v>86</v>
      </c>
      <c r="N211" s="54" t="s">
        <v>3052</v>
      </c>
      <c r="O211" s="54" t="s">
        <v>1084</v>
      </c>
      <c r="P211" s="54" t="s">
        <v>3053</v>
      </c>
      <c r="Q211" s="54" t="s">
        <v>3054</v>
      </c>
      <c r="R211" s="54" t="s">
        <v>2921</v>
      </c>
      <c r="S211" s="49"/>
    </row>
    <row r="212">
      <c r="A212" s="50" t="s">
        <v>1198</v>
      </c>
      <c r="B212" s="51" t="s">
        <v>1197</v>
      </c>
      <c r="C212" s="52" t="s">
        <v>73</v>
      </c>
      <c r="D212" s="41" t="s">
        <v>2589</v>
      </c>
      <c r="E212" s="45" t="s">
        <v>86</v>
      </c>
      <c r="F212" s="41" t="s">
        <v>2593</v>
      </c>
      <c r="G212" s="52">
        <v>10.0</v>
      </c>
      <c r="H212" s="53" t="s">
        <v>1202</v>
      </c>
      <c r="I212" s="53" t="s">
        <v>1080</v>
      </c>
      <c r="J212" s="45" t="s">
        <v>86</v>
      </c>
      <c r="K212" s="45" t="s">
        <v>86</v>
      </c>
      <c r="L212" s="45" t="s">
        <v>86</v>
      </c>
      <c r="M212" s="45" t="s">
        <v>86</v>
      </c>
      <c r="N212" s="54" t="s">
        <v>3052</v>
      </c>
      <c r="O212" s="54" t="s">
        <v>1205</v>
      </c>
      <c r="P212" s="54" t="s">
        <v>3053</v>
      </c>
      <c r="Q212" s="54"/>
      <c r="R212" s="54" t="s">
        <v>3055</v>
      </c>
      <c r="S212" s="49"/>
    </row>
    <row r="213">
      <c r="A213" s="50" t="s">
        <v>3056</v>
      </c>
      <c r="B213" s="51" t="s">
        <v>3057</v>
      </c>
      <c r="C213" s="52" t="s">
        <v>108</v>
      </c>
      <c r="D213" s="41" t="s">
        <v>2808</v>
      </c>
      <c r="E213" s="45" t="s">
        <v>2569</v>
      </c>
      <c r="F213" s="41" t="s">
        <v>2574</v>
      </c>
      <c r="G213" s="52">
        <v>21.0</v>
      </c>
      <c r="H213" s="53" t="s">
        <v>3058</v>
      </c>
      <c r="I213" s="53" t="s">
        <v>3059</v>
      </c>
      <c r="J213" s="45" t="s">
        <v>2569</v>
      </c>
      <c r="K213" s="45" t="s">
        <v>2569</v>
      </c>
      <c r="L213" s="45" t="s">
        <v>2569</v>
      </c>
      <c r="M213" s="45" t="s">
        <v>2569</v>
      </c>
      <c r="N213" s="54"/>
      <c r="O213" s="54"/>
      <c r="P213" s="54" t="s">
        <v>2262</v>
      </c>
      <c r="Q213" s="54"/>
      <c r="R213" s="54"/>
      <c r="S213" s="49"/>
    </row>
    <row r="214">
      <c r="A214" s="50" t="s">
        <v>2438</v>
      </c>
      <c r="B214" s="51" t="s">
        <v>2437</v>
      </c>
      <c r="C214" s="52" t="s">
        <v>108</v>
      </c>
      <c r="D214" s="50" t="s">
        <v>108</v>
      </c>
      <c r="E214" s="45" t="s">
        <v>2569</v>
      </c>
      <c r="F214" s="41" t="s">
        <v>2574</v>
      </c>
      <c r="G214" s="52">
        <v>15.0</v>
      </c>
      <c r="H214" s="53" t="s">
        <v>2442</v>
      </c>
      <c r="I214" s="53" t="s">
        <v>2441</v>
      </c>
      <c r="J214" s="45" t="s">
        <v>2569</v>
      </c>
      <c r="K214" s="45" t="s">
        <v>2569</v>
      </c>
      <c r="L214" s="45" t="s">
        <v>2569</v>
      </c>
      <c r="M214" s="45" t="s">
        <v>2569</v>
      </c>
      <c r="N214" s="54" t="s">
        <v>2446</v>
      </c>
      <c r="O214" s="54" t="s">
        <v>2445</v>
      </c>
      <c r="P214" s="54"/>
      <c r="Q214" s="54"/>
      <c r="R214" s="54" t="s">
        <v>3060</v>
      </c>
      <c r="S214" s="49"/>
    </row>
    <row r="215">
      <c r="A215" s="50" t="s">
        <v>1001</v>
      </c>
      <c r="B215" s="51" t="s">
        <v>1000</v>
      </c>
      <c r="C215" s="52" t="s">
        <v>48</v>
      </c>
      <c r="D215" s="41" t="s">
        <v>2829</v>
      </c>
      <c r="E215" s="45" t="s">
        <v>2569</v>
      </c>
      <c r="F215" s="41" t="s">
        <v>2593</v>
      </c>
      <c r="G215" s="52">
        <v>50.0</v>
      </c>
      <c r="H215" s="53" t="s">
        <v>1004</v>
      </c>
      <c r="I215" s="53" t="s">
        <v>1003</v>
      </c>
      <c r="J215" s="45" t="s">
        <v>86</v>
      </c>
      <c r="K215" s="45" t="s">
        <v>86</v>
      </c>
      <c r="L215" s="45" t="s">
        <v>86</v>
      </c>
      <c r="M215" s="45" t="s">
        <v>86</v>
      </c>
      <c r="N215" s="54" t="s">
        <v>137</v>
      </c>
      <c r="O215" s="54" t="s">
        <v>137</v>
      </c>
      <c r="P215" s="54" t="s">
        <v>137</v>
      </c>
      <c r="Q215" s="54"/>
      <c r="R215" s="54"/>
      <c r="S215" s="49"/>
    </row>
    <row r="216">
      <c r="A216" s="50" t="s">
        <v>1822</v>
      </c>
      <c r="B216" s="51" t="s">
        <v>1821</v>
      </c>
      <c r="C216" s="52" t="s">
        <v>73</v>
      </c>
      <c r="D216" s="41" t="s">
        <v>2573</v>
      </c>
      <c r="E216" s="45" t="s">
        <v>2569</v>
      </c>
      <c r="F216" s="41" t="s">
        <v>2590</v>
      </c>
      <c r="G216" s="52">
        <v>44.0</v>
      </c>
      <c r="H216" s="53" t="s">
        <v>1825</v>
      </c>
      <c r="I216" s="53" t="s">
        <v>1824</v>
      </c>
      <c r="J216" s="45" t="s">
        <v>2569</v>
      </c>
      <c r="K216" s="45" t="s">
        <v>2569</v>
      </c>
      <c r="L216" s="45" t="s">
        <v>2569</v>
      </c>
      <c r="M216" s="45" t="s">
        <v>2569</v>
      </c>
      <c r="N216" s="54" t="s">
        <v>137</v>
      </c>
      <c r="O216" s="54" t="s">
        <v>137</v>
      </c>
      <c r="P216" s="54" t="s">
        <v>137</v>
      </c>
      <c r="Q216" s="54"/>
      <c r="R216" s="54"/>
      <c r="S216" s="49"/>
    </row>
    <row r="217">
      <c r="A217" s="50" t="s">
        <v>2429</v>
      </c>
      <c r="B217" s="51" t="s">
        <v>2428</v>
      </c>
      <c r="C217" s="52" t="s">
        <v>108</v>
      </c>
      <c r="D217" s="50" t="s">
        <v>108</v>
      </c>
      <c r="E217" s="45" t="s">
        <v>2569</v>
      </c>
      <c r="F217" s="41" t="s">
        <v>2574</v>
      </c>
      <c r="G217" s="52">
        <v>20.0</v>
      </c>
      <c r="H217" s="53" t="s">
        <v>2433</v>
      </c>
      <c r="I217" s="53" t="s">
        <v>2432</v>
      </c>
      <c r="J217" s="45" t="s">
        <v>2569</v>
      </c>
      <c r="K217" s="45" t="s">
        <v>2569</v>
      </c>
      <c r="L217" s="45" t="s">
        <v>2569</v>
      </c>
      <c r="M217" s="45" t="s">
        <v>2569</v>
      </c>
      <c r="N217" s="54"/>
      <c r="O217" s="54"/>
      <c r="P217" s="54"/>
      <c r="Q217" s="54" t="s">
        <v>3061</v>
      </c>
      <c r="R217" s="54"/>
      <c r="S217" s="49"/>
    </row>
    <row r="218">
      <c r="A218" s="50" t="s">
        <v>282</v>
      </c>
      <c r="B218" s="51" t="s">
        <v>281</v>
      </c>
      <c r="C218" s="52" t="s">
        <v>73</v>
      </c>
      <c r="D218" s="41" t="s">
        <v>2624</v>
      </c>
      <c r="E218" s="45" t="s">
        <v>86</v>
      </c>
      <c r="F218" s="41" t="s">
        <v>2593</v>
      </c>
      <c r="G218" s="52">
        <v>50.0</v>
      </c>
      <c r="H218" s="53" t="s">
        <v>289</v>
      </c>
      <c r="I218" s="53" t="s">
        <v>288</v>
      </c>
      <c r="J218" s="45" t="s">
        <v>86</v>
      </c>
      <c r="K218" s="45" t="s">
        <v>2569</v>
      </c>
      <c r="L218" s="45" t="s">
        <v>2569</v>
      </c>
      <c r="M218" s="45" t="s">
        <v>2569</v>
      </c>
      <c r="N218" s="54" t="s">
        <v>286</v>
      </c>
      <c r="O218" s="54" t="s">
        <v>286</v>
      </c>
      <c r="P218" s="54" t="s">
        <v>286</v>
      </c>
      <c r="Q218" s="54" t="s">
        <v>3062</v>
      </c>
      <c r="R218" s="54"/>
      <c r="S218" s="49"/>
    </row>
    <row r="219">
      <c r="A219" s="50" t="s">
        <v>974</v>
      </c>
      <c r="B219" s="51" t="s">
        <v>973</v>
      </c>
      <c r="C219" s="52" t="s">
        <v>73</v>
      </c>
      <c r="D219" s="41" t="s">
        <v>2580</v>
      </c>
      <c r="E219" s="45" t="s">
        <v>2569</v>
      </c>
      <c r="F219" s="41" t="s">
        <v>2578</v>
      </c>
      <c r="G219" s="52">
        <v>10.0</v>
      </c>
      <c r="H219" s="53" t="s">
        <v>977</v>
      </c>
      <c r="I219" s="53" t="s">
        <v>976</v>
      </c>
      <c r="J219" s="45" t="s">
        <v>86</v>
      </c>
      <c r="K219" s="45" t="s">
        <v>86</v>
      </c>
      <c r="L219" s="45" t="s">
        <v>86</v>
      </c>
      <c r="M219" s="45" t="s">
        <v>86</v>
      </c>
      <c r="N219" s="54"/>
      <c r="O219" s="54"/>
      <c r="P219" s="54"/>
      <c r="Q219" s="54" t="s">
        <v>3063</v>
      </c>
      <c r="R219" s="54"/>
      <c r="S219" s="49"/>
    </row>
    <row r="220">
      <c r="A220" s="50" t="s">
        <v>2319</v>
      </c>
      <c r="B220" s="51" t="s">
        <v>2318</v>
      </c>
      <c r="C220" s="52" t="s">
        <v>73</v>
      </c>
      <c r="D220" s="41" t="s">
        <v>2747</v>
      </c>
      <c r="E220" s="45" t="s">
        <v>86</v>
      </c>
      <c r="F220" s="41" t="s">
        <v>2608</v>
      </c>
      <c r="G220" s="52">
        <v>17.0</v>
      </c>
      <c r="H220" s="53" t="s">
        <v>2323</v>
      </c>
      <c r="I220" s="53" t="s">
        <v>2322</v>
      </c>
      <c r="J220" s="45" t="s">
        <v>86</v>
      </c>
      <c r="K220" s="45" t="s">
        <v>2569</v>
      </c>
      <c r="L220" s="45" t="s">
        <v>2569</v>
      </c>
      <c r="M220" s="45" t="s">
        <v>2569</v>
      </c>
      <c r="N220" s="54" t="s">
        <v>2327</v>
      </c>
      <c r="O220" s="54" t="s">
        <v>2326</v>
      </c>
      <c r="P220" s="54" t="s">
        <v>3064</v>
      </c>
      <c r="Q220" s="54" t="s">
        <v>3065</v>
      </c>
      <c r="R220" s="54" t="s">
        <v>3066</v>
      </c>
      <c r="S220" s="49"/>
    </row>
    <row r="221">
      <c r="A221" s="50" t="s">
        <v>1356</v>
      </c>
      <c r="B221" s="51" t="s">
        <v>1355</v>
      </c>
      <c r="C221" s="52" t="s">
        <v>73</v>
      </c>
      <c r="D221" s="41" t="s">
        <v>3067</v>
      </c>
      <c r="E221" s="45" t="s">
        <v>86</v>
      </c>
      <c r="F221" s="41" t="s">
        <v>2578</v>
      </c>
      <c r="G221" s="52">
        <v>71.0</v>
      </c>
      <c r="H221" s="53" t="s">
        <v>1360</v>
      </c>
      <c r="I221" s="53" t="s">
        <v>1359</v>
      </c>
      <c r="J221" s="45" t="s">
        <v>86</v>
      </c>
      <c r="K221" s="45" t="s">
        <v>86</v>
      </c>
      <c r="L221" s="45" t="s">
        <v>86</v>
      </c>
      <c r="M221" s="45" t="s">
        <v>86</v>
      </c>
      <c r="N221" s="54" t="s">
        <v>137</v>
      </c>
      <c r="O221" s="54" t="s">
        <v>1363</v>
      </c>
      <c r="P221" s="54" t="s">
        <v>1358</v>
      </c>
      <c r="Q221" s="54" t="s">
        <v>3068</v>
      </c>
      <c r="R221" s="54"/>
      <c r="S221" s="49"/>
    </row>
    <row r="222">
      <c r="A222" s="50" t="s">
        <v>440</v>
      </c>
      <c r="B222" s="51" t="s">
        <v>439</v>
      </c>
      <c r="C222" s="52" t="s">
        <v>2667</v>
      </c>
      <c r="D222" s="54"/>
      <c r="E222" s="45" t="s">
        <v>86</v>
      </c>
      <c r="F222" s="54"/>
      <c r="G222" s="52">
        <v>50.0</v>
      </c>
      <c r="H222" s="53" t="s">
        <v>445</v>
      </c>
      <c r="I222" s="53" t="s">
        <v>444</v>
      </c>
      <c r="J222" s="45" t="s">
        <v>2569</v>
      </c>
      <c r="K222" s="45" t="s">
        <v>2569</v>
      </c>
      <c r="L222" s="45" t="s">
        <v>2569</v>
      </c>
      <c r="M222" s="45" t="s">
        <v>2569</v>
      </c>
      <c r="N222" s="54" t="s">
        <v>137</v>
      </c>
      <c r="O222" s="54" t="s">
        <v>137</v>
      </c>
      <c r="P222" s="54" t="s">
        <v>137</v>
      </c>
      <c r="Q222" s="54" t="s">
        <v>3069</v>
      </c>
      <c r="R222" s="54"/>
      <c r="S222" s="49"/>
    </row>
    <row r="223">
      <c r="A223" s="50" t="s">
        <v>382</v>
      </c>
      <c r="B223" s="51" t="s">
        <v>381</v>
      </c>
      <c r="C223" s="52" t="s">
        <v>2667</v>
      </c>
      <c r="D223" s="41" t="s">
        <v>2884</v>
      </c>
      <c r="E223" s="45" t="s">
        <v>2569</v>
      </c>
      <c r="F223" s="41" t="s">
        <v>2593</v>
      </c>
      <c r="G223" s="52">
        <v>21.0</v>
      </c>
      <c r="H223" s="53" t="s">
        <v>385</v>
      </c>
      <c r="I223" s="53" t="s">
        <v>384</v>
      </c>
      <c r="J223" s="45" t="s">
        <v>86</v>
      </c>
      <c r="K223" s="45" t="s">
        <v>86</v>
      </c>
      <c r="L223" s="45" t="s">
        <v>86</v>
      </c>
      <c r="M223" s="45" t="s">
        <v>86</v>
      </c>
      <c r="N223" s="54" t="s">
        <v>3070</v>
      </c>
      <c r="O223" s="54" t="s">
        <v>351</v>
      </c>
      <c r="P223" s="54" t="s">
        <v>345</v>
      </c>
      <c r="Q223" s="54" t="s">
        <v>3071</v>
      </c>
      <c r="R223" s="54"/>
      <c r="S223" s="49"/>
    </row>
    <row r="224">
      <c r="A224" s="50" t="s">
        <v>1814</v>
      </c>
      <c r="B224" s="51" t="s">
        <v>1813</v>
      </c>
      <c r="C224" s="52" t="s">
        <v>73</v>
      </c>
      <c r="D224" s="41" t="s">
        <v>2820</v>
      </c>
      <c r="E224" s="45" t="s">
        <v>86</v>
      </c>
      <c r="F224" s="41" t="s">
        <v>2593</v>
      </c>
      <c r="G224" s="52">
        <v>48.0</v>
      </c>
      <c r="H224" s="53" t="s">
        <v>1817</v>
      </c>
      <c r="I224" s="53" t="s">
        <v>1816</v>
      </c>
      <c r="J224" s="45" t="s">
        <v>86</v>
      </c>
      <c r="K224" s="45" t="s">
        <v>86</v>
      </c>
      <c r="L224" s="45" t="s">
        <v>86</v>
      </c>
      <c r="M224" s="45" t="s">
        <v>86</v>
      </c>
      <c r="N224" s="54" t="s">
        <v>137</v>
      </c>
      <c r="O224" s="54" t="s">
        <v>137</v>
      </c>
      <c r="P224" s="54" t="s">
        <v>137</v>
      </c>
      <c r="Q224" s="54"/>
      <c r="R224" s="54"/>
      <c r="S224" s="49"/>
    </row>
    <row r="225">
      <c r="A225" s="50" t="s">
        <v>2411</v>
      </c>
      <c r="B225" s="51" t="s">
        <v>2393</v>
      </c>
      <c r="C225" s="52" t="s">
        <v>2667</v>
      </c>
      <c r="D225" s="50" t="s">
        <v>2667</v>
      </c>
      <c r="E225" s="45" t="s">
        <v>2569</v>
      </c>
      <c r="F225" s="41" t="s">
        <v>2608</v>
      </c>
      <c r="G225" s="52">
        <v>17.0</v>
      </c>
      <c r="H225" s="53" t="s">
        <v>2414</v>
      </c>
      <c r="I225" s="53" t="s">
        <v>2413</v>
      </c>
      <c r="J225" s="45" t="s">
        <v>2569</v>
      </c>
      <c r="K225" s="45" t="s">
        <v>2569</v>
      </c>
      <c r="L225" s="45" t="s">
        <v>2569</v>
      </c>
      <c r="M225" s="45" t="s">
        <v>2569</v>
      </c>
      <c r="N225" s="54" t="s">
        <v>2400</v>
      </c>
      <c r="O225" s="54"/>
      <c r="P225" s="54" t="s">
        <v>2394</v>
      </c>
      <c r="Q225" s="54" t="s">
        <v>3072</v>
      </c>
      <c r="R225" s="54"/>
      <c r="S225" s="49"/>
    </row>
    <row r="226">
      <c r="A226" s="50" t="s">
        <v>2392</v>
      </c>
      <c r="B226" s="51" t="s">
        <v>2391</v>
      </c>
      <c r="C226" s="52" t="s">
        <v>2667</v>
      </c>
      <c r="D226" s="50" t="s">
        <v>2667</v>
      </c>
      <c r="E226" s="45" t="s">
        <v>2569</v>
      </c>
      <c r="F226" s="41" t="s">
        <v>2608</v>
      </c>
      <c r="G226" s="52">
        <v>16.0</v>
      </c>
      <c r="H226" s="53" t="s">
        <v>2396</v>
      </c>
      <c r="I226" s="53" t="s">
        <v>2395</v>
      </c>
      <c r="J226" s="45" t="s">
        <v>2569</v>
      </c>
      <c r="K226" s="45" t="s">
        <v>2569</v>
      </c>
      <c r="L226" s="45" t="s">
        <v>2569</v>
      </c>
      <c r="M226" s="45" t="s">
        <v>2569</v>
      </c>
      <c r="N226" s="54" t="s">
        <v>2400</v>
      </c>
      <c r="O226" s="54" t="s">
        <v>2399</v>
      </c>
      <c r="P226" s="54" t="s">
        <v>2394</v>
      </c>
      <c r="Q226" s="54" t="s">
        <v>3073</v>
      </c>
      <c r="R226" s="54"/>
      <c r="S226" s="49"/>
    </row>
    <row r="227">
      <c r="A227" s="50" t="s">
        <v>1807</v>
      </c>
      <c r="B227" s="51" t="s">
        <v>1806</v>
      </c>
      <c r="C227" s="52" t="s">
        <v>108</v>
      </c>
      <c r="D227" s="41" t="s">
        <v>2573</v>
      </c>
      <c r="E227" s="45" t="s">
        <v>2569</v>
      </c>
      <c r="F227" s="41" t="s">
        <v>2590</v>
      </c>
      <c r="G227" s="52">
        <v>33.0</v>
      </c>
      <c r="H227" s="53" t="s">
        <v>1809</v>
      </c>
      <c r="I227" s="53" t="s">
        <v>1807</v>
      </c>
      <c r="J227" s="45" t="s">
        <v>2569</v>
      </c>
      <c r="K227" s="45" t="s">
        <v>2569</v>
      </c>
      <c r="L227" s="45" t="s">
        <v>2569</v>
      </c>
      <c r="M227" s="45" t="s">
        <v>2569</v>
      </c>
      <c r="N227" s="54" t="s">
        <v>137</v>
      </c>
      <c r="O227" s="54" t="s">
        <v>137</v>
      </c>
      <c r="P227" s="54" t="s">
        <v>137</v>
      </c>
      <c r="Q227" s="54" t="s">
        <v>3074</v>
      </c>
      <c r="R227" s="54"/>
      <c r="S227" s="49"/>
    </row>
    <row r="228">
      <c r="A228" s="50" t="s">
        <v>1428</v>
      </c>
      <c r="B228" s="51" t="s">
        <v>1427</v>
      </c>
      <c r="C228" s="52" t="s">
        <v>108</v>
      </c>
      <c r="D228" s="41" t="s">
        <v>2573</v>
      </c>
      <c r="E228" s="45" t="s">
        <v>2569</v>
      </c>
      <c r="F228" s="41" t="s">
        <v>2574</v>
      </c>
      <c r="G228" s="52">
        <v>25.0</v>
      </c>
      <c r="H228" s="53" t="s">
        <v>1430</v>
      </c>
      <c r="I228" s="53" t="s">
        <v>1415</v>
      </c>
      <c r="J228" s="45" t="s">
        <v>86</v>
      </c>
      <c r="K228" s="45" t="s">
        <v>86</v>
      </c>
      <c r="L228" s="45" t="s">
        <v>86</v>
      </c>
      <c r="M228" s="45" t="s">
        <v>86</v>
      </c>
      <c r="N228" s="54" t="s">
        <v>210</v>
      </c>
      <c r="O228" s="54" t="s">
        <v>2727</v>
      </c>
      <c r="P228" s="54" t="s">
        <v>1429</v>
      </c>
      <c r="Q228" s="54" t="s">
        <v>3075</v>
      </c>
      <c r="R228" s="54"/>
      <c r="S228" s="49"/>
    </row>
    <row r="229">
      <c r="A229" s="50" t="s">
        <v>1217</v>
      </c>
      <c r="B229" s="51" t="s">
        <v>1216</v>
      </c>
      <c r="C229" s="52" t="s">
        <v>108</v>
      </c>
      <c r="D229" s="41" t="s">
        <v>2826</v>
      </c>
      <c r="E229" s="45" t="s">
        <v>86</v>
      </c>
      <c r="F229" s="41" t="s">
        <v>2590</v>
      </c>
      <c r="G229" s="52">
        <v>30.0</v>
      </c>
      <c r="H229" s="53" t="s">
        <v>1220</v>
      </c>
      <c r="I229" s="53"/>
      <c r="J229" s="45" t="s">
        <v>2569</v>
      </c>
      <c r="K229" s="45" t="s">
        <v>2569</v>
      </c>
      <c r="L229" s="45" t="s">
        <v>2569</v>
      </c>
      <c r="M229" s="45" t="s">
        <v>2569</v>
      </c>
      <c r="N229" s="54" t="s">
        <v>1223</v>
      </c>
      <c r="O229" s="54"/>
      <c r="P229" s="54"/>
      <c r="Q229" s="54" t="s">
        <v>3076</v>
      </c>
      <c r="R229" s="54" t="s">
        <v>3066</v>
      </c>
      <c r="S229" s="49"/>
    </row>
    <row r="230">
      <c r="A230" s="50" t="s">
        <v>3077</v>
      </c>
      <c r="B230" s="51" t="s">
        <v>3078</v>
      </c>
      <c r="C230" s="52" t="s">
        <v>108</v>
      </c>
      <c r="D230" s="54"/>
      <c r="E230" s="45" t="s">
        <v>2569</v>
      </c>
      <c r="F230" s="54"/>
      <c r="G230" s="52">
        <v>30.0</v>
      </c>
      <c r="H230" s="46" t="s">
        <v>3079</v>
      </c>
      <c r="I230" s="53"/>
      <c r="J230" s="45" t="s">
        <v>86</v>
      </c>
      <c r="K230" s="45" t="s">
        <v>2569</v>
      </c>
      <c r="L230" s="45" t="s">
        <v>2569</v>
      </c>
      <c r="M230" s="45" t="s">
        <v>2569</v>
      </c>
      <c r="N230" s="54" t="s">
        <v>1223</v>
      </c>
      <c r="O230" s="54"/>
      <c r="P230" s="54"/>
      <c r="Q230" s="54"/>
      <c r="R230" s="54" t="s">
        <v>3066</v>
      </c>
      <c r="S230" s="49"/>
    </row>
    <row r="231">
      <c r="A231" s="50" t="s">
        <v>2492</v>
      </c>
      <c r="B231" s="51" t="s">
        <v>2332</v>
      </c>
      <c r="C231" s="52" t="s">
        <v>73</v>
      </c>
      <c r="D231" s="41" t="s">
        <v>2589</v>
      </c>
      <c r="E231" s="45" t="s">
        <v>2569</v>
      </c>
      <c r="F231" s="41" t="s">
        <v>2593</v>
      </c>
      <c r="G231" s="52">
        <v>18.0</v>
      </c>
      <c r="H231" s="53" t="s">
        <v>2495</v>
      </c>
      <c r="I231" s="53"/>
      <c r="J231" s="45" t="s">
        <v>86</v>
      </c>
      <c r="K231" s="45" t="s">
        <v>2569</v>
      </c>
      <c r="L231" s="45" t="s">
        <v>2569</v>
      </c>
      <c r="M231" s="45" t="s">
        <v>2569</v>
      </c>
      <c r="N231" s="54"/>
      <c r="O231" s="54"/>
      <c r="P231" s="54"/>
      <c r="Q231" s="54"/>
      <c r="R231" s="54" t="s">
        <v>3007</v>
      </c>
      <c r="S231" s="49"/>
    </row>
    <row r="232">
      <c r="A232" s="50" t="s">
        <v>2330</v>
      </c>
      <c r="B232" s="51" t="s">
        <v>2329</v>
      </c>
      <c r="C232" s="52" t="s">
        <v>73</v>
      </c>
      <c r="D232" s="41" t="s">
        <v>2589</v>
      </c>
      <c r="E232" s="45" t="s">
        <v>2569</v>
      </c>
      <c r="F232" s="41" t="s">
        <v>2590</v>
      </c>
      <c r="G232" s="52">
        <v>22.0</v>
      </c>
      <c r="H232" s="53" t="s">
        <v>2333</v>
      </c>
      <c r="I232" s="53"/>
      <c r="J232" s="45" t="s">
        <v>86</v>
      </c>
      <c r="K232" s="45" t="s">
        <v>2569</v>
      </c>
      <c r="L232" s="45" t="s">
        <v>2569</v>
      </c>
      <c r="M232" s="45" t="s">
        <v>2569</v>
      </c>
      <c r="N232" s="54"/>
      <c r="O232" s="54"/>
      <c r="P232" s="54"/>
      <c r="Q232" s="54" t="s">
        <v>3080</v>
      </c>
      <c r="R232" s="54"/>
      <c r="S232" s="49"/>
    </row>
    <row r="233">
      <c r="A233" s="50" t="s">
        <v>233</v>
      </c>
      <c r="B233" s="51" t="s">
        <v>232</v>
      </c>
      <c r="C233" s="52" t="s">
        <v>2667</v>
      </c>
      <c r="D233" s="41" t="s">
        <v>3081</v>
      </c>
      <c r="E233" s="45" t="s">
        <v>2569</v>
      </c>
      <c r="F233" s="41" t="s">
        <v>2593</v>
      </c>
      <c r="G233" s="52">
        <v>40.0</v>
      </c>
      <c r="H233" s="53" t="s">
        <v>238</v>
      </c>
      <c r="I233" s="53" t="s">
        <v>237</v>
      </c>
      <c r="J233" s="45" t="s">
        <v>86</v>
      </c>
      <c r="K233" s="45" t="s">
        <v>86</v>
      </c>
      <c r="L233" s="45" t="s">
        <v>86</v>
      </c>
      <c r="M233" s="45" t="s">
        <v>86</v>
      </c>
      <c r="N233" s="54" t="s">
        <v>3082</v>
      </c>
      <c r="O233" s="54" t="s">
        <v>241</v>
      </c>
      <c r="P233" s="54"/>
      <c r="Q233" s="54" t="s">
        <v>3083</v>
      </c>
      <c r="R233" s="54"/>
      <c r="S233" s="49"/>
    </row>
    <row r="234">
      <c r="A234" s="50" t="s">
        <v>2501</v>
      </c>
      <c r="B234" s="51" t="s">
        <v>2500</v>
      </c>
      <c r="C234" s="52" t="s">
        <v>73</v>
      </c>
      <c r="D234" s="41" t="s">
        <v>2589</v>
      </c>
      <c r="E234" s="45" t="s">
        <v>2569</v>
      </c>
      <c r="F234" s="41" t="s">
        <v>2593</v>
      </c>
      <c r="G234" s="52">
        <v>38.0</v>
      </c>
      <c r="H234" s="53" t="s">
        <v>2505</v>
      </c>
      <c r="I234" s="53" t="s">
        <v>2504</v>
      </c>
      <c r="J234" s="45" t="s">
        <v>86</v>
      </c>
      <c r="K234" s="45" t="s">
        <v>2569</v>
      </c>
      <c r="L234" s="45" t="s">
        <v>2569</v>
      </c>
      <c r="M234" s="45" t="s">
        <v>2569</v>
      </c>
      <c r="N234" s="54"/>
      <c r="O234" s="54"/>
      <c r="P234" s="54"/>
      <c r="Q234" s="54" t="s">
        <v>3084</v>
      </c>
      <c r="R234" s="54" t="s">
        <v>2606</v>
      </c>
      <c r="S234" s="49"/>
    </row>
    <row r="235">
      <c r="A235" s="50" t="s">
        <v>2348</v>
      </c>
      <c r="B235" s="51" t="s">
        <v>2347</v>
      </c>
      <c r="C235" s="52" t="s">
        <v>2667</v>
      </c>
      <c r="D235" s="41" t="s">
        <v>2901</v>
      </c>
      <c r="E235" s="45" t="s">
        <v>86</v>
      </c>
      <c r="F235" s="41" t="s">
        <v>2590</v>
      </c>
      <c r="G235" s="52">
        <v>32.0</v>
      </c>
      <c r="H235" s="53" t="s">
        <v>2353</v>
      </c>
      <c r="I235" s="53" t="s">
        <v>2352</v>
      </c>
      <c r="J235" s="45" t="s">
        <v>2569</v>
      </c>
      <c r="K235" s="45" t="s">
        <v>2569</v>
      </c>
      <c r="L235" s="45" t="s">
        <v>2569</v>
      </c>
      <c r="M235" s="45" t="s">
        <v>2569</v>
      </c>
      <c r="N235" s="54"/>
      <c r="O235" s="54"/>
      <c r="P235" s="54"/>
      <c r="Q235" s="54"/>
      <c r="R235" s="54"/>
      <c r="S235" s="49"/>
    </row>
    <row r="236">
      <c r="A236" s="50" t="s">
        <v>2338</v>
      </c>
      <c r="B236" s="51" t="s">
        <v>2337</v>
      </c>
      <c r="C236" s="52" t="s">
        <v>2667</v>
      </c>
      <c r="D236" s="50" t="s">
        <v>108</v>
      </c>
      <c r="E236" s="45" t="s">
        <v>86</v>
      </c>
      <c r="F236" s="41" t="s">
        <v>2590</v>
      </c>
      <c r="G236" s="52">
        <v>30.0</v>
      </c>
      <c r="H236" s="53" t="s">
        <v>2343</v>
      </c>
      <c r="I236" s="53" t="s">
        <v>2342</v>
      </c>
      <c r="J236" s="45" t="s">
        <v>2569</v>
      </c>
      <c r="K236" s="45" t="s">
        <v>2569</v>
      </c>
      <c r="L236" s="45" t="s">
        <v>2569</v>
      </c>
      <c r="M236" s="45" t="s">
        <v>2569</v>
      </c>
      <c r="N236" s="54"/>
      <c r="O236" s="54"/>
      <c r="P236" s="54"/>
      <c r="Q236" s="54"/>
      <c r="R236" s="54"/>
      <c r="S236" s="49"/>
    </row>
    <row r="237">
      <c r="A237" s="50" t="s">
        <v>1798</v>
      </c>
      <c r="B237" s="51" t="s">
        <v>1797</v>
      </c>
      <c r="C237" s="52" t="s">
        <v>108</v>
      </c>
      <c r="D237" s="41" t="s">
        <v>2615</v>
      </c>
      <c r="E237" s="45" t="s">
        <v>2569</v>
      </c>
      <c r="F237" s="41" t="s">
        <v>2578</v>
      </c>
      <c r="G237" s="52">
        <v>25.0</v>
      </c>
      <c r="H237" s="53" t="s">
        <v>1800</v>
      </c>
      <c r="I237" s="53" t="s">
        <v>1782</v>
      </c>
      <c r="J237" s="45" t="s">
        <v>2569</v>
      </c>
      <c r="K237" s="45" t="s">
        <v>2569</v>
      </c>
      <c r="L237" s="45" t="s">
        <v>2569</v>
      </c>
      <c r="M237" s="45" t="s">
        <v>2569</v>
      </c>
      <c r="N237" s="54" t="s">
        <v>1804</v>
      </c>
      <c r="O237" s="54" t="s">
        <v>1803</v>
      </c>
      <c r="P237" s="54" t="s">
        <v>1799</v>
      </c>
      <c r="Q237" s="54" t="s">
        <v>3085</v>
      </c>
      <c r="R237" s="54"/>
      <c r="S237" s="49"/>
    </row>
    <row r="238">
      <c r="A238" s="50" t="s">
        <v>1788</v>
      </c>
      <c r="B238" s="51" t="s">
        <v>1787</v>
      </c>
      <c r="C238" s="52" t="s">
        <v>108</v>
      </c>
      <c r="D238" s="54"/>
      <c r="E238" s="45" t="s">
        <v>2569</v>
      </c>
      <c r="F238" s="54"/>
      <c r="G238" s="52">
        <v>49.0</v>
      </c>
      <c r="H238" s="53" t="s">
        <v>1791</v>
      </c>
      <c r="I238" s="53" t="s">
        <v>1774</v>
      </c>
      <c r="J238" s="45" t="s">
        <v>86</v>
      </c>
      <c r="K238" s="45" t="s">
        <v>86</v>
      </c>
      <c r="L238" s="45" t="s">
        <v>86</v>
      </c>
      <c r="M238" s="45" t="s">
        <v>86</v>
      </c>
      <c r="N238" s="54" t="s">
        <v>1795</v>
      </c>
      <c r="O238" s="54" t="s">
        <v>2727</v>
      </c>
      <c r="P238" s="54" t="s">
        <v>3086</v>
      </c>
      <c r="Q238" s="54" t="s">
        <v>3087</v>
      </c>
      <c r="R238" s="54"/>
      <c r="S238" s="49"/>
    </row>
    <row r="239">
      <c r="A239" s="50" t="s">
        <v>450</v>
      </c>
      <c r="B239" s="51" t="s">
        <v>449</v>
      </c>
      <c r="C239" s="52" t="s">
        <v>73</v>
      </c>
      <c r="D239" s="41" t="s">
        <v>2747</v>
      </c>
      <c r="E239" s="45" t="s">
        <v>86</v>
      </c>
      <c r="F239" s="41" t="s">
        <v>2574</v>
      </c>
      <c r="G239" s="52">
        <v>14.0</v>
      </c>
      <c r="H239" s="53" t="s">
        <v>457</v>
      </c>
      <c r="I239" s="53" t="s">
        <v>456</v>
      </c>
      <c r="J239" s="45" t="s">
        <v>86</v>
      </c>
      <c r="K239" s="45" t="s">
        <v>86</v>
      </c>
      <c r="L239" s="45" t="s">
        <v>86</v>
      </c>
      <c r="M239" s="45" t="s">
        <v>86</v>
      </c>
      <c r="N239" s="54"/>
      <c r="O239" s="54" t="s">
        <v>3088</v>
      </c>
      <c r="P239" s="54" t="s">
        <v>454</v>
      </c>
      <c r="Q239" s="54" t="s">
        <v>3089</v>
      </c>
      <c r="R239" s="54"/>
      <c r="S239" s="49"/>
    </row>
    <row r="240">
      <c r="A240" s="50" t="s">
        <v>3090</v>
      </c>
      <c r="B240" s="51" t="s">
        <v>3091</v>
      </c>
      <c r="C240" s="52" t="s">
        <v>108</v>
      </c>
      <c r="D240" s="41" t="s">
        <v>2808</v>
      </c>
      <c r="E240" s="45" t="s">
        <v>86</v>
      </c>
      <c r="F240" s="41" t="s">
        <v>2608</v>
      </c>
      <c r="G240" s="52">
        <v>18.0</v>
      </c>
      <c r="H240" s="53" t="s">
        <v>3092</v>
      </c>
      <c r="I240" s="53" t="s">
        <v>3093</v>
      </c>
      <c r="J240" s="45" t="s">
        <v>86</v>
      </c>
      <c r="K240" s="45" t="s">
        <v>2569</v>
      </c>
      <c r="L240" s="45" t="s">
        <v>2569</v>
      </c>
      <c r="M240" s="45" t="s">
        <v>2569</v>
      </c>
      <c r="N240" s="54"/>
      <c r="O240" s="54"/>
      <c r="P240" s="54" t="s">
        <v>2262</v>
      </c>
      <c r="Q240" s="54"/>
      <c r="R240" s="54"/>
      <c r="S240" s="49"/>
    </row>
    <row r="241">
      <c r="A241" s="50" t="s">
        <v>1780</v>
      </c>
      <c r="B241" s="51" t="s">
        <v>1779</v>
      </c>
      <c r="C241" s="52" t="s">
        <v>73</v>
      </c>
      <c r="D241" s="41" t="s">
        <v>2577</v>
      </c>
      <c r="E241" s="45" t="s">
        <v>86</v>
      </c>
      <c r="F241" s="41" t="s">
        <v>2593</v>
      </c>
      <c r="G241" s="52">
        <v>35.0</v>
      </c>
      <c r="H241" s="53" t="s">
        <v>1783</v>
      </c>
      <c r="I241" s="53" t="s">
        <v>1782</v>
      </c>
      <c r="J241" s="45" t="s">
        <v>2569</v>
      </c>
      <c r="K241" s="45" t="s">
        <v>2569</v>
      </c>
      <c r="L241" s="45" t="s">
        <v>2569</v>
      </c>
      <c r="M241" s="45" t="s">
        <v>2569</v>
      </c>
      <c r="N241" s="54" t="s">
        <v>137</v>
      </c>
      <c r="O241" s="54" t="s">
        <v>137</v>
      </c>
      <c r="P241" s="54" t="s">
        <v>137</v>
      </c>
      <c r="Q241" s="54"/>
      <c r="R241" s="54"/>
      <c r="S241" s="49"/>
    </row>
    <row r="242">
      <c r="A242" s="50" t="s">
        <v>1772</v>
      </c>
      <c r="B242" s="51" t="s">
        <v>1771</v>
      </c>
      <c r="C242" s="52" t="s">
        <v>73</v>
      </c>
      <c r="D242" s="41" t="s">
        <v>2589</v>
      </c>
      <c r="E242" s="45" t="s">
        <v>2569</v>
      </c>
      <c r="F242" s="41" t="s">
        <v>2590</v>
      </c>
      <c r="G242" s="52">
        <v>47.0</v>
      </c>
      <c r="H242" s="53" t="s">
        <v>1775</v>
      </c>
      <c r="I242" s="53" t="s">
        <v>1774</v>
      </c>
      <c r="J242" s="45" t="s">
        <v>2569</v>
      </c>
      <c r="K242" s="45" t="s">
        <v>2569</v>
      </c>
      <c r="L242" s="45" t="s">
        <v>2569</v>
      </c>
      <c r="M242" s="45" t="s">
        <v>2569</v>
      </c>
      <c r="N242" s="54" t="s">
        <v>137</v>
      </c>
      <c r="O242" s="54" t="s">
        <v>143</v>
      </c>
      <c r="P242" s="54" t="s">
        <v>1358</v>
      </c>
      <c r="Q242" s="54" t="s">
        <v>3094</v>
      </c>
      <c r="R242" s="54"/>
      <c r="S242" s="49"/>
    </row>
    <row r="243">
      <c r="A243" s="50" t="s">
        <v>3095</v>
      </c>
      <c r="B243" s="51" t="s">
        <v>3096</v>
      </c>
      <c r="C243" s="52" t="s">
        <v>108</v>
      </c>
      <c r="D243" s="41" t="s">
        <v>2808</v>
      </c>
      <c r="E243" s="45" t="s">
        <v>2569</v>
      </c>
      <c r="F243" s="41" t="s">
        <v>2574</v>
      </c>
      <c r="G243" s="52">
        <v>17.0</v>
      </c>
      <c r="H243" s="53" t="s">
        <v>3097</v>
      </c>
      <c r="I243" s="53" t="s">
        <v>3098</v>
      </c>
      <c r="J243" s="45" t="s">
        <v>2569</v>
      </c>
      <c r="K243" s="45" t="s">
        <v>2569</v>
      </c>
      <c r="L243" s="45" t="s">
        <v>2569</v>
      </c>
      <c r="M243" s="45" t="s">
        <v>2569</v>
      </c>
      <c r="N243" s="54"/>
      <c r="O243" s="54"/>
      <c r="P243" s="54" t="s">
        <v>2262</v>
      </c>
      <c r="Q243" s="54" t="s">
        <v>3099</v>
      </c>
      <c r="R243" s="54"/>
      <c r="S243" s="49"/>
    </row>
    <row r="244">
      <c r="A244" s="50" t="s">
        <v>1064</v>
      </c>
      <c r="B244" s="51" t="s">
        <v>1063</v>
      </c>
      <c r="C244" s="52" t="s">
        <v>108</v>
      </c>
      <c r="D244" s="41" t="s">
        <v>2630</v>
      </c>
      <c r="E244" s="45" t="s">
        <v>86</v>
      </c>
      <c r="F244" s="41" t="s">
        <v>2574</v>
      </c>
      <c r="G244" s="52">
        <v>21.0</v>
      </c>
      <c r="H244" s="53" t="s">
        <v>1068</v>
      </c>
      <c r="I244" s="53" t="s">
        <v>1046</v>
      </c>
      <c r="J244" s="45" t="s">
        <v>86</v>
      </c>
      <c r="K244" s="45" t="s">
        <v>2569</v>
      </c>
      <c r="L244" s="45" t="s">
        <v>2569</v>
      </c>
      <c r="M244" s="45" t="s">
        <v>2569</v>
      </c>
      <c r="N244" s="54" t="s">
        <v>1072</v>
      </c>
      <c r="O244" s="54" t="s">
        <v>3100</v>
      </c>
      <c r="P244" s="54" t="s">
        <v>1067</v>
      </c>
      <c r="Q244" s="54"/>
      <c r="R244" s="54" t="s">
        <v>2789</v>
      </c>
      <c r="S244" s="49"/>
    </row>
    <row r="245">
      <c r="A245" s="50" t="s">
        <v>1209</v>
      </c>
      <c r="B245" s="51" t="s">
        <v>1208</v>
      </c>
      <c r="C245" s="52" t="s">
        <v>108</v>
      </c>
      <c r="D245" s="41" t="s">
        <v>2630</v>
      </c>
      <c r="E245" s="45" t="s">
        <v>86</v>
      </c>
      <c r="F245" s="41" t="s">
        <v>2574</v>
      </c>
      <c r="G245" s="52">
        <v>16.0</v>
      </c>
      <c r="H245" s="53" t="s">
        <v>1212</v>
      </c>
      <c r="I245" s="53" t="s">
        <v>1211</v>
      </c>
      <c r="J245" s="45" t="s">
        <v>86</v>
      </c>
      <c r="K245" s="45" t="s">
        <v>2569</v>
      </c>
      <c r="L245" s="45" t="s">
        <v>2569</v>
      </c>
      <c r="M245" s="45" t="s">
        <v>2569</v>
      </c>
      <c r="N245" s="54" t="s">
        <v>1072</v>
      </c>
      <c r="O245" s="54" t="s">
        <v>3100</v>
      </c>
      <c r="P245" s="54" t="s">
        <v>1067</v>
      </c>
      <c r="Q245" s="54" t="s">
        <v>3101</v>
      </c>
      <c r="R245" s="54" t="s">
        <v>2789</v>
      </c>
      <c r="S245" s="49"/>
    </row>
    <row r="246">
      <c r="A246" s="50" t="s">
        <v>1762</v>
      </c>
      <c r="B246" s="51" t="s">
        <v>1761</v>
      </c>
      <c r="C246" s="52" t="s">
        <v>2693</v>
      </c>
      <c r="D246" s="41" t="s">
        <v>2624</v>
      </c>
      <c r="E246" s="45" t="s">
        <v>86</v>
      </c>
      <c r="F246" s="41" t="s">
        <v>2593</v>
      </c>
      <c r="G246" s="52">
        <v>36.0</v>
      </c>
      <c r="H246" s="53" t="s">
        <v>1766</v>
      </c>
      <c r="I246" s="53" t="s">
        <v>1765</v>
      </c>
      <c r="J246" s="45" t="s">
        <v>86</v>
      </c>
      <c r="K246" s="45" t="s">
        <v>86</v>
      </c>
      <c r="L246" s="45" t="s">
        <v>86</v>
      </c>
      <c r="M246" s="45" t="s">
        <v>86</v>
      </c>
      <c r="N246" s="54" t="s">
        <v>137</v>
      </c>
      <c r="O246" s="54" t="s">
        <v>3102</v>
      </c>
      <c r="P246" s="54" t="s">
        <v>1764</v>
      </c>
      <c r="Q246" s="54"/>
      <c r="R246" s="54"/>
      <c r="S246" s="49"/>
    </row>
    <row r="247">
      <c r="A247" s="50" t="s">
        <v>3103</v>
      </c>
      <c r="B247" s="51" t="s">
        <v>3104</v>
      </c>
      <c r="C247" s="52" t="s">
        <v>2667</v>
      </c>
      <c r="D247" s="41" t="s">
        <v>2808</v>
      </c>
      <c r="E247" s="45" t="s">
        <v>2569</v>
      </c>
      <c r="F247" s="41" t="s">
        <v>2574</v>
      </c>
      <c r="G247" s="52">
        <v>24.0</v>
      </c>
      <c r="H247" s="53" t="s">
        <v>3105</v>
      </c>
      <c r="I247" s="53" t="s">
        <v>3106</v>
      </c>
      <c r="J247" s="45" t="s">
        <v>2569</v>
      </c>
      <c r="K247" s="45" t="s">
        <v>2569</v>
      </c>
      <c r="L247" s="45" t="s">
        <v>2569</v>
      </c>
      <c r="M247" s="45" t="s">
        <v>2569</v>
      </c>
      <c r="N247" s="54"/>
      <c r="O247" s="54"/>
      <c r="P247" s="54" t="s">
        <v>3107</v>
      </c>
      <c r="Q247" s="54" t="s">
        <v>3108</v>
      </c>
      <c r="R247" s="54"/>
      <c r="S247" s="49"/>
    </row>
    <row r="248">
      <c r="A248" s="50" t="s">
        <v>1756</v>
      </c>
      <c r="B248" s="51" t="s">
        <v>1755</v>
      </c>
      <c r="C248" s="52" t="s">
        <v>108</v>
      </c>
      <c r="D248" s="50" t="s">
        <v>108</v>
      </c>
      <c r="E248" s="45" t="s">
        <v>86</v>
      </c>
      <c r="F248" s="41" t="s">
        <v>110</v>
      </c>
      <c r="G248" s="52">
        <v>38.0</v>
      </c>
      <c r="H248" s="53" t="s">
        <v>1745</v>
      </c>
      <c r="I248" s="53" t="s">
        <v>1744</v>
      </c>
      <c r="J248" s="45" t="s">
        <v>86</v>
      </c>
      <c r="K248" s="45" t="s">
        <v>2569</v>
      </c>
      <c r="L248" s="45" t="s">
        <v>2569</v>
      </c>
      <c r="M248" s="45" t="s">
        <v>2569</v>
      </c>
      <c r="N248" s="54" t="s">
        <v>3109</v>
      </c>
      <c r="O248" s="54" t="s">
        <v>3100</v>
      </c>
      <c r="P248" s="54" t="s">
        <v>1605</v>
      </c>
      <c r="Q248" s="54" t="s">
        <v>3110</v>
      </c>
      <c r="R248" s="54"/>
      <c r="S248" s="49"/>
    </row>
    <row r="249">
      <c r="A249" s="50" t="s">
        <v>1750</v>
      </c>
      <c r="B249" s="51" t="s">
        <v>1749</v>
      </c>
      <c r="C249" s="52" t="s">
        <v>2667</v>
      </c>
      <c r="D249" s="50" t="s">
        <v>2667</v>
      </c>
      <c r="E249" s="45" t="s">
        <v>2569</v>
      </c>
      <c r="F249" s="41" t="s">
        <v>2608</v>
      </c>
      <c r="G249" s="52">
        <v>30.0</v>
      </c>
      <c r="H249" s="53" t="s">
        <v>1752</v>
      </c>
      <c r="I249" s="53" t="s">
        <v>1734</v>
      </c>
      <c r="J249" s="45" t="s">
        <v>86</v>
      </c>
      <c r="K249" s="45" t="s">
        <v>86</v>
      </c>
      <c r="L249" s="45" t="s">
        <v>86</v>
      </c>
      <c r="M249" s="45" t="s">
        <v>86</v>
      </c>
      <c r="N249" s="54" t="s">
        <v>137</v>
      </c>
      <c r="O249" s="54" t="s">
        <v>137</v>
      </c>
      <c r="P249" s="54" t="s">
        <v>137</v>
      </c>
      <c r="Q249" s="54"/>
      <c r="R249" s="54"/>
      <c r="S249" s="49"/>
    </row>
    <row r="250">
      <c r="A250" s="50" t="s">
        <v>1742</v>
      </c>
      <c r="B250" s="51" t="s">
        <v>1741</v>
      </c>
      <c r="C250" s="52" t="s">
        <v>108</v>
      </c>
      <c r="D250" s="41" t="s">
        <v>2829</v>
      </c>
      <c r="E250" s="45" t="s">
        <v>86</v>
      </c>
      <c r="F250" s="41" t="s">
        <v>2578</v>
      </c>
      <c r="G250" s="52">
        <v>30.0</v>
      </c>
      <c r="H250" s="53" t="s">
        <v>1745</v>
      </c>
      <c r="I250" s="53" t="s">
        <v>1744</v>
      </c>
      <c r="J250" s="45" t="s">
        <v>86</v>
      </c>
      <c r="K250" s="45" t="s">
        <v>86</v>
      </c>
      <c r="L250" s="45" t="s">
        <v>86</v>
      </c>
      <c r="M250" s="45" t="s">
        <v>86</v>
      </c>
      <c r="N250" s="54" t="s">
        <v>137</v>
      </c>
      <c r="O250" s="54" t="s">
        <v>137</v>
      </c>
      <c r="P250" s="54" t="s">
        <v>137</v>
      </c>
      <c r="Q250" s="54" t="s">
        <v>3110</v>
      </c>
      <c r="R250" s="54"/>
      <c r="S250" s="49"/>
    </row>
    <row r="251">
      <c r="A251" s="50" t="s">
        <v>898</v>
      </c>
      <c r="B251" s="51" t="s">
        <v>897</v>
      </c>
      <c r="C251" s="52" t="s">
        <v>73</v>
      </c>
      <c r="D251" s="41" t="s">
        <v>3111</v>
      </c>
      <c r="E251" s="45" t="s">
        <v>86</v>
      </c>
      <c r="F251" s="41" t="s">
        <v>2593</v>
      </c>
      <c r="G251" s="52">
        <v>42.0</v>
      </c>
      <c r="H251" s="53" t="s">
        <v>901</v>
      </c>
      <c r="I251" s="53" t="s">
        <v>871</v>
      </c>
      <c r="J251" s="45" t="s">
        <v>86</v>
      </c>
      <c r="K251" s="45" t="s">
        <v>86</v>
      </c>
      <c r="L251" s="45" t="s">
        <v>86</v>
      </c>
      <c r="M251" s="45" t="s">
        <v>86</v>
      </c>
      <c r="N251" s="54" t="s">
        <v>905</v>
      </c>
      <c r="O251" s="54" t="s">
        <v>904</v>
      </c>
      <c r="P251" s="54" t="s">
        <v>900</v>
      </c>
      <c r="Q251" s="54" t="s">
        <v>3112</v>
      </c>
      <c r="R251" s="54"/>
      <c r="S251" s="49"/>
    </row>
    <row r="252">
      <c r="A252" s="50" t="s">
        <v>2450</v>
      </c>
      <c r="B252" s="51" t="s">
        <v>2449</v>
      </c>
      <c r="C252" s="52" t="s">
        <v>108</v>
      </c>
      <c r="D252" s="41" t="s">
        <v>2573</v>
      </c>
      <c r="E252" s="45" t="s">
        <v>2569</v>
      </c>
      <c r="F252" s="41" t="s">
        <v>2590</v>
      </c>
      <c r="G252" s="52">
        <v>17.0</v>
      </c>
      <c r="H252" s="53" t="s">
        <v>2453</v>
      </c>
      <c r="I252" s="53" t="s">
        <v>3113</v>
      </c>
      <c r="J252" s="45" t="s">
        <v>2569</v>
      </c>
      <c r="K252" s="45" t="s">
        <v>2569</v>
      </c>
      <c r="L252" s="45" t="s">
        <v>2569</v>
      </c>
      <c r="M252" s="45" t="s">
        <v>2569</v>
      </c>
      <c r="N252" s="54"/>
      <c r="O252" s="54"/>
      <c r="P252" s="54" t="s">
        <v>2360</v>
      </c>
      <c r="Q252" s="54" t="s">
        <v>3114</v>
      </c>
      <c r="R252" s="54"/>
      <c r="S252" s="49"/>
    </row>
    <row r="253">
      <c r="A253" s="50" t="s">
        <v>2458</v>
      </c>
      <c r="B253" s="51" t="s">
        <v>3115</v>
      </c>
      <c r="C253" s="52" t="s">
        <v>108</v>
      </c>
      <c r="D253" s="41" t="s">
        <v>2589</v>
      </c>
      <c r="E253" s="45" t="s">
        <v>2569</v>
      </c>
      <c r="F253" s="41" t="s">
        <v>2590</v>
      </c>
      <c r="G253" s="52">
        <v>15.0</v>
      </c>
      <c r="H253" s="53" t="s">
        <v>2461</v>
      </c>
      <c r="I253" s="53" t="s">
        <v>2460</v>
      </c>
      <c r="J253" s="45" t="s">
        <v>2569</v>
      </c>
      <c r="K253" s="45" t="s">
        <v>2569</v>
      </c>
      <c r="L253" s="45" t="s">
        <v>2569</v>
      </c>
      <c r="M253" s="45" t="s">
        <v>2569</v>
      </c>
      <c r="N253" s="54"/>
      <c r="O253" s="54"/>
      <c r="P253" s="54" t="s">
        <v>2360</v>
      </c>
      <c r="Q253" s="54"/>
      <c r="R253" s="54"/>
      <c r="S253" s="49"/>
    </row>
    <row r="254">
      <c r="A254" s="50" t="s">
        <v>2311</v>
      </c>
      <c r="B254" s="51" t="s">
        <v>2310</v>
      </c>
      <c r="C254" s="52" t="s">
        <v>108</v>
      </c>
      <c r="D254" s="54"/>
      <c r="E254" s="45" t="s">
        <v>2569</v>
      </c>
      <c r="F254" s="54"/>
      <c r="G254" s="52">
        <v>21.0</v>
      </c>
      <c r="H254" s="53" t="s">
        <v>3116</v>
      </c>
      <c r="I254" s="53" t="s">
        <v>3117</v>
      </c>
      <c r="J254" s="45" t="s">
        <v>2569</v>
      </c>
      <c r="K254" s="45" t="s">
        <v>2569</v>
      </c>
      <c r="L254" s="45" t="s">
        <v>2569</v>
      </c>
      <c r="M254" s="45" t="s">
        <v>2569</v>
      </c>
      <c r="N254" s="54"/>
      <c r="O254" s="54"/>
      <c r="P254" s="54" t="s">
        <v>2360</v>
      </c>
      <c r="Q254" s="54"/>
      <c r="R254" s="54"/>
      <c r="S254" s="49"/>
    </row>
    <row r="255">
      <c r="A255" s="50" t="s">
        <v>1730</v>
      </c>
      <c r="B255" s="51" t="s">
        <v>1729</v>
      </c>
      <c r="C255" s="52" t="s">
        <v>2667</v>
      </c>
      <c r="D255" s="41" t="s">
        <v>2731</v>
      </c>
      <c r="E255" s="45" t="s">
        <v>2569</v>
      </c>
      <c r="F255" s="41" t="s">
        <v>2608</v>
      </c>
      <c r="G255" s="52">
        <v>25.0</v>
      </c>
      <c r="H255" s="53" t="s">
        <v>1735</v>
      </c>
      <c r="I255" s="53" t="s">
        <v>1734</v>
      </c>
      <c r="J255" s="45" t="s">
        <v>2569</v>
      </c>
      <c r="K255" s="45" t="s">
        <v>2569</v>
      </c>
      <c r="L255" s="45" t="s">
        <v>2569</v>
      </c>
      <c r="M255" s="45" t="s">
        <v>2569</v>
      </c>
      <c r="N255" s="54" t="s">
        <v>3118</v>
      </c>
      <c r="O255" s="54" t="s">
        <v>3119</v>
      </c>
      <c r="P255" s="54" t="s">
        <v>1733</v>
      </c>
      <c r="Q255" s="54" t="s">
        <v>3120</v>
      </c>
      <c r="R255" s="54"/>
      <c r="S255" s="49"/>
    </row>
    <row r="256">
      <c r="A256" s="50" t="s">
        <v>658</v>
      </c>
      <c r="B256" s="51" t="s">
        <v>657</v>
      </c>
      <c r="C256" s="52" t="s">
        <v>73</v>
      </c>
      <c r="D256" s="41" t="s">
        <v>3121</v>
      </c>
      <c r="E256" s="45" t="s">
        <v>86</v>
      </c>
      <c r="F256" s="41" t="s">
        <v>2570</v>
      </c>
      <c r="G256" s="52">
        <v>11.0</v>
      </c>
      <c r="H256" s="53" t="s">
        <v>661</v>
      </c>
      <c r="I256" s="53" t="s">
        <v>288</v>
      </c>
      <c r="J256" s="45" t="s">
        <v>86</v>
      </c>
      <c r="K256" s="45" t="s">
        <v>86</v>
      </c>
      <c r="L256" s="45" t="s">
        <v>86</v>
      </c>
      <c r="M256" s="45" t="s">
        <v>86</v>
      </c>
      <c r="N256" s="54" t="s">
        <v>664</v>
      </c>
      <c r="O256" s="54" t="s">
        <v>310</v>
      </c>
      <c r="P256" s="54" t="s">
        <v>305</v>
      </c>
      <c r="Q256" s="54" t="s">
        <v>2980</v>
      </c>
      <c r="R256" s="54" t="s">
        <v>2792</v>
      </c>
      <c r="S256" s="49"/>
    </row>
    <row r="257">
      <c r="A257" s="50" t="s">
        <v>813</v>
      </c>
      <c r="B257" s="51" t="s">
        <v>284</v>
      </c>
      <c r="C257" s="52" t="s">
        <v>73</v>
      </c>
      <c r="D257" s="41" t="s">
        <v>3121</v>
      </c>
      <c r="E257" s="45" t="s">
        <v>86</v>
      </c>
      <c r="F257" s="41" t="s">
        <v>2570</v>
      </c>
      <c r="G257" s="52">
        <v>34.0</v>
      </c>
      <c r="H257" s="53" t="s">
        <v>816</v>
      </c>
      <c r="I257" s="53" t="s">
        <v>815</v>
      </c>
      <c r="J257" s="45" t="s">
        <v>86</v>
      </c>
      <c r="K257" s="45" t="s">
        <v>86</v>
      </c>
      <c r="L257" s="45" t="s">
        <v>86</v>
      </c>
      <c r="M257" s="45" t="s">
        <v>86</v>
      </c>
      <c r="N257" s="54" t="s">
        <v>664</v>
      </c>
      <c r="O257" s="54" t="s">
        <v>310</v>
      </c>
      <c r="P257" s="54" t="s">
        <v>305</v>
      </c>
      <c r="Q257" s="54" t="s">
        <v>2980</v>
      </c>
      <c r="R257" s="54" t="s">
        <v>2792</v>
      </c>
      <c r="S257" s="49"/>
    </row>
    <row r="258">
      <c r="A258" s="50" t="s">
        <v>1406</v>
      </c>
      <c r="B258" s="51" t="s">
        <v>1405</v>
      </c>
      <c r="C258" s="52" t="s">
        <v>108</v>
      </c>
      <c r="D258" s="50" t="s">
        <v>108</v>
      </c>
      <c r="E258" s="45" t="s">
        <v>2569</v>
      </c>
      <c r="F258" s="41" t="s">
        <v>2590</v>
      </c>
      <c r="G258" s="52">
        <v>50.0</v>
      </c>
      <c r="H258" s="53" t="s">
        <v>1409</v>
      </c>
      <c r="I258" s="53" t="s">
        <v>1408</v>
      </c>
      <c r="J258" s="45" t="s">
        <v>86</v>
      </c>
      <c r="K258" s="45" t="s">
        <v>86</v>
      </c>
      <c r="L258" s="45" t="s">
        <v>86</v>
      </c>
      <c r="M258" s="45" t="s">
        <v>86</v>
      </c>
      <c r="N258" s="54" t="s">
        <v>286</v>
      </c>
      <c r="O258" s="54" t="s">
        <v>286</v>
      </c>
      <c r="P258" s="54" t="s">
        <v>286</v>
      </c>
      <c r="Q258" s="54" t="s">
        <v>3122</v>
      </c>
      <c r="R258" s="54"/>
      <c r="S258" s="49"/>
    </row>
    <row r="259">
      <c r="A259" s="50" t="s">
        <v>3123</v>
      </c>
      <c r="B259" s="51" t="s">
        <v>3124</v>
      </c>
      <c r="C259" s="52" t="s">
        <v>73</v>
      </c>
      <c r="D259" s="41" t="s">
        <v>2589</v>
      </c>
      <c r="E259" s="45" t="s">
        <v>2569</v>
      </c>
      <c r="F259" s="41" t="s">
        <v>2593</v>
      </c>
      <c r="G259" s="52">
        <v>36.0</v>
      </c>
      <c r="H259" s="53" t="s">
        <v>3125</v>
      </c>
      <c r="I259" s="53" t="s">
        <v>508</v>
      </c>
      <c r="J259" s="45" t="s">
        <v>2569</v>
      </c>
      <c r="K259" s="45" t="s">
        <v>2569</v>
      </c>
      <c r="L259" s="45" t="s">
        <v>2569</v>
      </c>
      <c r="M259" s="45" t="s">
        <v>2569</v>
      </c>
      <c r="N259" s="54"/>
      <c r="O259" s="54"/>
      <c r="P259" s="54"/>
      <c r="Q259" s="54" t="s">
        <v>3126</v>
      </c>
      <c r="R259" s="54" t="s">
        <v>3127</v>
      </c>
      <c r="S259" s="49"/>
    </row>
    <row r="260">
      <c r="A260" s="50" t="s">
        <v>1721</v>
      </c>
      <c r="B260" s="51" t="s">
        <v>1720</v>
      </c>
      <c r="C260" s="52" t="s">
        <v>73</v>
      </c>
      <c r="D260" s="50" t="s">
        <v>73</v>
      </c>
      <c r="E260" s="45" t="s">
        <v>2569</v>
      </c>
      <c r="F260" s="41" t="s">
        <v>2574</v>
      </c>
      <c r="G260" s="52">
        <v>30.0</v>
      </c>
      <c r="H260" s="53" t="s">
        <v>1725</v>
      </c>
      <c r="I260" s="53" t="s">
        <v>1724</v>
      </c>
      <c r="J260" s="45" t="s">
        <v>2569</v>
      </c>
      <c r="K260" s="45" t="s">
        <v>2569</v>
      </c>
      <c r="L260" s="45" t="s">
        <v>2569</v>
      </c>
      <c r="M260" s="45" t="s">
        <v>2569</v>
      </c>
      <c r="N260" s="54" t="s">
        <v>137</v>
      </c>
      <c r="O260" s="54" t="s">
        <v>137</v>
      </c>
      <c r="P260" s="54" t="s">
        <v>1723</v>
      </c>
      <c r="Q260" s="54" t="s">
        <v>3128</v>
      </c>
      <c r="R260" s="54"/>
      <c r="S260" s="49"/>
    </row>
    <row r="261">
      <c r="A261" s="50" t="s">
        <v>1712</v>
      </c>
      <c r="B261" s="51" t="s">
        <v>1711</v>
      </c>
      <c r="C261" s="52" t="s">
        <v>73</v>
      </c>
      <c r="D261" s="41" t="s">
        <v>2589</v>
      </c>
      <c r="E261" s="45" t="s">
        <v>2569</v>
      </c>
      <c r="F261" s="41" t="s">
        <v>2593</v>
      </c>
      <c r="G261" s="52">
        <v>35.0</v>
      </c>
      <c r="H261" s="53" t="s">
        <v>1715</v>
      </c>
      <c r="I261" s="53" t="s">
        <v>1714</v>
      </c>
      <c r="J261" s="45" t="s">
        <v>86</v>
      </c>
      <c r="K261" s="45" t="s">
        <v>2569</v>
      </c>
      <c r="L261" s="45" t="s">
        <v>86</v>
      </c>
      <c r="M261" s="45" t="s">
        <v>86</v>
      </c>
      <c r="N261" s="54" t="s">
        <v>137</v>
      </c>
      <c r="O261" s="54" t="s">
        <v>1718</v>
      </c>
      <c r="P261" s="54" t="s">
        <v>137</v>
      </c>
      <c r="Q261" s="54" t="s">
        <v>3129</v>
      </c>
      <c r="R261" s="54"/>
      <c r="S261" s="49"/>
    </row>
    <row r="262">
      <c r="A262" s="50" t="s">
        <v>1703</v>
      </c>
      <c r="B262" s="51" t="s">
        <v>1702</v>
      </c>
      <c r="C262" s="52" t="s">
        <v>73</v>
      </c>
      <c r="D262" s="41" t="s">
        <v>2624</v>
      </c>
      <c r="E262" s="45" t="s">
        <v>2569</v>
      </c>
      <c r="F262" s="41" t="s">
        <v>2608</v>
      </c>
      <c r="G262" s="52">
        <v>45.0</v>
      </c>
      <c r="H262" s="53" t="s">
        <v>1706</v>
      </c>
      <c r="I262" s="53" t="s">
        <v>1686</v>
      </c>
      <c r="J262" s="45" t="s">
        <v>86</v>
      </c>
      <c r="K262" s="45" t="s">
        <v>2569</v>
      </c>
      <c r="L262" s="45" t="s">
        <v>86</v>
      </c>
      <c r="M262" s="45" t="s">
        <v>86</v>
      </c>
      <c r="N262" s="54" t="s">
        <v>137</v>
      </c>
      <c r="O262" s="54" t="s">
        <v>3130</v>
      </c>
      <c r="P262" s="54" t="s">
        <v>137</v>
      </c>
      <c r="Q262" s="54" t="s">
        <v>3131</v>
      </c>
      <c r="R262" s="54"/>
      <c r="S262" s="49"/>
    </row>
    <row r="263">
      <c r="A263" s="50" t="s">
        <v>617</v>
      </c>
      <c r="B263" s="51" t="s">
        <v>616</v>
      </c>
      <c r="C263" s="52" t="s">
        <v>73</v>
      </c>
      <c r="D263" s="41" t="s">
        <v>2820</v>
      </c>
      <c r="E263" s="45" t="s">
        <v>86</v>
      </c>
      <c r="F263" s="41" t="s">
        <v>2578</v>
      </c>
      <c r="G263" s="52">
        <v>15.0</v>
      </c>
      <c r="H263" s="53" t="s">
        <v>621</v>
      </c>
      <c r="I263" s="53" t="s">
        <v>620</v>
      </c>
      <c r="J263" s="45" t="s">
        <v>86</v>
      </c>
      <c r="K263" s="45" t="s">
        <v>86</v>
      </c>
      <c r="L263" s="45" t="s">
        <v>86</v>
      </c>
      <c r="M263" s="45" t="s">
        <v>86</v>
      </c>
      <c r="N263" s="54" t="s">
        <v>3132</v>
      </c>
      <c r="O263" s="54" t="s">
        <v>624</v>
      </c>
      <c r="P263" s="54" t="s">
        <v>619</v>
      </c>
      <c r="Q263" s="54" t="s">
        <v>3133</v>
      </c>
      <c r="R263" s="54"/>
      <c r="S263" s="49"/>
    </row>
    <row r="264">
      <c r="A264" s="50" t="s">
        <v>1280</v>
      </c>
      <c r="B264" s="51" t="s">
        <v>1279</v>
      </c>
      <c r="C264" s="52" t="s">
        <v>2693</v>
      </c>
      <c r="D264" s="41" t="s">
        <v>2573</v>
      </c>
      <c r="E264" s="45" t="s">
        <v>86</v>
      </c>
      <c r="F264" s="41" t="s">
        <v>2590</v>
      </c>
      <c r="G264" s="52">
        <v>25.0</v>
      </c>
      <c r="H264" s="53" t="s">
        <v>1282</v>
      </c>
      <c r="I264" s="53" t="s">
        <v>1180</v>
      </c>
      <c r="J264" s="45" t="s">
        <v>2569</v>
      </c>
      <c r="K264" s="45" t="s">
        <v>2569</v>
      </c>
      <c r="L264" s="45" t="s">
        <v>2569</v>
      </c>
      <c r="M264" s="45" t="s">
        <v>2569</v>
      </c>
      <c r="N264" s="54" t="s">
        <v>137</v>
      </c>
      <c r="O264" s="54" t="s">
        <v>3134</v>
      </c>
      <c r="P264" s="54" t="s">
        <v>137</v>
      </c>
      <c r="Q264" s="54" t="s">
        <v>3135</v>
      </c>
      <c r="R264" s="54" t="s">
        <v>2821</v>
      </c>
      <c r="S264" s="49"/>
    </row>
    <row r="265">
      <c r="A265" s="50" t="s">
        <v>1306</v>
      </c>
      <c r="B265" s="51" t="s">
        <v>1305</v>
      </c>
      <c r="C265" s="52" t="s">
        <v>73</v>
      </c>
      <c r="D265" s="41" t="s">
        <v>2573</v>
      </c>
      <c r="E265" s="45" t="s">
        <v>86</v>
      </c>
      <c r="F265" s="41" t="s">
        <v>2590</v>
      </c>
      <c r="G265" s="52">
        <v>15.0</v>
      </c>
      <c r="H265" s="53" t="s">
        <v>1308</v>
      </c>
      <c r="I265" s="53" t="s">
        <v>1307</v>
      </c>
      <c r="J265" s="45" t="s">
        <v>2569</v>
      </c>
      <c r="K265" s="45" t="s">
        <v>2569</v>
      </c>
      <c r="L265" s="45" t="s">
        <v>2569</v>
      </c>
      <c r="M265" s="45" t="s">
        <v>2569</v>
      </c>
      <c r="N265" s="54" t="s">
        <v>137</v>
      </c>
      <c r="O265" s="54" t="s">
        <v>137</v>
      </c>
      <c r="P265" s="54" t="s">
        <v>137</v>
      </c>
      <c r="Q265" s="54" t="s">
        <v>3136</v>
      </c>
      <c r="R265" s="54"/>
      <c r="S265" s="49"/>
    </row>
    <row r="266">
      <c r="A266" s="50" t="s">
        <v>1175</v>
      </c>
      <c r="B266" s="51" t="s">
        <v>1174</v>
      </c>
      <c r="C266" s="52" t="s">
        <v>73</v>
      </c>
      <c r="D266" s="41" t="s">
        <v>2580</v>
      </c>
      <c r="E266" s="45" t="s">
        <v>86</v>
      </c>
      <c r="F266" s="41" t="s">
        <v>2578</v>
      </c>
      <c r="G266" s="52">
        <v>47.0</v>
      </c>
      <c r="H266" s="53" t="s">
        <v>1181</v>
      </c>
      <c r="I266" s="53" t="s">
        <v>1180</v>
      </c>
      <c r="J266" s="45" t="s">
        <v>86</v>
      </c>
      <c r="K266" s="45" t="s">
        <v>86</v>
      </c>
      <c r="L266" s="45" t="s">
        <v>86</v>
      </c>
      <c r="M266" s="45" t="s">
        <v>86</v>
      </c>
      <c r="N266" s="54" t="s">
        <v>3137</v>
      </c>
      <c r="O266" s="54" t="s">
        <v>3138</v>
      </c>
      <c r="P266" s="54" t="s">
        <v>1179</v>
      </c>
      <c r="Q266" s="54" t="s">
        <v>3139</v>
      </c>
      <c r="R266" s="54"/>
      <c r="S266" s="49"/>
    </row>
    <row r="267">
      <c r="A267" s="50" t="s">
        <v>2510</v>
      </c>
      <c r="B267" s="51" t="s">
        <v>3140</v>
      </c>
      <c r="C267" s="52" t="s">
        <v>108</v>
      </c>
      <c r="D267" s="41" t="s">
        <v>2589</v>
      </c>
      <c r="E267" s="45" t="s">
        <v>2569</v>
      </c>
      <c r="F267" s="41" t="s">
        <v>2590</v>
      </c>
      <c r="G267" s="52">
        <v>19.0</v>
      </c>
      <c r="H267" s="53" t="s">
        <v>2511</v>
      </c>
      <c r="I267" s="53" t="s">
        <v>3141</v>
      </c>
      <c r="J267" s="45" t="s">
        <v>2569</v>
      </c>
      <c r="K267" s="45" t="s">
        <v>2569</v>
      </c>
      <c r="L267" s="45" t="s">
        <v>2569</v>
      </c>
      <c r="M267" s="45" t="s">
        <v>2569</v>
      </c>
      <c r="N267" s="54"/>
      <c r="O267" s="54"/>
      <c r="P267" s="54"/>
      <c r="Q267" s="54"/>
      <c r="R267" s="54" t="s">
        <v>3142</v>
      </c>
      <c r="S267" s="49"/>
    </row>
    <row r="268">
      <c r="A268" s="50" t="s">
        <v>3143</v>
      </c>
      <c r="B268" s="51" t="s">
        <v>3144</v>
      </c>
      <c r="C268" s="52" t="s">
        <v>108</v>
      </c>
      <c r="D268" s="54"/>
      <c r="E268" s="45" t="s">
        <v>2569</v>
      </c>
      <c r="F268" s="54"/>
      <c r="G268" s="49"/>
      <c r="H268" s="53" t="s">
        <v>3145</v>
      </c>
      <c r="I268" s="53" t="s">
        <v>3146</v>
      </c>
      <c r="J268" s="45" t="s">
        <v>2569</v>
      </c>
      <c r="K268" s="45" t="s">
        <v>2569</v>
      </c>
      <c r="L268" s="45" t="s">
        <v>2569</v>
      </c>
      <c r="M268" s="45" t="s">
        <v>2569</v>
      </c>
      <c r="N268" s="54"/>
      <c r="O268" s="54"/>
      <c r="P268" s="54" t="s">
        <v>204</v>
      </c>
      <c r="Q268" s="54"/>
      <c r="R268" s="54" t="s">
        <v>3147</v>
      </c>
      <c r="S268" s="49"/>
    </row>
    <row r="269">
      <c r="A269" s="50" t="s">
        <v>3148</v>
      </c>
      <c r="B269" s="51" t="s">
        <v>3149</v>
      </c>
      <c r="C269" s="52" t="s">
        <v>108</v>
      </c>
      <c r="D269" s="50" t="s">
        <v>108</v>
      </c>
      <c r="E269" s="45" t="s">
        <v>2569</v>
      </c>
      <c r="F269" s="41" t="s">
        <v>2590</v>
      </c>
      <c r="G269" s="52">
        <v>24.0</v>
      </c>
      <c r="H269" s="53" t="s">
        <v>3150</v>
      </c>
      <c r="I269" s="53"/>
      <c r="J269" s="45" t="s">
        <v>2569</v>
      </c>
      <c r="K269" s="45" t="s">
        <v>2569</v>
      </c>
      <c r="L269" s="45" t="s">
        <v>2569</v>
      </c>
      <c r="M269" s="45" t="s">
        <v>2569</v>
      </c>
      <c r="N269" s="54"/>
      <c r="O269" s="54"/>
      <c r="P269" s="54"/>
      <c r="Q269" s="54" t="s">
        <v>3151</v>
      </c>
      <c r="R269" s="54" t="s">
        <v>2605</v>
      </c>
      <c r="S269" s="49"/>
    </row>
    <row r="270">
      <c r="A270" s="50" t="s">
        <v>3152</v>
      </c>
      <c r="B270" s="51" t="s">
        <v>3153</v>
      </c>
      <c r="C270" s="52" t="s">
        <v>73</v>
      </c>
      <c r="D270" s="41" t="s">
        <v>2589</v>
      </c>
      <c r="E270" s="45" t="s">
        <v>2569</v>
      </c>
      <c r="F270" s="41" t="s">
        <v>2593</v>
      </c>
      <c r="G270" s="52">
        <v>35.0</v>
      </c>
      <c r="H270" s="53" t="s">
        <v>3154</v>
      </c>
      <c r="I270" s="53"/>
      <c r="J270" s="45" t="s">
        <v>2569</v>
      </c>
      <c r="K270" s="45" t="s">
        <v>2569</v>
      </c>
      <c r="L270" s="45" t="s">
        <v>2569</v>
      </c>
      <c r="M270" s="45" t="s">
        <v>2569</v>
      </c>
      <c r="N270" s="54"/>
      <c r="O270" s="54"/>
      <c r="P270" s="54"/>
      <c r="Q270" s="54" t="s">
        <v>3155</v>
      </c>
      <c r="R270" s="54" t="s">
        <v>2675</v>
      </c>
      <c r="S270" s="49"/>
    </row>
    <row r="271">
      <c r="A271" s="50" t="s">
        <v>245</v>
      </c>
      <c r="B271" s="51" t="s">
        <v>244</v>
      </c>
      <c r="C271" s="52" t="s">
        <v>73</v>
      </c>
      <c r="D271" s="41" t="s">
        <v>2589</v>
      </c>
      <c r="E271" s="45" t="s">
        <v>2569</v>
      </c>
      <c r="F271" s="41" t="s">
        <v>2590</v>
      </c>
      <c r="G271" s="52">
        <v>34.0</v>
      </c>
      <c r="H271" s="53" t="s">
        <v>250</v>
      </c>
      <c r="I271" s="53" t="s">
        <v>249</v>
      </c>
      <c r="J271" s="45" t="s">
        <v>2569</v>
      </c>
      <c r="K271" s="45" t="s">
        <v>2569</v>
      </c>
      <c r="L271" s="45" t="s">
        <v>2569</v>
      </c>
      <c r="M271" s="45" t="s">
        <v>2569</v>
      </c>
      <c r="N271" s="54" t="s">
        <v>137</v>
      </c>
      <c r="O271" s="54" t="s">
        <v>253</v>
      </c>
      <c r="P271" s="54" t="s">
        <v>137</v>
      </c>
      <c r="Q271" s="54" t="s">
        <v>3156</v>
      </c>
      <c r="R271" s="54"/>
      <c r="S271" s="49"/>
    </row>
    <row r="272">
      <c r="A272" s="50" t="s">
        <v>1414</v>
      </c>
      <c r="B272" s="51" t="s">
        <v>1413</v>
      </c>
      <c r="C272" s="52" t="s">
        <v>108</v>
      </c>
      <c r="D272" s="41" t="s">
        <v>2826</v>
      </c>
      <c r="E272" s="45" t="s">
        <v>2569</v>
      </c>
      <c r="F272" s="41" t="s">
        <v>2590</v>
      </c>
      <c r="G272" s="52">
        <v>25.0</v>
      </c>
      <c r="H272" s="53" t="s">
        <v>1416</v>
      </c>
      <c r="I272" s="53" t="s">
        <v>1415</v>
      </c>
      <c r="J272" s="45" t="s">
        <v>2569</v>
      </c>
      <c r="K272" s="45" t="s">
        <v>2569</v>
      </c>
      <c r="L272" s="45" t="s">
        <v>2569</v>
      </c>
      <c r="M272" s="45" t="s">
        <v>2569</v>
      </c>
      <c r="N272" s="54" t="s">
        <v>286</v>
      </c>
      <c r="O272" s="54" t="s">
        <v>286</v>
      </c>
      <c r="P272" s="54" t="s">
        <v>286</v>
      </c>
      <c r="Q272" s="54"/>
      <c r="R272" s="54"/>
      <c r="S272" s="49"/>
    </row>
    <row r="273">
      <c r="A273" s="50" t="s">
        <v>1692</v>
      </c>
      <c r="B273" s="51" t="s">
        <v>1691</v>
      </c>
      <c r="C273" s="52" t="s">
        <v>108</v>
      </c>
      <c r="D273" s="41" t="s">
        <v>3157</v>
      </c>
      <c r="E273" s="45" t="s">
        <v>86</v>
      </c>
      <c r="F273" s="41" t="s">
        <v>2578</v>
      </c>
      <c r="G273" s="52">
        <v>35.0</v>
      </c>
      <c r="H273" s="53" t="s">
        <v>1696</v>
      </c>
      <c r="I273" s="53" t="s">
        <v>1695</v>
      </c>
      <c r="J273" s="45" t="s">
        <v>86</v>
      </c>
      <c r="K273" s="45" t="s">
        <v>86</v>
      </c>
      <c r="L273" s="45" t="s">
        <v>86</v>
      </c>
      <c r="M273" s="45" t="s">
        <v>86</v>
      </c>
      <c r="N273" s="54" t="s">
        <v>1700</v>
      </c>
      <c r="O273" s="54" t="s">
        <v>1699</v>
      </c>
      <c r="P273" s="54" t="s">
        <v>824</v>
      </c>
      <c r="Q273" s="54" t="s">
        <v>3158</v>
      </c>
      <c r="R273" s="54"/>
      <c r="S273" s="49"/>
    </row>
    <row r="274">
      <c r="A274" s="50" t="s">
        <v>121</v>
      </c>
      <c r="B274" s="51" t="s">
        <v>120</v>
      </c>
      <c r="C274" s="52" t="s">
        <v>2667</v>
      </c>
      <c r="D274" s="50" t="s">
        <v>2667</v>
      </c>
      <c r="E274" s="45" t="s">
        <v>86</v>
      </c>
      <c r="F274" s="41" t="s">
        <v>2608</v>
      </c>
      <c r="G274" s="52">
        <v>36.0</v>
      </c>
      <c r="H274" s="53" t="s">
        <v>125</v>
      </c>
      <c r="I274" s="53" t="s">
        <v>97</v>
      </c>
      <c r="J274" s="45" t="s">
        <v>86</v>
      </c>
      <c r="K274" s="45" t="s">
        <v>86</v>
      </c>
      <c r="L274" s="45" t="s">
        <v>86</v>
      </c>
      <c r="M274" s="45" t="s">
        <v>86</v>
      </c>
      <c r="N274" s="54" t="s">
        <v>3159</v>
      </c>
      <c r="O274" s="54" t="s">
        <v>3160</v>
      </c>
      <c r="P274" s="54" t="s">
        <v>124</v>
      </c>
      <c r="Q274" s="54" t="s">
        <v>3161</v>
      </c>
      <c r="R274" s="54"/>
      <c r="S274" s="49"/>
    </row>
    <row r="275">
      <c r="A275" s="50" t="s">
        <v>3162</v>
      </c>
      <c r="B275" s="51" t="s">
        <v>3163</v>
      </c>
      <c r="C275" s="52" t="s">
        <v>73</v>
      </c>
      <c r="D275" s="41" t="s">
        <v>2589</v>
      </c>
      <c r="E275" s="45" t="s">
        <v>2569</v>
      </c>
      <c r="F275" s="41" t="s">
        <v>2593</v>
      </c>
      <c r="G275" s="52">
        <v>28.0</v>
      </c>
      <c r="H275" s="53" t="s">
        <v>3164</v>
      </c>
      <c r="I275" s="53"/>
      <c r="J275" s="45" t="s">
        <v>86</v>
      </c>
      <c r="K275" s="45" t="s">
        <v>2569</v>
      </c>
      <c r="L275" s="45" t="s">
        <v>2569</v>
      </c>
      <c r="M275" s="45" t="s">
        <v>2569</v>
      </c>
      <c r="N275" s="54"/>
      <c r="O275" s="54"/>
      <c r="P275" s="54"/>
      <c r="Q275" s="54" t="s">
        <v>3165</v>
      </c>
      <c r="R275" s="54" t="s">
        <v>3007</v>
      </c>
      <c r="S275" s="49"/>
    </row>
    <row r="276">
      <c r="A276" s="50" t="s">
        <v>3166</v>
      </c>
      <c r="B276" s="51" t="s">
        <v>3167</v>
      </c>
      <c r="C276" s="52" t="s">
        <v>73</v>
      </c>
      <c r="D276" s="41" t="s">
        <v>2589</v>
      </c>
      <c r="E276" s="45" t="s">
        <v>2569</v>
      </c>
      <c r="F276" s="41" t="s">
        <v>2593</v>
      </c>
      <c r="G276" s="52">
        <v>27.0</v>
      </c>
      <c r="H276" s="53" t="s">
        <v>3168</v>
      </c>
      <c r="I276" s="53"/>
      <c r="J276" s="45" t="s">
        <v>2569</v>
      </c>
      <c r="K276" s="45" t="s">
        <v>2569</v>
      </c>
      <c r="L276" s="45" t="s">
        <v>2569</v>
      </c>
      <c r="M276" s="45" t="s">
        <v>2569</v>
      </c>
      <c r="N276" s="54"/>
      <c r="O276" s="54"/>
      <c r="P276" s="54"/>
      <c r="Q276" s="54" t="s">
        <v>3169</v>
      </c>
      <c r="R276" s="54" t="s">
        <v>3170</v>
      </c>
      <c r="S276" s="49"/>
    </row>
    <row r="277">
      <c r="A277" s="50" t="s">
        <v>890</v>
      </c>
      <c r="B277" s="51" t="s">
        <v>889</v>
      </c>
      <c r="C277" s="52" t="s">
        <v>73</v>
      </c>
      <c r="D277" s="41" t="s">
        <v>2820</v>
      </c>
      <c r="E277" s="45" t="s">
        <v>2569</v>
      </c>
      <c r="F277" s="41" t="s">
        <v>2593</v>
      </c>
      <c r="G277" s="52">
        <v>35.0</v>
      </c>
      <c r="H277" s="53" t="s">
        <v>893</v>
      </c>
      <c r="I277" s="53" t="s">
        <v>892</v>
      </c>
      <c r="J277" s="45" t="s">
        <v>86</v>
      </c>
      <c r="K277" s="45" t="s">
        <v>2569</v>
      </c>
      <c r="L277" s="45" t="s">
        <v>86</v>
      </c>
      <c r="M277" s="45" t="s">
        <v>86</v>
      </c>
      <c r="N277" s="54" t="s">
        <v>137</v>
      </c>
      <c r="O277" s="54" t="s">
        <v>137</v>
      </c>
      <c r="P277" s="54" t="s">
        <v>137</v>
      </c>
      <c r="Q277" s="54" t="s">
        <v>3171</v>
      </c>
      <c r="R277" s="54"/>
      <c r="S277" s="49"/>
    </row>
    <row r="278">
      <c r="A278" s="50" t="s">
        <v>1684</v>
      </c>
      <c r="B278" s="51" t="s">
        <v>1683</v>
      </c>
      <c r="C278" s="52" t="s">
        <v>108</v>
      </c>
      <c r="D278" s="41" t="s">
        <v>2573</v>
      </c>
      <c r="E278" s="45" t="s">
        <v>2569</v>
      </c>
      <c r="F278" s="41" t="s">
        <v>2590</v>
      </c>
      <c r="G278" s="52">
        <v>39.0</v>
      </c>
      <c r="H278" s="53" t="s">
        <v>1687</v>
      </c>
      <c r="I278" s="53" t="s">
        <v>1686</v>
      </c>
      <c r="J278" s="45" t="s">
        <v>86</v>
      </c>
      <c r="K278" s="45" t="s">
        <v>86</v>
      </c>
      <c r="L278" s="45" t="s">
        <v>86</v>
      </c>
      <c r="M278" s="45" t="s">
        <v>86</v>
      </c>
      <c r="N278" s="54" t="s">
        <v>137</v>
      </c>
      <c r="O278" s="54" t="s">
        <v>137</v>
      </c>
      <c r="P278" s="54" t="s">
        <v>137</v>
      </c>
      <c r="Q278" s="54" t="s">
        <v>3172</v>
      </c>
      <c r="R278" s="54"/>
      <c r="S278" s="49"/>
    </row>
    <row r="279">
      <c r="A279" s="50" t="s">
        <v>3173</v>
      </c>
      <c r="B279" s="51" t="s">
        <v>3174</v>
      </c>
      <c r="C279" s="52" t="s">
        <v>108</v>
      </c>
      <c r="D279" s="41" t="s">
        <v>2694</v>
      </c>
      <c r="E279" s="45" t="s">
        <v>2569</v>
      </c>
      <c r="F279" s="41" t="s">
        <v>2608</v>
      </c>
      <c r="G279" s="52">
        <v>20.0</v>
      </c>
      <c r="H279" s="53" t="s">
        <v>3175</v>
      </c>
      <c r="I279" s="53"/>
      <c r="J279" s="45" t="s">
        <v>2569</v>
      </c>
      <c r="K279" s="45" t="s">
        <v>2569</v>
      </c>
      <c r="L279" s="45" t="s">
        <v>2569</v>
      </c>
      <c r="M279" s="45" t="s">
        <v>2569</v>
      </c>
      <c r="N279" s="54"/>
      <c r="O279" s="54"/>
      <c r="P279" s="54"/>
      <c r="Q279" s="54" t="s">
        <v>3176</v>
      </c>
      <c r="R279" s="54" t="s">
        <v>2605</v>
      </c>
      <c r="S279" s="49"/>
    </row>
    <row r="280">
      <c r="A280" s="50" t="s">
        <v>2517</v>
      </c>
      <c r="B280" s="51" t="s">
        <v>3177</v>
      </c>
      <c r="C280" s="52" t="s">
        <v>108</v>
      </c>
      <c r="D280" s="50" t="s">
        <v>108</v>
      </c>
      <c r="E280" s="45" t="s">
        <v>2569</v>
      </c>
      <c r="F280" s="41" t="s">
        <v>2590</v>
      </c>
      <c r="G280" s="49"/>
      <c r="H280" s="53" t="s">
        <v>2518</v>
      </c>
      <c r="I280" s="53" t="s">
        <v>3178</v>
      </c>
      <c r="J280" s="45" t="s">
        <v>2569</v>
      </c>
      <c r="K280" s="45" t="s">
        <v>2569</v>
      </c>
      <c r="L280" s="45" t="s">
        <v>2569</v>
      </c>
      <c r="M280" s="45" t="s">
        <v>2569</v>
      </c>
      <c r="N280" s="54"/>
      <c r="O280" s="54"/>
      <c r="P280" s="54"/>
      <c r="Q280" s="54" t="s">
        <v>3179</v>
      </c>
      <c r="R280" s="54" t="s">
        <v>2900</v>
      </c>
      <c r="S280" s="49"/>
    </row>
    <row r="281">
      <c r="A281" s="50" t="s">
        <v>3180</v>
      </c>
      <c r="B281" s="51" t="s">
        <v>3181</v>
      </c>
      <c r="C281" s="52" t="s">
        <v>108</v>
      </c>
      <c r="D281" s="41" t="s">
        <v>2694</v>
      </c>
      <c r="E281" s="45" t="s">
        <v>2569</v>
      </c>
      <c r="F281" s="41" t="s">
        <v>2590</v>
      </c>
      <c r="G281" s="52">
        <v>26.0</v>
      </c>
      <c r="H281" s="53" t="s">
        <v>3182</v>
      </c>
      <c r="I281" s="53"/>
      <c r="J281" s="45" t="s">
        <v>2569</v>
      </c>
      <c r="K281" s="45" t="s">
        <v>2569</v>
      </c>
      <c r="L281" s="45" t="s">
        <v>2569</v>
      </c>
      <c r="M281" s="45" t="s">
        <v>2569</v>
      </c>
      <c r="N281" s="54"/>
      <c r="O281" s="54"/>
      <c r="P281" s="54"/>
      <c r="Q281" s="54" t="s">
        <v>3183</v>
      </c>
      <c r="R281" s="54" t="s">
        <v>2605</v>
      </c>
      <c r="S281" s="49"/>
    </row>
    <row r="282">
      <c r="A282" s="50" t="s">
        <v>1675</v>
      </c>
      <c r="B282" s="51" t="s">
        <v>1674</v>
      </c>
      <c r="C282" s="52" t="s">
        <v>73</v>
      </c>
      <c r="D282" s="41" t="s">
        <v>2820</v>
      </c>
      <c r="E282" s="45" t="s">
        <v>2569</v>
      </c>
      <c r="F282" s="41" t="s">
        <v>2593</v>
      </c>
      <c r="G282" s="52">
        <v>62.0</v>
      </c>
      <c r="H282" s="53" t="s">
        <v>1679</v>
      </c>
      <c r="I282" s="53" t="s">
        <v>1678</v>
      </c>
      <c r="J282" s="45" t="s">
        <v>86</v>
      </c>
      <c r="K282" s="45" t="s">
        <v>86</v>
      </c>
      <c r="L282" s="45" t="s">
        <v>86</v>
      </c>
      <c r="M282" s="45" t="s">
        <v>86</v>
      </c>
      <c r="N282" s="54" t="s">
        <v>137</v>
      </c>
      <c r="O282" s="54" t="s">
        <v>137</v>
      </c>
      <c r="P282" s="54" t="s">
        <v>137</v>
      </c>
      <c r="Q282" s="54"/>
      <c r="R282" s="54"/>
      <c r="S282" s="49"/>
    </row>
    <row r="283">
      <c r="A283" s="50" t="s">
        <v>2474</v>
      </c>
      <c r="B283" s="51" t="s">
        <v>2473</v>
      </c>
      <c r="C283" s="52" t="s">
        <v>73</v>
      </c>
      <c r="D283" s="41" t="s">
        <v>2747</v>
      </c>
      <c r="E283" s="45" t="s">
        <v>86</v>
      </c>
      <c r="F283" s="41" t="s">
        <v>2593</v>
      </c>
      <c r="G283" s="52">
        <v>32.0</v>
      </c>
      <c r="H283" s="53" t="s">
        <v>2478</v>
      </c>
      <c r="I283" s="53" t="s">
        <v>2477</v>
      </c>
      <c r="J283" s="45" t="s">
        <v>86</v>
      </c>
      <c r="K283" s="45" t="s">
        <v>2569</v>
      </c>
      <c r="L283" s="45" t="s">
        <v>2569</v>
      </c>
      <c r="M283" s="45" t="s">
        <v>2569</v>
      </c>
      <c r="N283" s="54" t="s">
        <v>2482</v>
      </c>
      <c r="O283" s="54" t="s">
        <v>2481</v>
      </c>
      <c r="P283" s="54"/>
      <c r="Q283" s="54" t="s">
        <v>3184</v>
      </c>
      <c r="R283" s="54" t="s">
        <v>3185</v>
      </c>
      <c r="S283" s="49"/>
    </row>
    <row r="284">
      <c r="A284" s="50" t="s">
        <v>1665</v>
      </c>
      <c r="B284" s="51" t="s">
        <v>1664</v>
      </c>
      <c r="C284" s="52" t="s">
        <v>73</v>
      </c>
      <c r="D284" s="41" t="s">
        <v>2589</v>
      </c>
      <c r="E284" s="45" t="s">
        <v>2569</v>
      </c>
      <c r="F284" s="41" t="s">
        <v>2578</v>
      </c>
      <c r="G284" s="52">
        <v>38.0</v>
      </c>
      <c r="H284" s="53" t="s">
        <v>3186</v>
      </c>
      <c r="I284" s="53" t="s">
        <v>1667</v>
      </c>
      <c r="J284" s="45" t="s">
        <v>86</v>
      </c>
      <c r="K284" s="45" t="s">
        <v>2569</v>
      </c>
      <c r="L284" s="45" t="s">
        <v>2569</v>
      </c>
      <c r="M284" s="45" t="s">
        <v>2569</v>
      </c>
      <c r="N284" s="54" t="s">
        <v>137</v>
      </c>
      <c r="O284" s="54" t="s">
        <v>1671</v>
      </c>
      <c r="P284" s="54" t="s">
        <v>454</v>
      </c>
      <c r="Q284" s="54" t="s">
        <v>3187</v>
      </c>
      <c r="R284" s="54" t="s">
        <v>2986</v>
      </c>
      <c r="S284" s="49"/>
    </row>
    <row r="285">
      <c r="A285" s="50" t="s">
        <v>1658</v>
      </c>
      <c r="B285" s="51" t="s">
        <v>1657</v>
      </c>
      <c r="C285" s="52" t="s">
        <v>108</v>
      </c>
      <c r="D285" s="41" t="s">
        <v>2694</v>
      </c>
      <c r="E285" s="45" t="s">
        <v>2569</v>
      </c>
      <c r="F285" s="41" t="s">
        <v>2590</v>
      </c>
      <c r="G285" s="52">
        <v>25.0</v>
      </c>
      <c r="H285" s="53" t="s">
        <v>1660</v>
      </c>
      <c r="I285" s="53" t="s">
        <v>1643</v>
      </c>
      <c r="J285" s="45" t="s">
        <v>86</v>
      </c>
      <c r="K285" s="45" t="s">
        <v>86</v>
      </c>
      <c r="L285" s="45" t="s">
        <v>86</v>
      </c>
      <c r="M285" s="45" t="s">
        <v>86</v>
      </c>
      <c r="N285" s="54" t="s">
        <v>137</v>
      </c>
      <c r="O285" s="54" t="s">
        <v>137</v>
      </c>
      <c r="P285" s="54" t="s">
        <v>137</v>
      </c>
      <c r="Q285" s="54"/>
      <c r="R285" s="54"/>
      <c r="S285" s="49"/>
    </row>
    <row r="286">
      <c r="A286" s="50" t="s">
        <v>2294</v>
      </c>
      <c r="B286" s="51" t="s">
        <v>2293</v>
      </c>
      <c r="C286" s="52" t="s">
        <v>2620</v>
      </c>
      <c r="D286" s="41" t="s">
        <v>2715</v>
      </c>
      <c r="E286" s="45" t="s">
        <v>86</v>
      </c>
      <c r="F286" s="41" t="s">
        <v>2608</v>
      </c>
      <c r="G286" s="52">
        <v>15.0</v>
      </c>
      <c r="H286" s="53" t="s">
        <v>2298</v>
      </c>
      <c r="I286" s="53" t="s">
        <v>2297</v>
      </c>
      <c r="J286" s="45" t="s">
        <v>2569</v>
      </c>
      <c r="K286" s="45" t="s">
        <v>2569</v>
      </c>
      <c r="L286" s="45" t="s">
        <v>2569</v>
      </c>
      <c r="M286" s="45" t="s">
        <v>2569</v>
      </c>
      <c r="N286" s="54"/>
      <c r="O286" s="54"/>
      <c r="P286" s="54" t="s">
        <v>3188</v>
      </c>
      <c r="Q286" s="54"/>
      <c r="R286" s="54"/>
      <c r="S286" s="49"/>
    </row>
    <row r="287">
      <c r="A287" s="50" t="s">
        <v>3189</v>
      </c>
      <c r="B287" s="51" t="s">
        <v>3190</v>
      </c>
      <c r="C287" s="52" t="s">
        <v>73</v>
      </c>
      <c r="D287" s="41" t="s">
        <v>2589</v>
      </c>
      <c r="E287" s="45" t="s">
        <v>2569</v>
      </c>
      <c r="F287" s="41" t="s">
        <v>2590</v>
      </c>
      <c r="G287" s="52">
        <v>22.0</v>
      </c>
      <c r="H287" s="53" t="s">
        <v>3191</v>
      </c>
      <c r="I287" s="53"/>
      <c r="J287" s="45" t="s">
        <v>2569</v>
      </c>
      <c r="K287" s="45" t="s">
        <v>2569</v>
      </c>
      <c r="L287" s="45" t="s">
        <v>2569</v>
      </c>
      <c r="M287" s="45" t="s">
        <v>2569</v>
      </c>
      <c r="N287" s="54"/>
      <c r="O287" s="54"/>
      <c r="P287" s="54"/>
      <c r="Q287" s="54" t="s">
        <v>3192</v>
      </c>
      <c r="R287" s="54" t="s">
        <v>2675</v>
      </c>
      <c r="S287" s="49"/>
    </row>
    <row r="288">
      <c r="A288" s="50" t="s">
        <v>1650</v>
      </c>
      <c r="B288" s="51" t="s">
        <v>1649</v>
      </c>
      <c r="C288" s="52" t="s">
        <v>73</v>
      </c>
      <c r="D288" s="41" t="s">
        <v>2624</v>
      </c>
      <c r="E288" s="45" t="s">
        <v>2569</v>
      </c>
      <c r="F288" s="41" t="s">
        <v>2593</v>
      </c>
      <c r="G288" s="52">
        <v>48.0</v>
      </c>
      <c r="H288" s="53" t="s">
        <v>1653</v>
      </c>
      <c r="I288" s="53" t="s">
        <v>1652</v>
      </c>
      <c r="J288" s="45" t="s">
        <v>86</v>
      </c>
      <c r="K288" s="45" t="s">
        <v>86</v>
      </c>
      <c r="L288" s="45" t="s">
        <v>86</v>
      </c>
      <c r="M288" s="45" t="s">
        <v>86</v>
      </c>
      <c r="N288" s="54" t="s">
        <v>137</v>
      </c>
      <c r="O288" s="54" t="s">
        <v>1619</v>
      </c>
      <c r="P288" s="54" t="s">
        <v>1642</v>
      </c>
      <c r="Q288" s="54" t="s">
        <v>3193</v>
      </c>
      <c r="R288" s="54"/>
      <c r="S288" s="49"/>
    </row>
    <row r="289">
      <c r="A289" s="50" t="s">
        <v>1640</v>
      </c>
      <c r="B289" s="51" t="s">
        <v>1639</v>
      </c>
      <c r="C289" s="52" t="s">
        <v>73</v>
      </c>
      <c r="D289" s="41" t="s">
        <v>2624</v>
      </c>
      <c r="E289" s="45" t="s">
        <v>2569</v>
      </c>
      <c r="F289" s="41" t="s">
        <v>2593</v>
      </c>
      <c r="G289" s="52">
        <v>35.0</v>
      </c>
      <c r="H289" s="53" t="s">
        <v>1644</v>
      </c>
      <c r="I289" s="53" t="s">
        <v>1643</v>
      </c>
      <c r="J289" s="45" t="s">
        <v>2569</v>
      </c>
      <c r="K289" s="45" t="s">
        <v>2569</v>
      </c>
      <c r="L289" s="45" t="s">
        <v>2569</v>
      </c>
      <c r="M289" s="45" t="s">
        <v>2569</v>
      </c>
      <c r="N289" s="54" t="s">
        <v>137</v>
      </c>
      <c r="O289" s="54" t="s">
        <v>3194</v>
      </c>
      <c r="P289" s="54" t="s">
        <v>1642</v>
      </c>
      <c r="Q289" s="54" t="s">
        <v>3195</v>
      </c>
      <c r="R289" s="54"/>
      <c r="S289" s="49"/>
    </row>
    <row r="290">
      <c r="A290" s="50" t="s">
        <v>3196</v>
      </c>
      <c r="B290" s="51" t="s">
        <v>3197</v>
      </c>
      <c r="C290" s="52" t="s">
        <v>73</v>
      </c>
      <c r="D290" s="41" t="s">
        <v>2589</v>
      </c>
      <c r="E290" s="45" t="s">
        <v>86</v>
      </c>
      <c r="F290" s="41" t="s">
        <v>2593</v>
      </c>
      <c r="G290" s="52">
        <v>22.0</v>
      </c>
      <c r="H290" s="53" t="s">
        <v>3198</v>
      </c>
      <c r="I290" s="53"/>
      <c r="J290" s="45" t="s">
        <v>86</v>
      </c>
      <c r="K290" s="45" t="s">
        <v>2569</v>
      </c>
      <c r="L290" s="45" t="s">
        <v>2569</v>
      </c>
      <c r="M290" s="45" t="s">
        <v>2569</v>
      </c>
      <c r="N290" s="54"/>
      <c r="O290" s="54"/>
      <c r="P290" s="54"/>
      <c r="Q290" s="54" t="s">
        <v>3199</v>
      </c>
      <c r="R290" s="54" t="s">
        <v>3007</v>
      </c>
      <c r="S290" s="49"/>
    </row>
    <row r="291">
      <c r="A291" s="50" t="s">
        <v>1632</v>
      </c>
      <c r="B291" s="51" t="s">
        <v>1631</v>
      </c>
      <c r="C291" s="52" t="s">
        <v>108</v>
      </c>
      <c r="D291" s="41" t="s">
        <v>2573</v>
      </c>
      <c r="E291" s="45" t="s">
        <v>2569</v>
      </c>
      <c r="F291" s="41" t="s">
        <v>2590</v>
      </c>
      <c r="G291" s="52">
        <v>39.0</v>
      </c>
      <c r="H291" s="53" t="s">
        <v>1635</v>
      </c>
      <c r="I291" s="53" t="s">
        <v>1634</v>
      </c>
      <c r="J291" s="45" t="s">
        <v>2569</v>
      </c>
      <c r="K291" s="45" t="s">
        <v>2569</v>
      </c>
      <c r="L291" s="45" t="s">
        <v>2569</v>
      </c>
      <c r="M291" s="45" t="s">
        <v>2569</v>
      </c>
      <c r="N291" s="54" t="s">
        <v>286</v>
      </c>
      <c r="O291" s="54" t="s">
        <v>286</v>
      </c>
      <c r="P291" s="54" t="s">
        <v>286</v>
      </c>
      <c r="Q291" s="54" t="s">
        <v>3200</v>
      </c>
      <c r="R291" s="54"/>
      <c r="S291" s="49"/>
    </row>
    <row r="292">
      <c r="A292" s="50" t="s">
        <v>1043</v>
      </c>
      <c r="B292" s="51" t="s">
        <v>1042</v>
      </c>
      <c r="C292" s="52" t="s">
        <v>108</v>
      </c>
      <c r="D292" s="41" t="s">
        <v>2630</v>
      </c>
      <c r="E292" s="45" t="s">
        <v>86</v>
      </c>
      <c r="F292" s="41" t="s">
        <v>2608</v>
      </c>
      <c r="G292" s="52">
        <v>8.0</v>
      </c>
      <c r="H292" s="53" t="s">
        <v>1047</v>
      </c>
      <c r="I292" s="53" t="s">
        <v>1046</v>
      </c>
      <c r="J292" s="45" t="s">
        <v>86</v>
      </c>
      <c r="K292" s="45" t="s">
        <v>2569</v>
      </c>
      <c r="L292" s="45" t="s">
        <v>2569</v>
      </c>
      <c r="M292" s="45" t="s">
        <v>2569</v>
      </c>
      <c r="N292" s="54" t="s">
        <v>3201</v>
      </c>
      <c r="O292" s="54" t="s">
        <v>3202</v>
      </c>
      <c r="P292" s="54" t="s">
        <v>3203</v>
      </c>
      <c r="Q292" s="54" t="s">
        <v>3204</v>
      </c>
      <c r="R292" s="54"/>
      <c r="S292" s="49"/>
    </row>
    <row r="293">
      <c r="A293" s="50" t="s">
        <v>1138</v>
      </c>
      <c r="B293" s="51" t="s">
        <v>1137</v>
      </c>
      <c r="C293" s="52" t="s">
        <v>108</v>
      </c>
      <c r="D293" s="41" t="s">
        <v>2630</v>
      </c>
      <c r="E293" s="45" t="s">
        <v>86</v>
      </c>
      <c r="F293" s="41" t="s">
        <v>2608</v>
      </c>
      <c r="G293" s="52">
        <v>22.0</v>
      </c>
      <c r="H293" s="53" t="s">
        <v>1141</v>
      </c>
      <c r="I293" s="53" t="s">
        <v>1118</v>
      </c>
      <c r="J293" s="45" t="s">
        <v>86</v>
      </c>
      <c r="K293" s="45" t="s">
        <v>2569</v>
      </c>
      <c r="L293" s="45" t="s">
        <v>2569</v>
      </c>
      <c r="M293" s="45" t="s">
        <v>2569</v>
      </c>
      <c r="N293" s="54" t="s">
        <v>3201</v>
      </c>
      <c r="O293" s="54" t="s">
        <v>3202</v>
      </c>
      <c r="P293" s="54" t="s">
        <v>3203</v>
      </c>
      <c r="Q293" s="54" t="s">
        <v>3205</v>
      </c>
      <c r="R293" s="54"/>
      <c r="S293" s="49"/>
    </row>
    <row r="294">
      <c r="A294" s="50" t="s">
        <v>1385</v>
      </c>
      <c r="B294" s="51" t="s">
        <v>1384</v>
      </c>
      <c r="C294" s="52" t="s">
        <v>108</v>
      </c>
      <c r="D294" s="41" t="s">
        <v>3206</v>
      </c>
      <c r="E294" s="45" t="s">
        <v>86</v>
      </c>
      <c r="F294" s="41" t="s">
        <v>2570</v>
      </c>
      <c r="G294" s="52">
        <v>21.0</v>
      </c>
      <c r="H294" s="53" t="s">
        <v>1389</v>
      </c>
      <c r="I294" s="53" t="s">
        <v>1388</v>
      </c>
      <c r="J294" s="45" t="s">
        <v>86</v>
      </c>
      <c r="K294" s="45" t="s">
        <v>86</v>
      </c>
      <c r="L294" s="45" t="s">
        <v>86</v>
      </c>
      <c r="M294" s="45" t="s">
        <v>86</v>
      </c>
      <c r="N294" s="54" t="s">
        <v>1393</v>
      </c>
      <c r="O294" s="54" t="s">
        <v>1392</v>
      </c>
      <c r="P294" s="54" t="s">
        <v>1387</v>
      </c>
      <c r="Q294" s="54" t="s">
        <v>3207</v>
      </c>
      <c r="R294" s="54"/>
      <c r="S294" s="49"/>
    </row>
    <row r="295">
      <c r="A295" s="50" t="s">
        <v>1009</v>
      </c>
      <c r="B295" s="51" t="s">
        <v>1008</v>
      </c>
      <c r="C295" s="52" t="s">
        <v>108</v>
      </c>
      <c r="D295" s="54"/>
      <c r="E295" s="45" t="s">
        <v>86</v>
      </c>
      <c r="F295" s="54"/>
      <c r="G295" s="52">
        <v>18.0</v>
      </c>
      <c r="H295" s="53" t="s">
        <v>1012</v>
      </c>
      <c r="I295" s="53" t="s">
        <v>1011</v>
      </c>
      <c r="J295" s="45" t="s">
        <v>2569</v>
      </c>
      <c r="K295" s="45" t="s">
        <v>2569</v>
      </c>
      <c r="L295" s="45" t="s">
        <v>2569</v>
      </c>
      <c r="M295" s="45" t="s">
        <v>2569</v>
      </c>
      <c r="N295" s="54"/>
      <c r="O295" s="54"/>
      <c r="P295" s="54"/>
      <c r="Q295" s="54" t="s">
        <v>3208</v>
      </c>
      <c r="R295" s="54" t="s">
        <v>3209</v>
      </c>
      <c r="S295" s="49"/>
    </row>
    <row r="296">
      <c r="A296" s="50" t="s">
        <v>1622</v>
      </c>
      <c r="B296" s="51" t="s">
        <v>1621</v>
      </c>
      <c r="C296" s="52" t="s">
        <v>73</v>
      </c>
      <c r="D296" s="50" t="s">
        <v>73</v>
      </c>
      <c r="E296" s="45" t="s">
        <v>2569</v>
      </c>
      <c r="F296" s="41" t="s">
        <v>2574</v>
      </c>
      <c r="G296" s="52">
        <v>28.0</v>
      </c>
      <c r="H296" s="46" t="s">
        <v>1626</v>
      </c>
      <c r="I296" s="53"/>
      <c r="J296" s="45" t="s">
        <v>2569</v>
      </c>
      <c r="K296" s="45" t="s">
        <v>2569</v>
      </c>
      <c r="L296" s="45" t="s">
        <v>2569</v>
      </c>
      <c r="M296" s="45" t="s">
        <v>2569</v>
      </c>
      <c r="N296" s="54" t="s">
        <v>3210</v>
      </c>
      <c r="O296" s="54" t="s">
        <v>1363</v>
      </c>
      <c r="P296" s="54" t="s">
        <v>1624</v>
      </c>
      <c r="Q296" s="54"/>
      <c r="R296" s="54"/>
      <c r="S296" s="49"/>
    </row>
    <row r="297">
      <c r="A297" s="50" t="s">
        <v>1613</v>
      </c>
      <c r="B297" s="51" t="s">
        <v>1612</v>
      </c>
      <c r="C297" s="52" t="s">
        <v>2693</v>
      </c>
      <c r="D297" s="41" t="s">
        <v>2624</v>
      </c>
      <c r="E297" s="45" t="s">
        <v>2569</v>
      </c>
      <c r="F297" s="41" t="s">
        <v>2593</v>
      </c>
      <c r="G297" s="52">
        <v>50.0</v>
      </c>
      <c r="H297" s="53" t="s">
        <v>1616</v>
      </c>
      <c r="I297" s="53" t="s">
        <v>1615</v>
      </c>
      <c r="J297" s="45" t="s">
        <v>86</v>
      </c>
      <c r="K297" s="45" t="s">
        <v>2569</v>
      </c>
      <c r="L297" s="45" t="s">
        <v>2569</v>
      </c>
      <c r="M297" s="45" t="s">
        <v>2569</v>
      </c>
      <c r="N297" s="54"/>
      <c r="O297" s="54" t="s">
        <v>1619</v>
      </c>
      <c r="P297" s="54"/>
      <c r="Q297" s="54"/>
      <c r="R297" s="54"/>
      <c r="S297" s="49"/>
    </row>
    <row r="298">
      <c r="A298" s="50" t="s">
        <v>147</v>
      </c>
      <c r="B298" s="51" t="s">
        <v>146</v>
      </c>
      <c r="C298" s="52" t="s">
        <v>73</v>
      </c>
      <c r="D298" s="41" t="s">
        <v>2820</v>
      </c>
      <c r="E298" s="45" t="s">
        <v>86</v>
      </c>
      <c r="F298" s="41" t="s">
        <v>2593</v>
      </c>
      <c r="G298" s="52">
        <v>15.0</v>
      </c>
      <c r="H298" s="53" t="s">
        <v>151</v>
      </c>
      <c r="I298" s="53" t="s">
        <v>150</v>
      </c>
      <c r="J298" s="45" t="s">
        <v>86</v>
      </c>
      <c r="K298" s="45" t="s">
        <v>86</v>
      </c>
      <c r="L298" s="45" t="s">
        <v>86</v>
      </c>
      <c r="M298" s="45" t="s">
        <v>86</v>
      </c>
      <c r="N298" s="54" t="s">
        <v>154</v>
      </c>
      <c r="O298" s="54" t="s">
        <v>137</v>
      </c>
      <c r="P298" s="54" t="s">
        <v>137</v>
      </c>
      <c r="Q298" s="54"/>
      <c r="R298" s="54"/>
      <c r="S298" s="49"/>
    </row>
    <row r="299">
      <c r="A299" s="50" t="s">
        <v>1333</v>
      </c>
      <c r="B299" s="51" t="s">
        <v>1332</v>
      </c>
      <c r="C299" s="52" t="s">
        <v>2693</v>
      </c>
      <c r="D299" s="50" t="s">
        <v>73</v>
      </c>
      <c r="E299" s="45" t="s">
        <v>86</v>
      </c>
      <c r="F299" s="41" t="s">
        <v>2574</v>
      </c>
      <c r="G299" s="52">
        <v>25.0</v>
      </c>
      <c r="H299" s="53" t="s">
        <v>1334</v>
      </c>
      <c r="I299" s="53" t="s">
        <v>150</v>
      </c>
      <c r="J299" s="45" t="s">
        <v>2569</v>
      </c>
      <c r="K299" s="45" t="s">
        <v>2569</v>
      </c>
      <c r="L299" s="45" t="s">
        <v>2569</v>
      </c>
      <c r="M299" s="45" t="s">
        <v>2569</v>
      </c>
      <c r="N299" s="54" t="s">
        <v>1337</v>
      </c>
      <c r="O299" s="54" t="s">
        <v>137</v>
      </c>
      <c r="P299" s="54" t="s">
        <v>137</v>
      </c>
      <c r="Q299" s="54"/>
      <c r="R299" s="54"/>
      <c r="S299" s="49"/>
    </row>
    <row r="300">
      <c r="A300" s="50" t="s">
        <v>866</v>
      </c>
      <c r="B300" s="51" t="s">
        <v>865</v>
      </c>
      <c r="C300" s="52" t="s">
        <v>108</v>
      </c>
      <c r="D300" s="50" t="s">
        <v>108</v>
      </c>
      <c r="E300" s="45" t="s">
        <v>86</v>
      </c>
      <c r="F300" s="41" t="s">
        <v>2590</v>
      </c>
      <c r="G300" s="52">
        <v>18.0</v>
      </c>
      <c r="H300" s="53" t="s">
        <v>872</v>
      </c>
      <c r="I300" s="53" t="s">
        <v>871</v>
      </c>
      <c r="J300" s="45" t="s">
        <v>86</v>
      </c>
      <c r="K300" s="45" t="s">
        <v>86</v>
      </c>
      <c r="L300" s="45" t="s">
        <v>86</v>
      </c>
      <c r="M300" s="45" t="s">
        <v>86</v>
      </c>
      <c r="N300" s="54" t="s">
        <v>876</v>
      </c>
      <c r="O300" s="54" t="s">
        <v>875</v>
      </c>
      <c r="P300" s="54" t="s">
        <v>3211</v>
      </c>
      <c r="Q300" s="54" t="s">
        <v>3212</v>
      </c>
      <c r="R300" s="54" t="s">
        <v>3213</v>
      </c>
      <c r="S300" s="49"/>
    </row>
    <row r="301">
      <c r="A301" s="50" t="s">
        <v>1347</v>
      </c>
      <c r="B301" s="51" t="s">
        <v>1346</v>
      </c>
      <c r="C301" s="52" t="s">
        <v>73</v>
      </c>
      <c r="D301" s="41" t="s">
        <v>2589</v>
      </c>
      <c r="E301" s="45" t="s">
        <v>86</v>
      </c>
      <c r="F301" s="41" t="s">
        <v>2578</v>
      </c>
      <c r="G301" s="52">
        <v>32.0</v>
      </c>
      <c r="H301" s="53" t="s">
        <v>1334</v>
      </c>
      <c r="I301" s="53" t="s">
        <v>150</v>
      </c>
      <c r="J301" s="45" t="s">
        <v>86</v>
      </c>
      <c r="K301" s="45" t="s">
        <v>86</v>
      </c>
      <c r="L301" s="45" t="s">
        <v>86</v>
      </c>
      <c r="M301" s="45" t="s">
        <v>86</v>
      </c>
      <c r="N301" s="54" t="s">
        <v>1353</v>
      </c>
      <c r="O301" s="54" t="s">
        <v>1352</v>
      </c>
      <c r="P301" s="54" t="s">
        <v>1349</v>
      </c>
      <c r="Q301" s="54" t="s">
        <v>3214</v>
      </c>
      <c r="R301" s="54"/>
      <c r="S301" s="49"/>
    </row>
    <row r="302">
      <c r="A302" s="50" t="s">
        <v>1602</v>
      </c>
      <c r="B302" s="51" t="s">
        <v>1601</v>
      </c>
      <c r="C302" s="52" t="s">
        <v>2620</v>
      </c>
      <c r="D302" s="41" t="s">
        <v>2829</v>
      </c>
      <c r="E302" s="45" t="s">
        <v>86</v>
      </c>
      <c r="F302" s="41" t="s">
        <v>2578</v>
      </c>
      <c r="G302" s="52">
        <v>35.0</v>
      </c>
      <c r="H302" s="53" t="s">
        <v>3215</v>
      </c>
      <c r="I302" s="53" t="s">
        <v>1118</v>
      </c>
      <c r="J302" s="45" t="s">
        <v>86</v>
      </c>
      <c r="K302" s="45" t="s">
        <v>86</v>
      </c>
      <c r="L302" s="45" t="s">
        <v>86</v>
      </c>
      <c r="M302" s="45" t="s">
        <v>86</v>
      </c>
      <c r="N302" s="54" t="s">
        <v>3216</v>
      </c>
      <c r="O302" s="54" t="s">
        <v>3217</v>
      </c>
      <c r="P302" s="54" t="s">
        <v>1605</v>
      </c>
      <c r="Q302" s="54"/>
      <c r="R302" s="54"/>
      <c r="S302" s="49"/>
    </row>
    <row r="303">
      <c r="A303" s="50" t="s">
        <v>1594</v>
      </c>
      <c r="B303" s="51" t="s">
        <v>1593</v>
      </c>
      <c r="C303" s="52" t="s">
        <v>73</v>
      </c>
      <c r="D303" s="41" t="s">
        <v>2747</v>
      </c>
      <c r="E303" s="45" t="s">
        <v>2569</v>
      </c>
      <c r="F303" s="41" t="s">
        <v>2593</v>
      </c>
      <c r="G303" s="52">
        <v>38.0</v>
      </c>
      <c r="H303" s="53" t="s">
        <v>1597</v>
      </c>
      <c r="I303" s="53" t="s">
        <v>1596</v>
      </c>
      <c r="J303" s="45" t="s">
        <v>2569</v>
      </c>
      <c r="K303" s="45" t="s">
        <v>2569</v>
      </c>
      <c r="L303" s="45" t="s">
        <v>2569</v>
      </c>
      <c r="M303" s="45" t="s">
        <v>2569</v>
      </c>
      <c r="N303" s="54" t="s">
        <v>137</v>
      </c>
      <c r="O303" s="54" t="s">
        <v>137</v>
      </c>
      <c r="P303" s="54" t="s">
        <v>137</v>
      </c>
      <c r="Q303" s="54"/>
      <c r="R303" s="54"/>
      <c r="S303" s="49"/>
    </row>
    <row r="304">
      <c r="A304" s="50" t="s">
        <v>1165</v>
      </c>
      <c r="B304" s="51" t="s">
        <v>1164</v>
      </c>
      <c r="C304" s="52" t="s">
        <v>108</v>
      </c>
      <c r="D304" s="50" t="s">
        <v>108</v>
      </c>
      <c r="E304" s="45" t="s">
        <v>86</v>
      </c>
      <c r="F304" s="41" t="s">
        <v>2574</v>
      </c>
      <c r="G304" s="52">
        <v>25.0</v>
      </c>
      <c r="H304" s="53" t="s">
        <v>1170</v>
      </c>
      <c r="I304" s="53" t="s">
        <v>1169</v>
      </c>
      <c r="J304" s="45" t="s">
        <v>86</v>
      </c>
      <c r="K304" s="45" t="s">
        <v>86</v>
      </c>
      <c r="L304" s="45" t="s">
        <v>86</v>
      </c>
      <c r="M304" s="45" t="s">
        <v>86</v>
      </c>
      <c r="N304" s="54"/>
      <c r="O304" s="54"/>
      <c r="P304" s="54"/>
      <c r="Q304" s="54"/>
      <c r="R304" s="54"/>
      <c r="S304" s="49"/>
    </row>
    <row r="305">
      <c r="A305" s="50" t="s">
        <v>646</v>
      </c>
      <c r="B305" s="51" t="s">
        <v>645</v>
      </c>
      <c r="C305" s="52" t="s">
        <v>108</v>
      </c>
      <c r="D305" s="41" t="s">
        <v>2630</v>
      </c>
      <c r="E305" s="45" t="s">
        <v>2569</v>
      </c>
      <c r="F305" s="41" t="s">
        <v>2574</v>
      </c>
      <c r="G305" s="52">
        <v>47.0</v>
      </c>
      <c r="H305" s="53" t="s">
        <v>651</v>
      </c>
      <c r="I305" s="53" t="s">
        <v>650</v>
      </c>
      <c r="J305" s="45" t="s">
        <v>86</v>
      </c>
      <c r="K305" s="45" t="s">
        <v>2569</v>
      </c>
      <c r="L305" s="45" t="s">
        <v>86</v>
      </c>
      <c r="M305" s="45" t="s">
        <v>86</v>
      </c>
      <c r="N305" s="54" t="s">
        <v>3218</v>
      </c>
      <c r="O305" s="54" t="s">
        <v>3219</v>
      </c>
      <c r="P305" s="54" t="s">
        <v>649</v>
      </c>
      <c r="Q305" s="54" t="s">
        <v>3220</v>
      </c>
      <c r="R305" s="54"/>
      <c r="S305" s="49"/>
    </row>
    <row r="306">
      <c r="A306" s="50" t="s">
        <v>3221</v>
      </c>
      <c r="B306" s="51" t="s">
        <v>3222</v>
      </c>
      <c r="C306" s="52" t="s">
        <v>108</v>
      </c>
      <c r="D306" s="50" t="s">
        <v>108</v>
      </c>
      <c r="E306" s="45" t="s">
        <v>2569</v>
      </c>
      <c r="F306" s="54"/>
      <c r="G306" s="52">
        <v>22.0</v>
      </c>
      <c r="H306" s="53" t="s">
        <v>3223</v>
      </c>
      <c r="I306" s="53" t="s">
        <v>3224</v>
      </c>
      <c r="J306" s="45" t="s">
        <v>2569</v>
      </c>
      <c r="K306" s="45" t="s">
        <v>2569</v>
      </c>
      <c r="L306" s="45" t="s">
        <v>2569</v>
      </c>
      <c r="M306" s="45" t="s">
        <v>2569</v>
      </c>
      <c r="N306" s="54"/>
      <c r="O306" s="54"/>
      <c r="P306" s="54"/>
      <c r="Q306" s="54" t="s">
        <v>3225</v>
      </c>
      <c r="R306" s="54" t="s">
        <v>2605</v>
      </c>
      <c r="S306" s="49"/>
    </row>
    <row r="307">
      <c r="A307" s="50" t="s">
        <v>3226</v>
      </c>
      <c r="B307" s="51" t="s">
        <v>3227</v>
      </c>
      <c r="C307" s="52" t="s">
        <v>73</v>
      </c>
      <c r="D307" s="41" t="s">
        <v>2589</v>
      </c>
      <c r="E307" s="45" t="s">
        <v>86</v>
      </c>
      <c r="F307" s="41" t="s">
        <v>2593</v>
      </c>
      <c r="G307" s="52">
        <v>28.0</v>
      </c>
      <c r="H307" s="53" t="s">
        <v>3228</v>
      </c>
      <c r="I307" s="53" t="s">
        <v>3229</v>
      </c>
      <c r="J307" s="45" t="s">
        <v>2569</v>
      </c>
      <c r="K307" s="45" t="s">
        <v>2569</v>
      </c>
      <c r="L307" s="45" t="s">
        <v>2569</v>
      </c>
      <c r="M307" s="45" t="s">
        <v>2569</v>
      </c>
      <c r="N307" s="54"/>
      <c r="O307" s="54"/>
      <c r="P307" s="54"/>
      <c r="Q307" s="54" t="s">
        <v>3230</v>
      </c>
      <c r="R307" s="54" t="s">
        <v>3231</v>
      </c>
      <c r="S307" s="49"/>
    </row>
    <row r="308">
      <c r="A308" s="50" t="s">
        <v>1585</v>
      </c>
      <c r="B308" s="51" t="s">
        <v>1584</v>
      </c>
      <c r="C308" s="52" t="s">
        <v>2693</v>
      </c>
      <c r="D308" s="41" t="s">
        <v>2573</v>
      </c>
      <c r="E308" s="45" t="s">
        <v>2569</v>
      </c>
      <c r="F308" s="41" t="s">
        <v>2590</v>
      </c>
      <c r="G308" s="52">
        <v>50.0</v>
      </c>
      <c r="H308" s="53" t="s">
        <v>1588</v>
      </c>
      <c r="I308" s="53" t="s">
        <v>1587</v>
      </c>
      <c r="J308" s="45" t="s">
        <v>86</v>
      </c>
      <c r="K308" s="45" t="s">
        <v>2569</v>
      </c>
      <c r="L308" s="45" t="s">
        <v>2569</v>
      </c>
      <c r="M308" s="45" t="s">
        <v>2569</v>
      </c>
      <c r="N308" s="54"/>
      <c r="O308" s="54" t="s">
        <v>1591</v>
      </c>
      <c r="P308" s="54"/>
      <c r="Q308" s="54" t="s">
        <v>3232</v>
      </c>
      <c r="R308" s="54"/>
      <c r="S308" s="49"/>
    </row>
    <row r="309">
      <c r="A309" s="50" t="s">
        <v>1566</v>
      </c>
      <c r="B309" s="51" t="s">
        <v>1565</v>
      </c>
      <c r="C309" s="52" t="s">
        <v>2667</v>
      </c>
      <c r="D309" s="50" t="s">
        <v>2667</v>
      </c>
      <c r="E309" s="45" t="s">
        <v>2569</v>
      </c>
      <c r="F309" s="41" t="s">
        <v>2608</v>
      </c>
      <c r="G309" s="52">
        <v>39.0</v>
      </c>
      <c r="H309" s="53" t="s">
        <v>1569</v>
      </c>
      <c r="I309" s="53" t="s">
        <v>1548</v>
      </c>
      <c r="J309" s="45" t="s">
        <v>86</v>
      </c>
      <c r="K309" s="45" t="s">
        <v>86</v>
      </c>
      <c r="L309" s="45" t="s">
        <v>86</v>
      </c>
      <c r="M309" s="45" t="s">
        <v>86</v>
      </c>
      <c r="N309" s="54" t="s">
        <v>3233</v>
      </c>
      <c r="O309" s="54" t="s">
        <v>3234</v>
      </c>
      <c r="P309" s="54" t="s">
        <v>1568</v>
      </c>
      <c r="Q309" s="54" t="s">
        <v>3235</v>
      </c>
      <c r="R309" s="54"/>
      <c r="S309" s="49"/>
    </row>
    <row r="310">
      <c r="A310" s="50" t="s">
        <v>3236</v>
      </c>
      <c r="B310" s="51" t="s">
        <v>3237</v>
      </c>
      <c r="C310" s="52" t="s">
        <v>108</v>
      </c>
      <c r="D310" s="41" t="s">
        <v>2833</v>
      </c>
      <c r="E310" s="45" t="s">
        <v>86</v>
      </c>
      <c r="F310" s="41" t="s">
        <v>2608</v>
      </c>
      <c r="G310" s="52">
        <v>22.0</v>
      </c>
      <c r="H310" s="53" t="s">
        <v>3238</v>
      </c>
      <c r="I310" s="53"/>
      <c r="J310" s="45" t="s">
        <v>2569</v>
      </c>
      <c r="K310" s="45" t="s">
        <v>2569</v>
      </c>
      <c r="L310" s="45" t="s">
        <v>2569</v>
      </c>
      <c r="M310" s="45" t="s">
        <v>2569</v>
      </c>
      <c r="N310" s="54"/>
      <c r="O310" s="54"/>
      <c r="P310" s="54" t="s">
        <v>204</v>
      </c>
      <c r="Q310" s="54" t="s">
        <v>3239</v>
      </c>
      <c r="R310" s="54"/>
      <c r="S310" s="49"/>
    </row>
    <row r="311">
      <c r="A311" s="50" t="s">
        <v>2403</v>
      </c>
      <c r="B311" s="51" t="s">
        <v>2402</v>
      </c>
      <c r="C311" s="52" t="s">
        <v>108</v>
      </c>
      <c r="D311" s="41" t="s">
        <v>2630</v>
      </c>
      <c r="E311" s="45" t="s">
        <v>86</v>
      </c>
      <c r="F311" s="41" t="s">
        <v>2608</v>
      </c>
      <c r="G311" s="52">
        <v>28.0</v>
      </c>
      <c r="H311" s="53" t="s">
        <v>2406</v>
      </c>
      <c r="I311" s="53"/>
      <c r="J311" s="45" t="s">
        <v>2569</v>
      </c>
      <c r="K311" s="45" t="s">
        <v>2569</v>
      </c>
      <c r="L311" s="45" t="s">
        <v>2569</v>
      </c>
      <c r="M311" s="45" t="s">
        <v>2569</v>
      </c>
      <c r="N311" s="54"/>
      <c r="O311" s="54"/>
      <c r="P311" s="54"/>
      <c r="Q311" s="54"/>
      <c r="R311" s="54" t="s">
        <v>3240</v>
      </c>
      <c r="S311" s="49"/>
    </row>
    <row r="312">
      <c r="A312" s="50" t="s">
        <v>2419</v>
      </c>
      <c r="B312" s="51" t="s">
        <v>2418</v>
      </c>
      <c r="C312" s="52" t="s">
        <v>2667</v>
      </c>
      <c r="D312" s="41" t="s">
        <v>2808</v>
      </c>
      <c r="E312" s="45" t="s">
        <v>86</v>
      </c>
      <c r="F312" s="41" t="s">
        <v>2574</v>
      </c>
      <c r="G312" s="52">
        <v>13.0</v>
      </c>
      <c r="H312" s="53" t="s">
        <v>2424</v>
      </c>
      <c r="I312" s="53" t="s">
        <v>2423</v>
      </c>
      <c r="J312" s="45" t="s">
        <v>2569</v>
      </c>
      <c r="K312" s="45" t="s">
        <v>2569</v>
      </c>
      <c r="L312" s="45" t="s">
        <v>2569</v>
      </c>
      <c r="M312" s="45" t="s">
        <v>2569</v>
      </c>
      <c r="N312" s="54"/>
      <c r="O312" s="54"/>
      <c r="P312" s="54" t="s">
        <v>2780</v>
      </c>
      <c r="Q312" s="54" t="s">
        <v>3241</v>
      </c>
      <c r="R312" s="54"/>
      <c r="S312" s="49"/>
    </row>
    <row r="313">
      <c r="A313" s="50" t="s">
        <v>550</v>
      </c>
      <c r="B313" s="51" t="s">
        <v>549</v>
      </c>
      <c r="C313" s="52" t="s">
        <v>73</v>
      </c>
      <c r="D313" s="41" t="s">
        <v>2580</v>
      </c>
      <c r="E313" s="45" t="s">
        <v>86</v>
      </c>
      <c r="F313" s="41" t="s">
        <v>2593</v>
      </c>
      <c r="G313" s="52">
        <v>35.0</v>
      </c>
      <c r="H313" s="53" t="s">
        <v>553</v>
      </c>
      <c r="I313" s="53" t="s">
        <v>3242</v>
      </c>
      <c r="J313" s="45" t="s">
        <v>86</v>
      </c>
      <c r="K313" s="45" t="s">
        <v>86</v>
      </c>
      <c r="L313" s="45" t="s">
        <v>86</v>
      </c>
      <c r="M313" s="45" t="s">
        <v>86</v>
      </c>
      <c r="N313" s="54" t="s">
        <v>3243</v>
      </c>
      <c r="O313" s="54" t="s">
        <v>3244</v>
      </c>
      <c r="P313" s="54" t="s">
        <v>3245</v>
      </c>
      <c r="Q313" s="54" t="s">
        <v>3246</v>
      </c>
      <c r="R313" s="54" t="s">
        <v>144</v>
      </c>
      <c r="S313" s="49"/>
    </row>
    <row r="314">
      <c r="A314" s="50" t="s">
        <v>1556</v>
      </c>
      <c r="B314" s="51" t="s">
        <v>1555</v>
      </c>
      <c r="C314" s="52" t="s">
        <v>48</v>
      </c>
      <c r="D314" s="41" t="s">
        <v>3067</v>
      </c>
      <c r="E314" s="45" t="s">
        <v>2569</v>
      </c>
      <c r="F314" s="41" t="s">
        <v>2578</v>
      </c>
      <c r="G314" s="52">
        <v>27.0</v>
      </c>
      <c r="H314" s="53" t="s">
        <v>1561</v>
      </c>
      <c r="I314" s="53" t="s">
        <v>1560</v>
      </c>
      <c r="J314" s="45" t="s">
        <v>2569</v>
      </c>
      <c r="K314" s="45" t="s">
        <v>2569</v>
      </c>
      <c r="L314" s="45" t="s">
        <v>2569</v>
      </c>
      <c r="M314" s="45" t="s">
        <v>86</v>
      </c>
      <c r="N314" s="54"/>
      <c r="O314" s="54"/>
      <c r="P314" s="54"/>
      <c r="Q314" s="54"/>
      <c r="R314" s="54"/>
      <c r="S314" s="49"/>
    </row>
    <row r="315">
      <c r="A315" s="50" t="s">
        <v>2375</v>
      </c>
      <c r="B315" s="51" t="s">
        <v>2374</v>
      </c>
      <c r="C315" s="52" t="s">
        <v>108</v>
      </c>
      <c r="D315" s="50" t="s">
        <v>108</v>
      </c>
      <c r="E315" s="45" t="s">
        <v>2569</v>
      </c>
      <c r="F315" s="41" t="s">
        <v>2590</v>
      </c>
      <c r="G315" s="52">
        <v>18.0</v>
      </c>
      <c r="H315" s="53" t="s">
        <v>2377</v>
      </c>
      <c r="I315" s="53" t="s">
        <v>2374</v>
      </c>
      <c r="J315" s="45" t="s">
        <v>86</v>
      </c>
      <c r="K315" s="45" t="s">
        <v>2569</v>
      </c>
      <c r="L315" s="45" t="s">
        <v>2569</v>
      </c>
      <c r="M315" s="45" t="s">
        <v>2569</v>
      </c>
      <c r="N315" s="54"/>
      <c r="O315" s="54"/>
      <c r="P315" s="54" t="s">
        <v>204</v>
      </c>
      <c r="Q315" s="54"/>
      <c r="R315" s="54"/>
      <c r="S315" s="49"/>
    </row>
    <row r="316">
      <c r="A316" s="54"/>
      <c r="B316" s="55"/>
      <c r="C316" s="49"/>
      <c r="D316" s="54"/>
      <c r="E316" s="49"/>
      <c r="F316" s="54"/>
      <c r="G316" s="49"/>
      <c r="H316" s="49"/>
      <c r="I316" s="49"/>
      <c r="J316" s="49"/>
      <c r="K316" s="49"/>
      <c r="L316" s="49"/>
      <c r="M316" s="49"/>
      <c r="N316" s="49"/>
      <c r="O316" s="49"/>
      <c r="P316" s="49"/>
      <c r="Q316" s="49"/>
      <c r="R316" s="49"/>
      <c r="S316" s="49"/>
    </row>
    <row r="317">
      <c r="A317" s="54"/>
      <c r="B317" s="55"/>
      <c r="C317" s="49"/>
      <c r="D317" s="54"/>
      <c r="E317" s="49"/>
      <c r="F317" s="54"/>
      <c r="G317" s="49"/>
      <c r="H317" s="49"/>
      <c r="I317" s="49"/>
      <c r="J317" s="49"/>
      <c r="K317" s="49"/>
      <c r="L317" s="49"/>
      <c r="M317" s="49"/>
      <c r="N317" s="49"/>
      <c r="O317" s="49"/>
      <c r="P317" s="49"/>
      <c r="Q317" s="49"/>
      <c r="R317" s="49"/>
      <c r="S317" s="49"/>
    </row>
    <row r="318">
      <c r="A318" s="54"/>
      <c r="B318" s="55"/>
      <c r="C318" s="49"/>
      <c r="D318" s="54"/>
      <c r="E318" s="49"/>
      <c r="F318" s="54"/>
      <c r="G318" s="49"/>
      <c r="H318" s="49"/>
      <c r="I318" s="49"/>
      <c r="J318" s="49"/>
      <c r="K318" s="49"/>
      <c r="L318" s="49"/>
      <c r="M318" s="49"/>
      <c r="N318" s="49"/>
      <c r="O318" s="49"/>
      <c r="P318" s="49"/>
      <c r="Q318" s="49"/>
      <c r="R318" s="49"/>
      <c r="S318" s="49"/>
    </row>
    <row r="319">
      <c r="A319" s="54"/>
      <c r="B319" s="55"/>
      <c r="C319" s="49"/>
      <c r="D319" s="54"/>
      <c r="E319" s="49"/>
      <c r="F319" s="54"/>
      <c r="G319" s="49"/>
      <c r="H319" s="49"/>
      <c r="I319" s="49"/>
      <c r="J319" s="49"/>
      <c r="K319" s="49"/>
      <c r="L319" s="49"/>
      <c r="M319" s="49"/>
      <c r="N319" s="49"/>
      <c r="O319" s="49"/>
      <c r="P319" s="49"/>
      <c r="Q319" s="49"/>
      <c r="R319" s="49"/>
      <c r="S319" s="49"/>
    </row>
    <row r="320">
      <c r="A320" s="54"/>
      <c r="B320" s="55"/>
      <c r="C320" s="49"/>
      <c r="D320" s="54"/>
      <c r="E320" s="49"/>
      <c r="F320" s="54"/>
      <c r="G320" s="49"/>
      <c r="H320" s="49"/>
      <c r="I320" s="49"/>
      <c r="J320" s="49"/>
      <c r="K320" s="49"/>
      <c r="L320" s="49"/>
      <c r="M320" s="49"/>
      <c r="N320" s="49"/>
      <c r="O320" s="49"/>
      <c r="P320" s="49"/>
      <c r="Q320" s="49"/>
      <c r="R320" s="49"/>
      <c r="S320" s="49"/>
    </row>
    <row r="321">
      <c r="A321" s="54"/>
      <c r="B321" s="55"/>
      <c r="C321" s="49"/>
      <c r="D321" s="54"/>
      <c r="E321" s="49"/>
      <c r="F321" s="54"/>
      <c r="G321" s="49"/>
      <c r="H321" s="49"/>
      <c r="I321" s="49"/>
      <c r="J321" s="49"/>
      <c r="K321" s="49"/>
      <c r="L321" s="49"/>
      <c r="M321" s="49"/>
      <c r="N321" s="49"/>
      <c r="O321" s="49"/>
      <c r="P321" s="49"/>
      <c r="Q321" s="49"/>
      <c r="R321" s="49"/>
      <c r="S321" s="49"/>
    </row>
    <row r="322">
      <c r="A322" s="54"/>
      <c r="B322" s="55"/>
      <c r="C322" s="49"/>
      <c r="D322" s="54"/>
      <c r="E322" s="49"/>
      <c r="F322" s="54"/>
      <c r="G322" s="49"/>
      <c r="H322" s="49"/>
      <c r="I322" s="49"/>
      <c r="J322" s="49"/>
      <c r="K322" s="49"/>
      <c r="L322" s="49"/>
      <c r="M322" s="49"/>
      <c r="N322" s="49"/>
      <c r="O322" s="49"/>
      <c r="P322" s="49"/>
      <c r="Q322" s="49"/>
      <c r="R322" s="49"/>
      <c r="S322" s="49"/>
    </row>
    <row r="323">
      <c r="A323" s="54"/>
      <c r="B323" s="55"/>
      <c r="C323" s="49"/>
      <c r="D323" s="54"/>
      <c r="E323" s="49"/>
      <c r="F323" s="54"/>
      <c r="G323" s="49"/>
      <c r="H323" s="49"/>
      <c r="I323" s="49"/>
      <c r="J323" s="49"/>
      <c r="K323" s="49"/>
      <c r="L323" s="49"/>
      <c r="M323" s="49"/>
      <c r="N323" s="49"/>
      <c r="O323" s="49"/>
      <c r="P323" s="49"/>
      <c r="Q323" s="49"/>
      <c r="R323" s="49"/>
      <c r="S323" s="49"/>
    </row>
    <row r="324">
      <c r="A324" s="54"/>
      <c r="B324" s="55"/>
      <c r="C324" s="49"/>
      <c r="D324" s="54"/>
      <c r="E324" s="49"/>
      <c r="F324" s="54"/>
      <c r="G324" s="49"/>
      <c r="H324" s="49"/>
      <c r="I324" s="49"/>
      <c r="J324" s="49"/>
      <c r="K324" s="49"/>
      <c r="L324" s="49"/>
      <c r="M324" s="49"/>
      <c r="N324" s="49"/>
      <c r="O324" s="49"/>
      <c r="P324" s="49"/>
      <c r="Q324" s="49"/>
      <c r="R324" s="49"/>
      <c r="S324" s="49"/>
    </row>
    <row r="325">
      <c r="A325" s="54"/>
      <c r="B325" s="55"/>
      <c r="C325" s="49"/>
      <c r="D325" s="54"/>
      <c r="E325" s="49"/>
      <c r="F325" s="54"/>
      <c r="G325" s="49"/>
      <c r="H325" s="49"/>
      <c r="I325" s="49"/>
      <c r="J325" s="49"/>
      <c r="K325" s="49"/>
      <c r="L325" s="49"/>
      <c r="M325" s="49"/>
      <c r="N325" s="49"/>
      <c r="O325" s="49"/>
      <c r="P325" s="49"/>
      <c r="Q325" s="49"/>
      <c r="R325" s="49"/>
      <c r="S325" s="49"/>
    </row>
    <row r="326">
      <c r="A326" s="54"/>
      <c r="B326" s="55"/>
      <c r="C326" s="49"/>
      <c r="D326" s="54"/>
      <c r="E326" s="49"/>
      <c r="F326" s="54"/>
      <c r="G326" s="49"/>
      <c r="H326" s="49"/>
      <c r="I326" s="49"/>
      <c r="J326" s="49"/>
      <c r="K326" s="49"/>
      <c r="L326" s="49"/>
      <c r="M326" s="49"/>
      <c r="N326" s="49"/>
      <c r="O326" s="49"/>
      <c r="P326" s="49"/>
      <c r="Q326" s="49"/>
      <c r="R326" s="49"/>
      <c r="S326" s="49"/>
    </row>
    <row r="327">
      <c r="A327" s="54"/>
      <c r="B327" s="55"/>
      <c r="C327" s="49"/>
      <c r="D327" s="54"/>
      <c r="E327" s="49"/>
      <c r="F327" s="54"/>
      <c r="G327" s="49"/>
      <c r="H327" s="49"/>
      <c r="I327" s="49"/>
      <c r="J327" s="49"/>
      <c r="K327" s="49"/>
      <c r="L327" s="49"/>
      <c r="M327" s="49"/>
      <c r="N327" s="49"/>
      <c r="O327" s="49"/>
      <c r="P327" s="49"/>
      <c r="Q327" s="49"/>
      <c r="R327" s="49"/>
      <c r="S327" s="49"/>
    </row>
    <row r="328">
      <c r="A328" s="54"/>
      <c r="B328" s="55"/>
      <c r="C328" s="49"/>
      <c r="D328" s="54"/>
      <c r="E328" s="49"/>
      <c r="F328" s="54"/>
      <c r="G328" s="49"/>
      <c r="H328" s="49"/>
      <c r="I328" s="49"/>
      <c r="J328" s="49"/>
      <c r="K328" s="49"/>
      <c r="L328" s="49"/>
      <c r="M328" s="49"/>
      <c r="N328" s="49"/>
      <c r="O328" s="49"/>
      <c r="P328" s="49"/>
      <c r="Q328" s="49"/>
      <c r="R328" s="49"/>
      <c r="S328" s="49"/>
    </row>
    <row r="329">
      <c r="A329" s="54"/>
      <c r="B329" s="55"/>
      <c r="C329" s="49"/>
      <c r="D329" s="54"/>
      <c r="E329" s="49"/>
      <c r="F329" s="54"/>
      <c r="G329" s="49"/>
      <c r="H329" s="49"/>
      <c r="I329" s="49"/>
      <c r="J329" s="49"/>
      <c r="K329" s="49"/>
      <c r="L329" s="49"/>
      <c r="M329" s="49"/>
      <c r="N329" s="49"/>
      <c r="O329" s="49"/>
      <c r="P329" s="49"/>
      <c r="Q329" s="49"/>
      <c r="R329" s="49"/>
      <c r="S329" s="49"/>
    </row>
    <row r="330">
      <c r="A330" s="54"/>
      <c r="B330" s="55"/>
      <c r="C330" s="49"/>
      <c r="D330" s="54"/>
      <c r="E330" s="49"/>
      <c r="F330" s="54"/>
      <c r="G330" s="49"/>
      <c r="H330" s="49"/>
      <c r="I330" s="49"/>
      <c r="J330" s="49"/>
      <c r="K330" s="49"/>
      <c r="L330" s="49"/>
      <c r="M330" s="49"/>
      <c r="N330" s="49"/>
      <c r="O330" s="49"/>
      <c r="P330" s="49"/>
      <c r="Q330" s="49"/>
      <c r="R330" s="49"/>
      <c r="S330" s="49"/>
    </row>
    <row r="331">
      <c r="A331" s="54"/>
      <c r="B331" s="55"/>
      <c r="C331" s="49"/>
      <c r="D331" s="54"/>
      <c r="E331" s="49"/>
      <c r="F331" s="54"/>
      <c r="G331" s="49"/>
      <c r="H331" s="49"/>
      <c r="I331" s="49"/>
      <c r="J331" s="49"/>
      <c r="K331" s="49"/>
      <c r="L331" s="49"/>
      <c r="M331" s="49"/>
      <c r="N331" s="49"/>
      <c r="O331" s="49"/>
      <c r="P331" s="49"/>
      <c r="Q331" s="49"/>
      <c r="R331" s="49"/>
      <c r="S331" s="49"/>
    </row>
    <row r="332">
      <c r="A332" s="54"/>
      <c r="B332" s="55"/>
      <c r="C332" s="49"/>
      <c r="D332" s="54"/>
      <c r="E332" s="49"/>
      <c r="F332" s="54"/>
      <c r="G332" s="49"/>
      <c r="H332" s="49"/>
      <c r="I332" s="49"/>
      <c r="J332" s="49"/>
      <c r="K332" s="49"/>
      <c r="L332" s="49"/>
      <c r="M332" s="49"/>
      <c r="N332" s="49"/>
      <c r="O332" s="49"/>
      <c r="P332" s="49"/>
      <c r="Q332" s="49"/>
      <c r="R332" s="49"/>
      <c r="S332" s="49"/>
    </row>
    <row r="333">
      <c r="A333" s="54"/>
      <c r="B333" s="55"/>
      <c r="C333" s="49"/>
      <c r="D333" s="54"/>
      <c r="E333" s="49"/>
      <c r="F333" s="54"/>
      <c r="G333" s="49"/>
      <c r="H333" s="49"/>
      <c r="I333" s="49"/>
      <c r="J333" s="49"/>
      <c r="K333" s="49"/>
      <c r="L333" s="49"/>
      <c r="M333" s="49"/>
      <c r="N333" s="49"/>
      <c r="O333" s="49"/>
      <c r="P333" s="49"/>
      <c r="Q333" s="49"/>
      <c r="R333" s="49"/>
      <c r="S333" s="49"/>
    </row>
    <row r="334">
      <c r="A334" s="54"/>
      <c r="B334" s="55"/>
      <c r="C334" s="49"/>
      <c r="D334" s="54"/>
      <c r="E334" s="49"/>
      <c r="F334" s="54"/>
      <c r="G334" s="49"/>
      <c r="H334" s="49"/>
      <c r="I334" s="49"/>
      <c r="J334" s="49"/>
      <c r="K334" s="49"/>
      <c r="L334" s="49"/>
      <c r="M334" s="49"/>
      <c r="N334" s="49"/>
      <c r="O334" s="49"/>
      <c r="P334" s="49"/>
      <c r="Q334" s="49"/>
      <c r="R334" s="49"/>
      <c r="S334" s="49"/>
    </row>
    <row r="335">
      <c r="A335" s="54"/>
      <c r="B335" s="55"/>
      <c r="C335" s="49"/>
      <c r="D335" s="54"/>
      <c r="E335" s="49"/>
      <c r="F335" s="54"/>
      <c r="G335" s="49"/>
      <c r="H335" s="49"/>
      <c r="I335" s="49"/>
      <c r="J335" s="49"/>
      <c r="K335" s="49"/>
      <c r="L335" s="49"/>
      <c r="M335" s="49"/>
      <c r="N335" s="49"/>
      <c r="O335" s="49"/>
      <c r="P335" s="49"/>
      <c r="Q335" s="49"/>
      <c r="R335" s="49"/>
      <c r="S335" s="49"/>
    </row>
    <row r="336">
      <c r="A336" s="54"/>
      <c r="B336" s="55"/>
      <c r="C336" s="49"/>
      <c r="D336" s="54"/>
      <c r="E336" s="49"/>
      <c r="F336" s="54"/>
      <c r="G336" s="49"/>
      <c r="H336" s="49"/>
      <c r="I336" s="49"/>
      <c r="J336" s="49"/>
      <c r="K336" s="49"/>
      <c r="L336" s="49"/>
      <c r="M336" s="49"/>
      <c r="N336" s="49"/>
      <c r="O336" s="49"/>
      <c r="P336" s="49"/>
      <c r="Q336" s="49"/>
      <c r="R336" s="49"/>
      <c r="S336" s="49"/>
    </row>
    <row r="337">
      <c r="A337" s="54"/>
      <c r="B337" s="55"/>
      <c r="C337" s="49"/>
      <c r="D337" s="54"/>
      <c r="E337" s="49"/>
      <c r="F337" s="54"/>
      <c r="G337" s="49"/>
      <c r="H337" s="49"/>
      <c r="I337" s="49"/>
      <c r="J337" s="49"/>
      <c r="K337" s="49"/>
      <c r="L337" s="49"/>
      <c r="M337" s="49"/>
      <c r="N337" s="49"/>
      <c r="O337" s="49"/>
      <c r="P337" s="49"/>
      <c r="Q337" s="49"/>
      <c r="R337" s="49"/>
      <c r="S337" s="49"/>
    </row>
    <row r="338">
      <c r="A338" s="54"/>
      <c r="B338" s="55"/>
      <c r="C338" s="49"/>
      <c r="D338" s="54"/>
      <c r="E338" s="49"/>
      <c r="F338" s="54"/>
      <c r="G338" s="49"/>
      <c r="H338" s="49"/>
      <c r="I338" s="49"/>
      <c r="J338" s="49"/>
      <c r="K338" s="49"/>
      <c r="L338" s="49"/>
      <c r="M338" s="49"/>
      <c r="N338" s="49"/>
      <c r="O338" s="49"/>
      <c r="P338" s="49"/>
      <c r="Q338" s="49"/>
      <c r="R338" s="49"/>
      <c r="S338" s="49"/>
    </row>
    <row r="339">
      <c r="A339" s="54"/>
      <c r="B339" s="55"/>
      <c r="C339" s="49"/>
      <c r="D339" s="54"/>
      <c r="E339" s="49"/>
      <c r="F339" s="54"/>
      <c r="G339" s="49"/>
      <c r="H339" s="49"/>
      <c r="I339" s="49"/>
      <c r="J339" s="49"/>
      <c r="K339" s="49"/>
      <c r="L339" s="49"/>
      <c r="M339" s="49"/>
      <c r="N339" s="49"/>
      <c r="O339" s="49"/>
      <c r="P339" s="49"/>
      <c r="Q339" s="49"/>
      <c r="R339" s="49"/>
      <c r="S339" s="49"/>
    </row>
    <row r="340">
      <c r="A340" s="54"/>
      <c r="B340" s="55"/>
      <c r="C340" s="49"/>
      <c r="D340" s="54"/>
      <c r="E340" s="49"/>
      <c r="F340" s="54"/>
      <c r="G340" s="49"/>
      <c r="H340" s="49"/>
      <c r="I340" s="49"/>
      <c r="J340" s="49"/>
      <c r="K340" s="49"/>
      <c r="L340" s="49"/>
      <c r="M340" s="49"/>
      <c r="N340" s="49"/>
      <c r="O340" s="49"/>
      <c r="P340" s="49"/>
      <c r="Q340" s="49"/>
      <c r="R340" s="49"/>
      <c r="S340" s="49"/>
    </row>
    <row r="341">
      <c r="A341" s="54"/>
      <c r="B341" s="55"/>
      <c r="C341" s="49"/>
      <c r="D341" s="54"/>
      <c r="E341" s="49"/>
      <c r="F341" s="54"/>
      <c r="G341" s="49"/>
      <c r="H341" s="49"/>
      <c r="I341" s="49"/>
      <c r="J341" s="49"/>
      <c r="K341" s="49"/>
      <c r="L341" s="49"/>
      <c r="M341" s="49"/>
      <c r="N341" s="49"/>
      <c r="O341" s="49"/>
      <c r="P341" s="49"/>
      <c r="Q341" s="49"/>
      <c r="R341" s="49"/>
      <c r="S341" s="49"/>
    </row>
    <row r="342">
      <c r="A342" s="54"/>
      <c r="B342" s="55"/>
      <c r="C342" s="49"/>
      <c r="D342" s="54"/>
      <c r="E342" s="49"/>
      <c r="F342" s="54"/>
      <c r="G342" s="49"/>
      <c r="H342" s="49"/>
      <c r="I342" s="49"/>
      <c r="J342" s="49"/>
      <c r="K342" s="49"/>
      <c r="L342" s="49"/>
      <c r="M342" s="49"/>
      <c r="N342" s="49"/>
      <c r="O342" s="49"/>
      <c r="P342" s="49"/>
      <c r="Q342" s="49"/>
      <c r="R342" s="49"/>
      <c r="S342" s="49"/>
    </row>
    <row r="343">
      <c r="A343" s="54"/>
      <c r="B343" s="55"/>
      <c r="C343" s="49"/>
      <c r="D343" s="54"/>
      <c r="E343" s="49"/>
      <c r="F343" s="54"/>
      <c r="G343" s="49"/>
      <c r="H343" s="49"/>
      <c r="I343" s="49"/>
      <c r="J343" s="49"/>
      <c r="K343" s="49"/>
      <c r="L343" s="49"/>
      <c r="M343" s="49"/>
      <c r="N343" s="49"/>
      <c r="O343" s="49"/>
      <c r="P343" s="49"/>
      <c r="Q343" s="49"/>
      <c r="R343" s="49"/>
      <c r="S343" s="49"/>
    </row>
    <row r="344">
      <c r="A344" s="54"/>
      <c r="B344" s="55"/>
      <c r="C344" s="49"/>
      <c r="D344" s="54"/>
      <c r="E344" s="49"/>
      <c r="F344" s="54"/>
      <c r="G344" s="49"/>
      <c r="H344" s="49"/>
      <c r="I344" s="49"/>
      <c r="J344" s="49"/>
      <c r="K344" s="49"/>
      <c r="L344" s="49"/>
      <c r="M344" s="49"/>
      <c r="N344" s="49"/>
      <c r="O344" s="49"/>
      <c r="P344" s="49"/>
      <c r="Q344" s="49"/>
      <c r="R344" s="49"/>
      <c r="S344" s="49"/>
    </row>
    <row r="345">
      <c r="A345" s="54"/>
      <c r="B345" s="55"/>
      <c r="C345" s="49"/>
      <c r="D345" s="54"/>
      <c r="E345" s="49"/>
      <c r="F345" s="54"/>
      <c r="G345" s="49"/>
      <c r="H345" s="49"/>
      <c r="I345" s="49"/>
      <c r="J345" s="49"/>
      <c r="K345" s="49"/>
      <c r="L345" s="49"/>
      <c r="M345" s="49"/>
      <c r="N345" s="49"/>
      <c r="O345" s="49"/>
      <c r="P345" s="49"/>
      <c r="Q345" s="49"/>
      <c r="R345" s="49"/>
      <c r="S345" s="49"/>
    </row>
    <row r="346">
      <c r="A346" s="54"/>
      <c r="B346" s="55"/>
      <c r="C346" s="49"/>
      <c r="D346" s="54"/>
      <c r="E346" s="49"/>
      <c r="F346" s="54"/>
      <c r="G346" s="49"/>
      <c r="H346" s="49"/>
      <c r="I346" s="49"/>
      <c r="J346" s="49"/>
      <c r="K346" s="49"/>
      <c r="L346" s="49"/>
      <c r="M346" s="49"/>
      <c r="N346" s="49"/>
      <c r="O346" s="49"/>
      <c r="P346" s="49"/>
      <c r="Q346" s="49"/>
      <c r="R346" s="49"/>
      <c r="S346" s="49"/>
    </row>
    <row r="347">
      <c r="A347" s="54"/>
      <c r="B347" s="55"/>
      <c r="C347" s="49"/>
      <c r="D347" s="54"/>
      <c r="E347" s="49"/>
      <c r="F347" s="54"/>
      <c r="G347" s="49"/>
      <c r="H347" s="49"/>
      <c r="I347" s="49"/>
      <c r="J347" s="49"/>
      <c r="K347" s="49"/>
      <c r="L347" s="49"/>
      <c r="M347" s="49"/>
      <c r="N347" s="49"/>
      <c r="O347" s="49"/>
      <c r="P347" s="49"/>
      <c r="Q347" s="49"/>
      <c r="R347" s="49"/>
      <c r="S347" s="49"/>
    </row>
    <row r="348">
      <c r="A348" s="54"/>
      <c r="B348" s="55"/>
      <c r="C348" s="49"/>
      <c r="D348" s="54"/>
      <c r="E348" s="49"/>
      <c r="F348" s="54"/>
      <c r="G348" s="49"/>
      <c r="H348" s="49"/>
      <c r="I348" s="49"/>
      <c r="J348" s="49"/>
      <c r="K348" s="49"/>
      <c r="L348" s="49"/>
      <c r="M348" s="49"/>
      <c r="N348" s="49"/>
      <c r="O348" s="49"/>
      <c r="P348" s="49"/>
      <c r="Q348" s="49"/>
      <c r="R348" s="49"/>
      <c r="S348" s="49"/>
    </row>
    <row r="349">
      <c r="A349" s="54"/>
      <c r="B349" s="55"/>
      <c r="C349" s="49"/>
      <c r="D349" s="54"/>
      <c r="E349" s="49"/>
      <c r="F349" s="54"/>
      <c r="G349" s="49"/>
      <c r="H349" s="49"/>
      <c r="I349" s="49"/>
      <c r="J349" s="49"/>
      <c r="K349" s="49"/>
      <c r="L349" s="49"/>
      <c r="M349" s="49"/>
      <c r="N349" s="49"/>
      <c r="O349" s="49"/>
      <c r="P349" s="49"/>
      <c r="Q349" s="49"/>
      <c r="R349" s="49"/>
      <c r="S349" s="49"/>
    </row>
    <row r="350">
      <c r="A350" s="54"/>
      <c r="B350" s="55"/>
      <c r="C350" s="49"/>
      <c r="D350" s="54"/>
      <c r="E350" s="49"/>
      <c r="F350" s="54"/>
      <c r="G350" s="49"/>
      <c r="H350" s="49"/>
      <c r="I350" s="49"/>
      <c r="J350" s="49"/>
      <c r="K350" s="49"/>
      <c r="L350" s="49"/>
      <c r="M350" s="49"/>
      <c r="N350" s="49"/>
      <c r="O350" s="49"/>
      <c r="P350" s="49"/>
      <c r="Q350" s="49"/>
      <c r="R350" s="49"/>
      <c r="S350" s="49"/>
    </row>
    <row r="351">
      <c r="A351" s="54"/>
      <c r="B351" s="55"/>
      <c r="C351" s="49"/>
      <c r="D351" s="54"/>
      <c r="E351" s="49"/>
      <c r="F351" s="54"/>
      <c r="G351" s="49"/>
      <c r="H351" s="49"/>
      <c r="I351" s="49"/>
      <c r="J351" s="49"/>
      <c r="K351" s="49"/>
      <c r="L351" s="49"/>
      <c r="M351" s="49"/>
      <c r="N351" s="49"/>
      <c r="O351" s="49"/>
      <c r="P351" s="49"/>
      <c r="Q351" s="49"/>
      <c r="R351" s="49"/>
      <c r="S351" s="49"/>
    </row>
    <row r="352">
      <c r="A352" s="54"/>
      <c r="B352" s="55"/>
      <c r="C352" s="49"/>
      <c r="D352" s="54"/>
      <c r="E352" s="49"/>
      <c r="F352" s="54"/>
      <c r="G352" s="49"/>
      <c r="H352" s="49"/>
      <c r="I352" s="49"/>
      <c r="J352" s="49"/>
      <c r="K352" s="49"/>
      <c r="L352" s="49"/>
      <c r="M352" s="49"/>
      <c r="N352" s="49"/>
      <c r="O352" s="49"/>
      <c r="P352" s="49"/>
      <c r="Q352" s="49"/>
      <c r="R352" s="49"/>
      <c r="S352" s="49"/>
    </row>
    <row r="353">
      <c r="A353" s="54"/>
      <c r="B353" s="55"/>
      <c r="C353" s="49"/>
      <c r="D353" s="54"/>
      <c r="E353" s="49"/>
      <c r="F353" s="54"/>
      <c r="G353" s="49"/>
      <c r="H353" s="49"/>
      <c r="I353" s="49"/>
      <c r="J353" s="49"/>
      <c r="K353" s="49"/>
      <c r="L353" s="49"/>
      <c r="M353" s="49"/>
      <c r="N353" s="49"/>
      <c r="O353" s="49"/>
      <c r="P353" s="49"/>
      <c r="Q353" s="49"/>
      <c r="R353" s="49"/>
      <c r="S353" s="49"/>
    </row>
    <row r="354">
      <c r="A354" s="54"/>
      <c r="B354" s="55"/>
      <c r="C354" s="49"/>
      <c r="D354" s="54"/>
      <c r="E354" s="49"/>
      <c r="F354" s="54"/>
      <c r="G354" s="49"/>
      <c r="H354" s="49"/>
      <c r="I354" s="49"/>
      <c r="J354" s="49"/>
      <c r="K354" s="49"/>
      <c r="L354" s="49"/>
      <c r="M354" s="49"/>
      <c r="N354" s="49"/>
      <c r="O354" s="49"/>
      <c r="P354" s="49"/>
      <c r="Q354" s="49"/>
      <c r="R354" s="49"/>
      <c r="S354" s="49"/>
    </row>
    <row r="355">
      <c r="A355" s="54"/>
      <c r="B355" s="55"/>
      <c r="C355" s="49"/>
      <c r="D355" s="54"/>
      <c r="E355" s="49"/>
      <c r="F355" s="54"/>
      <c r="G355" s="49"/>
      <c r="H355" s="49"/>
      <c r="I355" s="49"/>
      <c r="J355" s="49"/>
      <c r="K355" s="49"/>
      <c r="L355" s="49"/>
      <c r="M355" s="49"/>
      <c r="N355" s="49"/>
      <c r="O355" s="49"/>
      <c r="P355" s="49"/>
      <c r="Q355" s="49"/>
      <c r="R355" s="49"/>
      <c r="S355" s="49"/>
    </row>
    <row r="356">
      <c r="A356" s="54"/>
      <c r="B356" s="55"/>
      <c r="C356" s="49"/>
      <c r="D356" s="54"/>
      <c r="E356" s="49"/>
      <c r="F356" s="54"/>
      <c r="G356" s="49"/>
      <c r="H356" s="49"/>
      <c r="I356" s="49"/>
      <c r="J356" s="49"/>
      <c r="K356" s="49"/>
      <c r="L356" s="49"/>
      <c r="M356" s="49"/>
      <c r="N356" s="49"/>
      <c r="O356" s="49"/>
      <c r="P356" s="49"/>
      <c r="Q356" s="49"/>
      <c r="R356" s="49"/>
      <c r="S356" s="49"/>
    </row>
    <row r="357">
      <c r="A357" s="54"/>
      <c r="B357" s="55"/>
      <c r="C357" s="49"/>
      <c r="D357" s="54"/>
      <c r="E357" s="49"/>
      <c r="F357" s="54"/>
      <c r="G357" s="49"/>
      <c r="H357" s="49"/>
      <c r="I357" s="49"/>
      <c r="J357" s="49"/>
      <c r="K357" s="49"/>
      <c r="L357" s="49"/>
      <c r="M357" s="49"/>
      <c r="N357" s="49"/>
      <c r="O357" s="49"/>
      <c r="P357" s="49"/>
      <c r="Q357" s="49"/>
      <c r="R357" s="49"/>
      <c r="S357" s="49"/>
    </row>
    <row r="358">
      <c r="A358" s="54"/>
      <c r="B358" s="55"/>
      <c r="C358" s="49"/>
      <c r="D358" s="54"/>
      <c r="E358" s="49"/>
      <c r="F358" s="54"/>
      <c r="G358" s="49"/>
      <c r="H358" s="49"/>
      <c r="I358" s="49"/>
      <c r="J358" s="49"/>
      <c r="K358" s="49"/>
      <c r="L358" s="49"/>
      <c r="M358" s="49"/>
      <c r="N358" s="49"/>
      <c r="O358" s="49"/>
      <c r="P358" s="49"/>
      <c r="Q358" s="49"/>
      <c r="R358" s="49"/>
      <c r="S358" s="49"/>
    </row>
    <row r="359">
      <c r="A359" s="54"/>
      <c r="B359" s="55"/>
      <c r="C359" s="49"/>
      <c r="D359" s="54"/>
      <c r="E359" s="49"/>
      <c r="F359" s="54"/>
      <c r="G359" s="49"/>
      <c r="H359" s="49"/>
      <c r="I359" s="49"/>
      <c r="J359" s="49"/>
      <c r="K359" s="49"/>
      <c r="L359" s="49"/>
      <c r="M359" s="49"/>
      <c r="N359" s="49"/>
      <c r="O359" s="49"/>
      <c r="P359" s="49"/>
      <c r="Q359" s="49"/>
      <c r="R359" s="49"/>
      <c r="S359" s="49"/>
    </row>
    <row r="360">
      <c r="A360" s="54"/>
      <c r="B360" s="55"/>
      <c r="C360" s="49"/>
      <c r="D360" s="54"/>
      <c r="E360" s="49"/>
      <c r="F360" s="54"/>
      <c r="G360" s="49"/>
      <c r="H360" s="49"/>
      <c r="I360" s="49"/>
      <c r="J360" s="49"/>
      <c r="K360" s="49"/>
      <c r="L360" s="49"/>
      <c r="M360" s="49"/>
      <c r="N360" s="49"/>
      <c r="O360" s="49"/>
      <c r="P360" s="49"/>
      <c r="Q360" s="49"/>
      <c r="R360" s="49"/>
      <c r="S360" s="49"/>
    </row>
    <row r="361">
      <c r="A361" s="54"/>
      <c r="B361" s="55"/>
      <c r="C361" s="49"/>
      <c r="D361" s="54"/>
      <c r="E361" s="49"/>
      <c r="F361" s="54"/>
      <c r="G361" s="49"/>
      <c r="H361" s="49"/>
      <c r="I361" s="49"/>
      <c r="J361" s="49"/>
      <c r="K361" s="49"/>
      <c r="L361" s="49"/>
      <c r="M361" s="49"/>
      <c r="N361" s="49"/>
      <c r="O361" s="49"/>
      <c r="P361" s="49"/>
      <c r="Q361" s="49"/>
      <c r="R361" s="49"/>
      <c r="S361" s="49"/>
    </row>
    <row r="362">
      <c r="A362" s="54"/>
      <c r="B362" s="55"/>
      <c r="C362" s="49"/>
      <c r="D362" s="54"/>
      <c r="E362" s="49"/>
      <c r="F362" s="54"/>
      <c r="G362" s="49"/>
      <c r="H362" s="49"/>
      <c r="I362" s="49"/>
      <c r="J362" s="49"/>
      <c r="K362" s="49"/>
      <c r="L362" s="49"/>
      <c r="M362" s="49"/>
      <c r="N362" s="49"/>
      <c r="O362" s="49"/>
      <c r="P362" s="49"/>
      <c r="Q362" s="49"/>
      <c r="R362" s="49"/>
      <c r="S362" s="49"/>
    </row>
    <row r="363">
      <c r="A363" s="54"/>
      <c r="B363" s="55"/>
      <c r="C363" s="49"/>
      <c r="D363" s="54"/>
      <c r="E363" s="49"/>
      <c r="F363" s="54"/>
      <c r="G363" s="49"/>
      <c r="H363" s="49"/>
      <c r="I363" s="49"/>
      <c r="J363" s="49"/>
      <c r="K363" s="49"/>
      <c r="L363" s="49"/>
      <c r="M363" s="49"/>
      <c r="N363" s="49"/>
      <c r="O363" s="49"/>
      <c r="P363" s="49"/>
      <c r="Q363" s="49"/>
      <c r="R363" s="49"/>
      <c r="S363" s="49"/>
    </row>
    <row r="364">
      <c r="A364" s="54"/>
      <c r="B364" s="55"/>
      <c r="C364" s="49"/>
      <c r="D364" s="54"/>
      <c r="E364" s="49"/>
      <c r="F364" s="54"/>
      <c r="G364" s="49"/>
      <c r="H364" s="49"/>
      <c r="I364" s="49"/>
      <c r="J364" s="49"/>
      <c r="K364" s="49"/>
      <c r="L364" s="49"/>
      <c r="M364" s="49"/>
      <c r="N364" s="49"/>
      <c r="O364" s="49"/>
      <c r="P364" s="49"/>
      <c r="Q364" s="49"/>
      <c r="R364" s="49"/>
      <c r="S364" s="49"/>
    </row>
    <row r="365">
      <c r="A365" s="54"/>
      <c r="B365" s="55"/>
      <c r="C365" s="49"/>
      <c r="D365" s="54"/>
      <c r="E365" s="49"/>
      <c r="F365" s="54"/>
      <c r="G365" s="49"/>
      <c r="H365" s="49"/>
      <c r="I365" s="49"/>
      <c r="J365" s="49"/>
      <c r="K365" s="49"/>
      <c r="L365" s="49"/>
      <c r="M365" s="49"/>
      <c r="N365" s="49"/>
      <c r="O365" s="49"/>
      <c r="P365" s="49"/>
      <c r="Q365" s="49"/>
      <c r="R365" s="49"/>
      <c r="S365" s="49"/>
    </row>
    <row r="366">
      <c r="A366" s="54"/>
      <c r="B366" s="55"/>
      <c r="C366" s="49"/>
      <c r="D366" s="54"/>
      <c r="E366" s="49"/>
      <c r="F366" s="54"/>
      <c r="G366" s="49"/>
      <c r="H366" s="49"/>
      <c r="I366" s="49"/>
      <c r="J366" s="49"/>
      <c r="K366" s="49"/>
      <c r="L366" s="49"/>
      <c r="M366" s="49"/>
      <c r="N366" s="49"/>
      <c r="O366" s="49"/>
      <c r="P366" s="49"/>
      <c r="Q366" s="49"/>
      <c r="R366" s="49"/>
      <c r="S366" s="49"/>
    </row>
    <row r="367">
      <c r="A367" s="54"/>
      <c r="B367" s="55"/>
      <c r="C367" s="49"/>
      <c r="D367" s="54"/>
      <c r="E367" s="49"/>
      <c r="F367" s="54"/>
      <c r="G367" s="49"/>
      <c r="H367" s="49"/>
      <c r="I367" s="49"/>
      <c r="J367" s="49"/>
      <c r="K367" s="49"/>
      <c r="L367" s="49"/>
      <c r="M367" s="49"/>
      <c r="N367" s="49"/>
      <c r="O367" s="49"/>
      <c r="P367" s="49"/>
      <c r="Q367" s="49"/>
      <c r="R367" s="49"/>
      <c r="S367" s="49"/>
    </row>
    <row r="368">
      <c r="A368" s="54"/>
      <c r="B368" s="55"/>
      <c r="C368" s="49"/>
      <c r="D368" s="54"/>
      <c r="E368" s="49"/>
      <c r="F368" s="54"/>
      <c r="G368" s="49"/>
      <c r="H368" s="49"/>
      <c r="I368" s="49"/>
      <c r="J368" s="49"/>
      <c r="K368" s="49"/>
      <c r="L368" s="49"/>
      <c r="M368" s="49"/>
      <c r="N368" s="49"/>
      <c r="O368" s="49"/>
      <c r="P368" s="49"/>
      <c r="Q368" s="49"/>
      <c r="R368" s="49"/>
      <c r="S368" s="49"/>
    </row>
    <row r="369">
      <c r="A369" s="54"/>
      <c r="B369" s="55"/>
      <c r="C369" s="49"/>
      <c r="D369" s="54"/>
      <c r="E369" s="49"/>
      <c r="F369" s="54"/>
      <c r="G369" s="49"/>
      <c r="H369" s="49"/>
      <c r="I369" s="49"/>
      <c r="J369" s="49"/>
      <c r="K369" s="49"/>
      <c r="L369" s="49"/>
      <c r="M369" s="49"/>
      <c r="N369" s="49"/>
      <c r="O369" s="49"/>
      <c r="P369" s="49"/>
      <c r="Q369" s="49"/>
      <c r="R369" s="49"/>
      <c r="S369" s="49"/>
    </row>
    <row r="370">
      <c r="A370" s="54"/>
      <c r="B370" s="55"/>
      <c r="C370" s="49"/>
      <c r="D370" s="54"/>
      <c r="E370" s="49"/>
      <c r="F370" s="54"/>
      <c r="G370" s="49"/>
      <c r="H370" s="49"/>
      <c r="I370" s="49"/>
      <c r="J370" s="49"/>
      <c r="K370" s="49"/>
      <c r="L370" s="49"/>
      <c r="M370" s="49"/>
      <c r="N370" s="49"/>
      <c r="O370" s="49"/>
      <c r="P370" s="49"/>
      <c r="Q370" s="49"/>
      <c r="R370" s="49"/>
      <c r="S370" s="49"/>
    </row>
    <row r="371">
      <c r="A371" s="54"/>
      <c r="B371" s="55"/>
      <c r="C371" s="49"/>
      <c r="D371" s="54"/>
      <c r="E371" s="49"/>
      <c r="F371" s="54"/>
      <c r="G371" s="49"/>
      <c r="H371" s="49"/>
      <c r="I371" s="49"/>
      <c r="J371" s="49"/>
      <c r="K371" s="49"/>
      <c r="L371" s="49"/>
      <c r="M371" s="49"/>
      <c r="N371" s="49"/>
      <c r="O371" s="49"/>
      <c r="P371" s="49"/>
      <c r="Q371" s="49"/>
      <c r="R371" s="49"/>
      <c r="S371" s="49"/>
    </row>
    <row r="372">
      <c r="A372" s="54"/>
      <c r="B372" s="55"/>
      <c r="C372" s="49"/>
      <c r="D372" s="54"/>
      <c r="E372" s="49"/>
      <c r="F372" s="54"/>
      <c r="G372" s="49"/>
      <c r="H372" s="49"/>
      <c r="I372" s="49"/>
      <c r="J372" s="49"/>
      <c r="K372" s="49"/>
      <c r="L372" s="49"/>
      <c r="M372" s="49"/>
      <c r="N372" s="49"/>
      <c r="O372" s="49"/>
      <c r="P372" s="49"/>
      <c r="Q372" s="49"/>
      <c r="R372" s="49"/>
      <c r="S372" s="49"/>
    </row>
    <row r="373">
      <c r="A373" s="54"/>
      <c r="B373" s="55"/>
      <c r="C373" s="49"/>
      <c r="D373" s="54"/>
      <c r="E373" s="49"/>
      <c r="F373" s="54"/>
      <c r="G373" s="49"/>
      <c r="H373" s="49"/>
      <c r="I373" s="49"/>
      <c r="J373" s="49"/>
      <c r="K373" s="49"/>
      <c r="L373" s="49"/>
      <c r="M373" s="49"/>
      <c r="N373" s="49"/>
      <c r="O373" s="49"/>
      <c r="P373" s="49"/>
      <c r="Q373" s="49"/>
      <c r="R373" s="49"/>
      <c r="S373" s="49"/>
    </row>
    <row r="374">
      <c r="A374" s="54"/>
      <c r="B374" s="55"/>
      <c r="C374" s="49"/>
      <c r="D374" s="54"/>
      <c r="E374" s="49"/>
      <c r="F374" s="54"/>
      <c r="G374" s="49"/>
      <c r="H374" s="49"/>
      <c r="I374" s="49"/>
      <c r="J374" s="49"/>
      <c r="K374" s="49"/>
      <c r="L374" s="49"/>
      <c r="M374" s="49"/>
      <c r="N374" s="49"/>
      <c r="O374" s="49"/>
      <c r="P374" s="49"/>
      <c r="Q374" s="49"/>
      <c r="R374" s="49"/>
      <c r="S374" s="49"/>
    </row>
    <row r="375">
      <c r="A375" s="54"/>
      <c r="B375" s="55"/>
      <c r="C375" s="49"/>
      <c r="D375" s="54"/>
      <c r="E375" s="49"/>
      <c r="F375" s="54"/>
      <c r="G375" s="49"/>
      <c r="H375" s="49"/>
      <c r="I375" s="49"/>
      <c r="J375" s="49"/>
      <c r="K375" s="49"/>
      <c r="L375" s="49"/>
      <c r="M375" s="49"/>
      <c r="N375" s="49"/>
      <c r="O375" s="49"/>
      <c r="P375" s="49"/>
      <c r="Q375" s="49"/>
      <c r="R375" s="49"/>
      <c r="S375" s="49"/>
    </row>
    <row r="376">
      <c r="A376" s="54"/>
      <c r="B376" s="55"/>
      <c r="C376" s="49"/>
      <c r="D376" s="54"/>
      <c r="E376" s="49"/>
      <c r="F376" s="54"/>
      <c r="G376" s="49"/>
      <c r="H376" s="49"/>
      <c r="I376" s="49"/>
      <c r="J376" s="49"/>
      <c r="K376" s="49"/>
      <c r="L376" s="49"/>
      <c r="M376" s="49"/>
      <c r="N376" s="49"/>
      <c r="O376" s="49"/>
      <c r="P376" s="49"/>
      <c r="Q376" s="49"/>
      <c r="R376" s="49"/>
      <c r="S376" s="49"/>
    </row>
    <row r="377">
      <c r="A377" s="54"/>
      <c r="B377" s="55"/>
      <c r="C377" s="49"/>
      <c r="D377" s="54"/>
      <c r="E377" s="49"/>
      <c r="F377" s="54"/>
      <c r="G377" s="49"/>
      <c r="H377" s="49"/>
      <c r="I377" s="49"/>
      <c r="J377" s="49"/>
      <c r="K377" s="49"/>
      <c r="L377" s="49"/>
      <c r="M377" s="49"/>
      <c r="N377" s="49"/>
      <c r="O377" s="49"/>
      <c r="P377" s="49"/>
      <c r="Q377" s="49"/>
      <c r="R377" s="49"/>
      <c r="S377" s="49"/>
    </row>
    <row r="378">
      <c r="A378" s="54"/>
      <c r="B378" s="55"/>
      <c r="C378" s="49"/>
      <c r="D378" s="54"/>
      <c r="E378" s="49"/>
      <c r="F378" s="54"/>
      <c r="G378" s="49"/>
      <c r="H378" s="49"/>
      <c r="I378" s="49"/>
      <c r="J378" s="49"/>
      <c r="K378" s="49"/>
      <c r="L378" s="49"/>
      <c r="M378" s="49"/>
      <c r="N378" s="49"/>
      <c r="O378" s="49"/>
      <c r="P378" s="49"/>
      <c r="Q378" s="49"/>
      <c r="R378" s="49"/>
      <c r="S378" s="49"/>
    </row>
    <row r="379">
      <c r="A379" s="54"/>
      <c r="B379" s="55"/>
      <c r="C379" s="49"/>
      <c r="D379" s="54"/>
      <c r="E379" s="49"/>
      <c r="F379" s="54"/>
      <c r="G379" s="49"/>
      <c r="H379" s="49"/>
      <c r="I379" s="49"/>
      <c r="J379" s="49"/>
      <c r="K379" s="49"/>
      <c r="L379" s="49"/>
      <c r="M379" s="49"/>
      <c r="N379" s="49"/>
      <c r="O379" s="49"/>
      <c r="P379" s="49"/>
      <c r="Q379" s="49"/>
      <c r="R379" s="49"/>
      <c r="S379" s="49"/>
    </row>
    <row r="380">
      <c r="A380" s="54"/>
      <c r="B380" s="55"/>
      <c r="C380" s="49"/>
      <c r="D380" s="54"/>
      <c r="E380" s="49"/>
      <c r="F380" s="54"/>
      <c r="G380" s="49"/>
      <c r="H380" s="49"/>
      <c r="I380" s="49"/>
      <c r="J380" s="49"/>
      <c r="K380" s="49"/>
      <c r="L380" s="49"/>
      <c r="M380" s="49"/>
      <c r="N380" s="49"/>
      <c r="O380" s="49"/>
      <c r="P380" s="49"/>
      <c r="Q380" s="49"/>
      <c r="R380" s="49"/>
      <c r="S380" s="49"/>
    </row>
    <row r="381">
      <c r="A381" s="54"/>
      <c r="B381" s="55"/>
      <c r="C381" s="49"/>
      <c r="D381" s="54"/>
      <c r="E381" s="49"/>
      <c r="F381" s="54"/>
      <c r="G381" s="49"/>
      <c r="H381" s="49"/>
      <c r="I381" s="49"/>
      <c r="J381" s="49"/>
      <c r="K381" s="49"/>
      <c r="L381" s="49"/>
      <c r="M381" s="49"/>
      <c r="N381" s="49"/>
      <c r="O381" s="49"/>
      <c r="P381" s="49"/>
      <c r="Q381" s="49"/>
      <c r="R381" s="49"/>
      <c r="S381" s="49"/>
    </row>
    <row r="382">
      <c r="A382" s="54"/>
      <c r="B382" s="55"/>
      <c r="C382" s="49"/>
      <c r="D382" s="54"/>
      <c r="E382" s="49"/>
      <c r="F382" s="54"/>
      <c r="G382" s="49"/>
      <c r="H382" s="49"/>
      <c r="I382" s="49"/>
      <c r="J382" s="49"/>
      <c r="K382" s="49"/>
      <c r="L382" s="49"/>
      <c r="M382" s="49"/>
      <c r="N382" s="49"/>
      <c r="O382" s="49"/>
      <c r="P382" s="49"/>
      <c r="Q382" s="49"/>
      <c r="R382" s="49"/>
      <c r="S382" s="49"/>
    </row>
    <row r="383">
      <c r="A383" s="54"/>
      <c r="B383" s="55"/>
      <c r="C383" s="49"/>
      <c r="D383" s="54"/>
      <c r="E383" s="49"/>
      <c r="F383" s="54"/>
      <c r="G383" s="49"/>
      <c r="H383" s="49"/>
      <c r="I383" s="49"/>
      <c r="J383" s="49"/>
      <c r="K383" s="49"/>
      <c r="L383" s="49"/>
      <c r="M383" s="49"/>
      <c r="N383" s="49"/>
      <c r="O383" s="49"/>
      <c r="P383" s="49"/>
      <c r="Q383" s="49"/>
      <c r="R383" s="49"/>
      <c r="S383" s="49"/>
    </row>
    <row r="384">
      <c r="A384" s="54"/>
      <c r="B384" s="55"/>
      <c r="C384" s="49"/>
      <c r="D384" s="54"/>
      <c r="E384" s="49"/>
      <c r="F384" s="54"/>
      <c r="G384" s="49"/>
      <c r="H384" s="49"/>
      <c r="I384" s="49"/>
      <c r="J384" s="49"/>
      <c r="K384" s="49"/>
      <c r="L384" s="49"/>
      <c r="M384" s="49"/>
      <c r="N384" s="49"/>
      <c r="O384" s="49"/>
      <c r="P384" s="49"/>
      <c r="Q384" s="49"/>
      <c r="R384" s="49"/>
      <c r="S384" s="49"/>
    </row>
    <row r="385">
      <c r="A385" s="54"/>
      <c r="B385" s="55"/>
      <c r="C385" s="49"/>
      <c r="D385" s="54"/>
      <c r="E385" s="49"/>
      <c r="F385" s="54"/>
      <c r="G385" s="49"/>
      <c r="H385" s="49"/>
      <c r="I385" s="49"/>
      <c r="J385" s="49"/>
      <c r="K385" s="49"/>
      <c r="L385" s="49"/>
      <c r="M385" s="49"/>
      <c r="N385" s="49"/>
      <c r="O385" s="49"/>
      <c r="P385" s="49"/>
      <c r="Q385" s="49"/>
      <c r="R385" s="49"/>
      <c r="S385" s="49"/>
    </row>
    <row r="386">
      <c r="A386" s="54"/>
      <c r="B386" s="55"/>
      <c r="C386" s="49"/>
      <c r="D386" s="54"/>
      <c r="E386" s="49"/>
      <c r="F386" s="54"/>
      <c r="G386" s="49"/>
      <c r="H386" s="49"/>
      <c r="I386" s="49"/>
      <c r="J386" s="49"/>
      <c r="K386" s="49"/>
      <c r="L386" s="49"/>
      <c r="M386" s="49"/>
      <c r="N386" s="49"/>
      <c r="O386" s="49"/>
      <c r="P386" s="49"/>
      <c r="Q386" s="49"/>
      <c r="R386" s="49"/>
      <c r="S386" s="49"/>
    </row>
    <row r="387">
      <c r="A387" s="54"/>
      <c r="B387" s="55"/>
      <c r="C387" s="49"/>
      <c r="D387" s="54"/>
      <c r="E387" s="49"/>
      <c r="F387" s="54"/>
      <c r="G387" s="49"/>
      <c r="H387" s="49"/>
      <c r="I387" s="49"/>
      <c r="J387" s="49"/>
      <c r="K387" s="49"/>
      <c r="L387" s="49"/>
      <c r="M387" s="49"/>
      <c r="N387" s="49"/>
      <c r="O387" s="49"/>
      <c r="P387" s="49"/>
      <c r="Q387" s="49"/>
      <c r="R387" s="49"/>
      <c r="S387" s="49"/>
    </row>
    <row r="388">
      <c r="A388" s="54"/>
      <c r="B388" s="55"/>
      <c r="C388" s="49"/>
      <c r="D388" s="54"/>
      <c r="E388" s="49"/>
      <c r="F388" s="54"/>
      <c r="G388" s="49"/>
      <c r="H388" s="49"/>
      <c r="I388" s="49"/>
      <c r="J388" s="49"/>
      <c r="K388" s="49"/>
      <c r="L388" s="49"/>
      <c r="M388" s="49"/>
      <c r="N388" s="49"/>
      <c r="O388" s="49"/>
      <c r="P388" s="49"/>
      <c r="Q388" s="49"/>
      <c r="R388" s="49"/>
      <c r="S388" s="49"/>
    </row>
    <row r="389">
      <c r="A389" s="54"/>
      <c r="B389" s="55"/>
      <c r="C389" s="49"/>
      <c r="D389" s="54"/>
      <c r="E389" s="49"/>
      <c r="F389" s="54"/>
      <c r="G389" s="49"/>
      <c r="H389" s="49"/>
      <c r="I389" s="49"/>
      <c r="J389" s="49"/>
      <c r="K389" s="49"/>
      <c r="L389" s="49"/>
      <c r="M389" s="49"/>
      <c r="N389" s="49"/>
      <c r="O389" s="49"/>
      <c r="P389" s="49"/>
      <c r="Q389" s="49"/>
      <c r="R389" s="49"/>
      <c r="S389" s="49"/>
    </row>
    <row r="390">
      <c r="A390" s="54"/>
      <c r="B390" s="55"/>
      <c r="C390" s="49"/>
      <c r="D390" s="54"/>
      <c r="E390" s="49"/>
      <c r="F390" s="54"/>
      <c r="G390" s="49"/>
      <c r="H390" s="49"/>
      <c r="I390" s="49"/>
      <c r="J390" s="49"/>
      <c r="K390" s="49"/>
      <c r="L390" s="49"/>
      <c r="M390" s="49"/>
      <c r="N390" s="49"/>
      <c r="O390" s="49"/>
      <c r="P390" s="49"/>
      <c r="Q390" s="49"/>
      <c r="R390" s="49"/>
      <c r="S390" s="49"/>
    </row>
    <row r="391">
      <c r="A391" s="54"/>
      <c r="B391" s="55"/>
      <c r="C391" s="49"/>
      <c r="D391" s="54"/>
      <c r="E391" s="49"/>
      <c r="F391" s="54"/>
      <c r="G391" s="49"/>
      <c r="H391" s="49"/>
      <c r="I391" s="49"/>
      <c r="J391" s="49"/>
      <c r="K391" s="49"/>
      <c r="L391" s="49"/>
      <c r="M391" s="49"/>
      <c r="N391" s="49"/>
      <c r="O391" s="49"/>
      <c r="P391" s="49"/>
      <c r="Q391" s="49"/>
      <c r="R391" s="49"/>
      <c r="S391" s="49"/>
    </row>
    <row r="392">
      <c r="A392" s="54"/>
      <c r="B392" s="55"/>
      <c r="C392" s="49"/>
      <c r="D392" s="54"/>
      <c r="E392" s="49"/>
      <c r="F392" s="54"/>
      <c r="G392" s="49"/>
      <c r="H392" s="49"/>
      <c r="I392" s="49"/>
      <c r="J392" s="49"/>
      <c r="K392" s="49"/>
      <c r="L392" s="49"/>
      <c r="M392" s="49"/>
      <c r="N392" s="49"/>
      <c r="O392" s="49"/>
      <c r="P392" s="49"/>
      <c r="Q392" s="49"/>
      <c r="R392" s="49"/>
      <c r="S392" s="49"/>
    </row>
    <row r="393">
      <c r="A393" s="54"/>
      <c r="B393" s="55"/>
      <c r="C393" s="49"/>
      <c r="D393" s="54"/>
      <c r="E393" s="49"/>
      <c r="F393" s="54"/>
      <c r="G393" s="49"/>
      <c r="H393" s="49"/>
      <c r="I393" s="49"/>
      <c r="J393" s="49"/>
      <c r="K393" s="49"/>
      <c r="L393" s="49"/>
      <c r="M393" s="49"/>
      <c r="N393" s="49"/>
      <c r="O393" s="49"/>
      <c r="P393" s="49"/>
      <c r="Q393" s="49"/>
      <c r="R393" s="49"/>
      <c r="S393" s="49"/>
    </row>
    <row r="394">
      <c r="A394" s="54"/>
      <c r="B394" s="55"/>
      <c r="C394" s="49"/>
      <c r="D394" s="54"/>
      <c r="E394" s="49"/>
      <c r="F394" s="54"/>
      <c r="G394" s="49"/>
      <c r="H394" s="49"/>
      <c r="I394" s="49"/>
      <c r="J394" s="49"/>
      <c r="K394" s="49"/>
      <c r="L394" s="49"/>
      <c r="M394" s="49"/>
      <c r="N394" s="49"/>
      <c r="O394" s="49"/>
      <c r="P394" s="49"/>
      <c r="Q394" s="49"/>
      <c r="R394" s="49"/>
      <c r="S394" s="49"/>
    </row>
    <row r="395">
      <c r="A395" s="54"/>
      <c r="B395" s="55"/>
      <c r="C395" s="49"/>
      <c r="D395" s="54"/>
      <c r="E395" s="49"/>
      <c r="F395" s="54"/>
      <c r="G395" s="49"/>
      <c r="H395" s="49"/>
      <c r="I395" s="49"/>
      <c r="J395" s="49"/>
      <c r="K395" s="49"/>
      <c r="L395" s="49"/>
      <c r="M395" s="49"/>
      <c r="N395" s="49"/>
      <c r="O395" s="49"/>
      <c r="P395" s="49"/>
      <c r="Q395" s="49"/>
      <c r="R395" s="49"/>
      <c r="S395" s="49"/>
    </row>
    <row r="396">
      <c r="A396" s="54"/>
      <c r="B396" s="55"/>
      <c r="C396" s="49"/>
      <c r="D396" s="54"/>
      <c r="E396" s="49"/>
      <c r="F396" s="54"/>
      <c r="G396" s="49"/>
      <c r="H396" s="49"/>
      <c r="I396" s="49"/>
      <c r="J396" s="49"/>
      <c r="K396" s="49"/>
      <c r="L396" s="49"/>
      <c r="M396" s="49"/>
      <c r="N396" s="49"/>
      <c r="O396" s="49"/>
      <c r="P396" s="49"/>
      <c r="Q396" s="49"/>
      <c r="R396" s="49"/>
      <c r="S396" s="49"/>
    </row>
    <row r="397">
      <c r="A397" s="54"/>
      <c r="B397" s="55"/>
      <c r="C397" s="49"/>
      <c r="D397" s="54"/>
      <c r="E397" s="49"/>
      <c r="F397" s="54"/>
      <c r="G397" s="49"/>
      <c r="H397" s="49"/>
      <c r="I397" s="49"/>
      <c r="J397" s="49"/>
      <c r="K397" s="49"/>
      <c r="L397" s="49"/>
      <c r="M397" s="49"/>
      <c r="N397" s="49"/>
      <c r="O397" s="49"/>
      <c r="P397" s="49"/>
      <c r="Q397" s="49"/>
      <c r="R397" s="49"/>
      <c r="S397" s="49"/>
    </row>
    <row r="398">
      <c r="A398" s="54"/>
      <c r="B398" s="55"/>
      <c r="C398" s="49"/>
      <c r="D398" s="54"/>
      <c r="E398" s="49"/>
      <c r="F398" s="54"/>
      <c r="G398" s="49"/>
      <c r="H398" s="49"/>
      <c r="I398" s="49"/>
      <c r="J398" s="49"/>
      <c r="K398" s="49"/>
      <c r="L398" s="49"/>
      <c r="M398" s="49"/>
      <c r="N398" s="49"/>
      <c r="O398" s="49"/>
      <c r="P398" s="49"/>
      <c r="Q398" s="49"/>
      <c r="R398" s="49"/>
      <c r="S398" s="49"/>
    </row>
    <row r="399">
      <c r="A399" s="54"/>
      <c r="B399" s="55"/>
      <c r="C399" s="49"/>
      <c r="D399" s="54"/>
      <c r="E399" s="49"/>
      <c r="F399" s="54"/>
      <c r="G399" s="49"/>
      <c r="H399" s="49"/>
      <c r="I399" s="49"/>
      <c r="J399" s="49"/>
      <c r="K399" s="49"/>
      <c r="L399" s="49"/>
      <c r="M399" s="49"/>
      <c r="N399" s="49"/>
      <c r="O399" s="49"/>
      <c r="P399" s="49"/>
      <c r="Q399" s="49"/>
      <c r="R399" s="49"/>
      <c r="S399" s="49"/>
    </row>
    <row r="400">
      <c r="A400" s="54"/>
      <c r="B400" s="55"/>
      <c r="C400" s="49"/>
      <c r="D400" s="54"/>
      <c r="E400" s="49"/>
      <c r="F400" s="54"/>
      <c r="G400" s="49"/>
      <c r="H400" s="49"/>
      <c r="I400" s="49"/>
      <c r="J400" s="49"/>
      <c r="K400" s="49"/>
      <c r="L400" s="49"/>
      <c r="M400" s="49"/>
      <c r="N400" s="49"/>
      <c r="O400" s="49"/>
      <c r="P400" s="49"/>
      <c r="Q400" s="49"/>
      <c r="R400" s="49"/>
      <c r="S400" s="49"/>
    </row>
    <row r="401">
      <c r="A401" s="54"/>
      <c r="B401" s="55"/>
      <c r="C401" s="49"/>
      <c r="D401" s="54"/>
      <c r="E401" s="49"/>
      <c r="F401" s="54"/>
      <c r="G401" s="49"/>
      <c r="H401" s="49"/>
      <c r="I401" s="49"/>
      <c r="J401" s="49"/>
      <c r="K401" s="49"/>
      <c r="L401" s="49"/>
      <c r="M401" s="49"/>
      <c r="N401" s="49"/>
      <c r="O401" s="49"/>
      <c r="P401" s="49"/>
      <c r="Q401" s="49"/>
      <c r="R401" s="49"/>
      <c r="S401" s="49"/>
    </row>
    <row r="402">
      <c r="A402" s="54"/>
      <c r="B402" s="55"/>
      <c r="C402" s="49"/>
      <c r="D402" s="54"/>
      <c r="E402" s="49"/>
      <c r="F402" s="54"/>
      <c r="G402" s="49"/>
      <c r="H402" s="49"/>
      <c r="I402" s="49"/>
      <c r="J402" s="49"/>
      <c r="K402" s="49"/>
      <c r="L402" s="49"/>
      <c r="M402" s="49"/>
      <c r="N402" s="49"/>
      <c r="O402" s="49"/>
      <c r="P402" s="49"/>
      <c r="Q402" s="49"/>
      <c r="R402" s="49"/>
      <c r="S402" s="49"/>
    </row>
    <row r="403">
      <c r="A403" s="54"/>
      <c r="B403" s="55"/>
      <c r="C403" s="49"/>
      <c r="D403" s="54"/>
      <c r="E403" s="49"/>
      <c r="F403" s="54"/>
      <c r="G403" s="49"/>
      <c r="H403" s="49"/>
      <c r="I403" s="49"/>
      <c r="J403" s="49"/>
      <c r="K403" s="49"/>
      <c r="L403" s="49"/>
      <c r="M403" s="49"/>
      <c r="N403" s="49"/>
      <c r="O403" s="49"/>
      <c r="P403" s="49"/>
      <c r="Q403" s="49"/>
      <c r="R403" s="49"/>
      <c r="S403" s="49"/>
    </row>
    <row r="404">
      <c r="A404" s="54"/>
      <c r="B404" s="55"/>
      <c r="C404" s="49"/>
      <c r="D404" s="54"/>
      <c r="E404" s="49"/>
      <c r="F404" s="54"/>
      <c r="G404" s="49"/>
      <c r="H404" s="49"/>
      <c r="I404" s="49"/>
      <c r="J404" s="49"/>
      <c r="K404" s="49"/>
      <c r="L404" s="49"/>
      <c r="M404" s="49"/>
      <c r="N404" s="49"/>
      <c r="O404" s="49"/>
      <c r="P404" s="49"/>
      <c r="Q404" s="49"/>
      <c r="R404" s="49"/>
      <c r="S404" s="49"/>
    </row>
    <row r="405">
      <c r="A405" s="54"/>
      <c r="B405" s="55"/>
      <c r="C405" s="49"/>
      <c r="D405" s="54"/>
      <c r="E405" s="49"/>
      <c r="F405" s="54"/>
      <c r="G405" s="49"/>
      <c r="H405" s="49"/>
      <c r="I405" s="49"/>
      <c r="J405" s="49"/>
      <c r="K405" s="49"/>
      <c r="L405" s="49"/>
      <c r="M405" s="49"/>
      <c r="N405" s="49"/>
      <c r="O405" s="49"/>
      <c r="P405" s="49"/>
      <c r="Q405" s="49"/>
      <c r="R405" s="49"/>
      <c r="S405" s="49"/>
    </row>
    <row r="406">
      <c r="A406" s="54"/>
      <c r="B406" s="55"/>
      <c r="C406" s="49"/>
      <c r="D406" s="54"/>
      <c r="E406" s="49"/>
      <c r="F406" s="54"/>
      <c r="G406" s="49"/>
      <c r="H406" s="49"/>
      <c r="I406" s="49"/>
      <c r="J406" s="49"/>
      <c r="K406" s="49"/>
      <c r="L406" s="49"/>
      <c r="M406" s="49"/>
      <c r="N406" s="49"/>
      <c r="O406" s="49"/>
      <c r="P406" s="49"/>
      <c r="Q406" s="49"/>
      <c r="R406" s="49"/>
      <c r="S406" s="49"/>
    </row>
    <row r="407">
      <c r="A407" s="54"/>
      <c r="B407" s="55"/>
      <c r="C407" s="49"/>
      <c r="D407" s="54"/>
      <c r="E407" s="49"/>
      <c r="F407" s="54"/>
      <c r="G407" s="49"/>
      <c r="H407" s="49"/>
      <c r="I407" s="49"/>
      <c r="J407" s="49"/>
      <c r="K407" s="49"/>
      <c r="L407" s="49"/>
      <c r="M407" s="49"/>
      <c r="N407" s="49"/>
      <c r="O407" s="49"/>
      <c r="P407" s="49"/>
      <c r="Q407" s="49"/>
      <c r="R407" s="49"/>
      <c r="S407" s="49"/>
    </row>
    <row r="408">
      <c r="A408" s="54"/>
      <c r="B408" s="55"/>
      <c r="C408" s="49"/>
      <c r="D408" s="54"/>
      <c r="E408" s="49"/>
      <c r="F408" s="54"/>
      <c r="G408" s="49"/>
      <c r="H408" s="49"/>
      <c r="I408" s="49"/>
      <c r="J408" s="49"/>
      <c r="K408" s="49"/>
      <c r="L408" s="49"/>
      <c r="M408" s="49"/>
      <c r="N408" s="49"/>
      <c r="O408" s="49"/>
      <c r="P408" s="49"/>
      <c r="Q408" s="49"/>
      <c r="R408" s="49"/>
      <c r="S408" s="49"/>
    </row>
    <row r="409">
      <c r="A409" s="54"/>
      <c r="B409" s="55"/>
      <c r="C409" s="49"/>
      <c r="D409" s="54"/>
      <c r="E409" s="49"/>
      <c r="F409" s="54"/>
      <c r="G409" s="49"/>
      <c r="H409" s="49"/>
      <c r="I409" s="49"/>
      <c r="J409" s="49"/>
      <c r="K409" s="49"/>
      <c r="L409" s="49"/>
      <c r="M409" s="49"/>
      <c r="N409" s="49"/>
      <c r="O409" s="49"/>
      <c r="P409" s="49"/>
      <c r="Q409" s="49"/>
      <c r="R409" s="49"/>
      <c r="S409" s="49"/>
    </row>
    <row r="410">
      <c r="A410" s="54"/>
      <c r="B410" s="55"/>
      <c r="C410" s="49"/>
      <c r="D410" s="54"/>
      <c r="E410" s="49"/>
      <c r="F410" s="54"/>
      <c r="G410" s="49"/>
      <c r="H410" s="49"/>
      <c r="I410" s="49"/>
      <c r="J410" s="49"/>
      <c r="K410" s="49"/>
      <c r="L410" s="49"/>
      <c r="M410" s="49"/>
      <c r="N410" s="49"/>
      <c r="O410" s="49"/>
      <c r="P410" s="49"/>
      <c r="Q410" s="49"/>
      <c r="R410" s="49"/>
      <c r="S410" s="49"/>
    </row>
    <row r="411">
      <c r="A411" s="54"/>
      <c r="B411" s="55"/>
      <c r="C411" s="49"/>
      <c r="D411" s="54"/>
      <c r="E411" s="49"/>
      <c r="F411" s="54"/>
      <c r="G411" s="49"/>
      <c r="H411" s="49"/>
      <c r="I411" s="49"/>
      <c r="J411" s="49"/>
      <c r="K411" s="49"/>
      <c r="L411" s="49"/>
      <c r="M411" s="49"/>
      <c r="N411" s="49"/>
      <c r="O411" s="49"/>
      <c r="P411" s="49"/>
      <c r="Q411" s="49"/>
      <c r="R411" s="49"/>
      <c r="S411" s="49"/>
    </row>
    <row r="412">
      <c r="A412" s="54"/>
      <c r="B412" s="55"/>
      <c r="C412" s="49"/>
      <c r="D412" s="54"/>
      <c r="E412" s="49"/>
      <c r="F412" s="54"/>
      <c r="G412" s="49"/>
      <c r="H412" s="49"/>
      <c r="I412" s="49"/>
      <c r="J412" s="49"/>
      <c r="K412" s="49"/>
      <c r="L412" s="49"/>
      <c r="M412" s="49"/>
      <c r="N412" s="49"/>
      <c r="O412" s="49"/>
      <c r="P412" s="49"/>
      <c r="Q412" s="49"/>
      <c r="R412" s="49"/>
      <c r="S412" s="49"/>
    </row>
    <row r="413">
      <c r="A413" s="54"/>
      <c r="B413" s="55"/>
      <c r="C413" s="49"/>
      <c r="D413" s="54"/>
      <c r="E413" s="49"/>
      <c r="F413" s="54"/>
      <c r="G413" s="49"/>
      <c r="H413" s="49"/>
      <c r="I413" s="49"/>
      <c r="J413" s="49"/>
      <c r="K413" s="49"/>
      <c r="L413" s="49"/>
      <c r="M413" s="49"/>
      <c r="N413" s="49"/>
      <c r="O413" s="49"/>
      <c r="P413" s="49"/>
      <c r="Q413" s="49"/>
      <c r="R413" s="49"/>
      <c r="S413" s="49"/>
    </row>
    <row r="414">
      <c r="A414" s="54"/>
      <c r="B414" s="55"/>
      <c r="C414" s="49"/>
      <c r="D414" s="54"/>
      <c r="E414" s="49"/>
      <c r="F414" s="54"/>
      <c r="G414" s="49"/>
      <c r="H414" s="49"/>
      <c r="I414" s="49"/>
      <c r="J414" s="49"/>
      <c r="K414" s="49"/>
      <c r="L414" s="49"/>
      <c r="M414" s="49"/>
      <c r="N414" s="49"/>
      <c r="O414" s="49"/>
      <c r="P414" s="49"/>
      <c r="Q414" s="49"/>
      <c r="R414" s="49"/>
      <c r="S414" s="49"/>
    </row>
    <row r="415">
      <c r="A415" s="54"/>
      <c r="B415" s="55"/>
      <c r="C415" s="49"/>
      <c r="D415" s="54"/>
      <c r="E415" s="49"/>
      <c r="F415" s="54"/>
      <c r="G415" s="49"/>
      <c r="H415" s="49"/>
      <c r="I415" s="49"/>
      <c r="J415" s="49"/>
      <c r="K415" s="49"/>
      <c r="L415" s="49"/>
      <c r="M415" s="49"/>
      <c r="N415" s="49"/>
      <c r="O415" s="49"/>
      <c r="P415" s="49"/>
      <c r="Q415" s="49"/>
      <c r="R415" s="49"/>
      <c r="S415" s="49"/>
    </row>
    <row r="416">
      <c r="A416" s="54"/>
      <c r="B416" s="55"/>
      <c r="C416" s="49"/>
      <c r="D416" s="54"/>
      <c r="E416" s="49"/>
      <c r="F416" s="54"/>
      <c r="G416" s="49"/>
      <c r="H416" s="49"/>
      <c r="I416" s="49"/>
      <c r="J416" s="49"/>
      <c r="K416" s="49"/>
      <c r="L416" s="49"/>
      <c r="M416" s="49"/>
      <c r="N416" s="49"/>
      <c r="O416" s="49"/>
      <c r="P416" s="49"/>
      <c r="Q416" s="49"/>
      <c r="R416" s="49"/>
      <c r="S416" s="49"/>
    </row>
    <row r="417">
      <c r="A417" s="54"/>
      <c r="B417" s="55"/>
      <c r="C417" s="49"/>
      <c r="D417" s="54"/>
      <c r="E417" s="49"/>
      <c r="F417" s="54"/>
      <c r="G417" s="49"/>
      <c r="H417" s="49"/>
      <c r="I417" s="49"/>
      <c r="J417" s="49"/>
      <c r="K417" s="49"/>
      <c r="L417" s="49"/>
      <c r="M417" s="49"/>
      <c r="N417" s="49"/>
      <c r="O417" s="49"/>
      <c r="P417" s="49"/>
      <c r="Q417" s="49"/>
      <c r="R417" s="49"/>
      <c r="S417" s="49"/>
    </row>
    <row r="418">
      <c r="A418" s="54"/>
      <c r="B418" s="55"/>
      <c r="C418" s="49"/>
      <c r="D418" s="54"/>
      <c r="E418" s="49"/>
      <c r="F418" s="54"/>
      <c r="G418" s="49"/>
      <c r="H418" s="49"/>
      <c r="I418" s="49"/>
      <c r="J418" s="49"/>
      <c r="K418" s="49"/>
      <c r="L418" s="49"/>
      <c r="M418" s="49"/>
      <c r="N418" s="49"/>
      <c r="O418" s="49"/>
      <c r="P418" s="49"/>
      <c r="Q418" s="49"/>
      <c r="R418" s="49"/>
      <c r="S418" s="49"/>
    </row>
    <row r="419">
      <c r="A419" s="54"/>
      <c r="B419" s="55"/>
      <c r="C419" s="49"/>
      <c r="D419" s="54"/>
      <c r="E419" s="49"/>
      <c r="F419" s="54"/>
      <c r="G419" s="49"/>
      <c r="H419" s="49"/>
      <c r="I419" s="49"/>
      <c r="J419" s="49"/>
      <c r="K419" s="49"/>
      <c r="L419" s="49"/>
      <c r="M419" s="49"/>
      <c r="N419" s="49"/>
      <c r="O419" s="49"/>
      <c r="P419" s="49"/>
      <c r="Q419" s="49"/>
      <c r="R419" s="49"/>
      <c r="S419" s="49"/>
    </row>
    <row r="420">
      <c r="A420" s="54"/>
      <c r="B420" s="55"/>
      <c r="C420" s="49"/>
      <c r="D420" s="54"/>
      <c r="E420" s="49"/>
      <c r="F420" s="54"/>
      <c r="G420" s="49"/>
      <c r="H420" s="49"/>
      <c r="I420" s="49"/>
      <c r="J420" s="49"/>
      <c r="K420" s="49"/>
      <c r="L420" s="49"/>
      <c r="M420" s="49"/>
      <c r="N420" s="49"/>
      <c r="O420" s="49"/>
      <c r="P420" s="49"/>
      <c r="Q420" s="49"/>
      <c r="R420" s="49"/>
      <c r="S420" s="49"/>
    </row>
    <row r="421">
      <c r="A421" s="54"/>
      <c r="B421" s="55"/>
      <c r="C421" s="49"/>
      <c r="D421" s="54"/>
      <c r="E421" s="49"/>
      <c r="F421" s="54"/>
      <c r="G421" s="49"/>
      <c r="H421" s="49"/>
      <c r="I421" s="49"/>
      <c r="J421" s="49"/>
      <c r="K421" s="49"/>
      <c r="L421" s="49"/>
      <c r="M421" s="49"/>
      <c r="N421" s="49"/>
      <c r="O421" s="49"/>
      <c r="P421" s="49"/>
      <c r="Q421" s="49"/>
      <c r="R421" s="49"/>
      <c r="S421" s="49"/>
    </row>
    <row r="422">
      <c r="A422" s="54"/>
      <c r="B422" s="55"/>
      <c r="C422" s="49"/>
      <c r="D422" s="54"/>
      <c r="E422" s="49"/>
      <c r="F422" s="54"/>
      <c r="G422" s="49"/>
      <c r="H422" s="49"/>
      <c r="I422" s="49"/>
      <c r="J422" s="49"/>
      <c r="K422" s="49"/>
      <c r="L422" s="49"/>
      <c r="M422" s="49"/>
      <c r="N422" s="49"/>
      <c r="O422" s="49"/>
      <c r="P422" s="49"/>
      <c r="Q422" s="49"/>
      <c r="R422" s="49"/>
      <c r="S422" s="49"/>
    </row>
    <row r="423">
      <c r="A423" s="54"/>
      <c r="B423" s="55"/>
      <c r="C423" s="49"/>
      <c r="D423" s="54"/>
      <c r="E423" s="49"/>
      <c r="F423" s="54"/>
      <c r="G423" s="49"/>
      <c r="H423" s="49"/>
      <c r="I423" s="49"/>
      <c r="J423" s="49"/>
      <c r="K423" s="49"/>
      <c r="L423" s="49"/>
      <c r="M423" s="49"/>
      <c r="N423" s="49"/>
      <c r="O423" s="49"/>
      <c r="P423" s="49"/>
      <c r="Q423" s="49"/>
      <c r="R423" s="49"/>
      <c r="S423" s="49"/>
    </row>
    <row r="424">
      <c r="A424" s="54"/>
      <c r="B424" s="55"/>
      <c r="C424" s="49"/>
      <c r="D424" s="54"/>
      <c r="E424" s="49"/>
      <c r="F424" s="54"/>
      <c r="G424" s="49"/>
      <c r="H424" s="49"/>
      <c r="I424" s="49"/>
      <c r="J424" s="49"/>
      <c r="K424" s="49"/>
      <c r="L424" s="49"/>
      <c r="M424" s="49"/>
      <c r="N424" s="49"/>
      <c r="O424" s="49"/>
      <c r="P424" s="49"/>
      <c r="Q424" s="49"/>
      <c r="R424" s="49"/>
      <c r="S424" s="49"/>
    </row>
    <row r="425">
      <c r="A425" s="54"/>
      <c r="B425" s="55"/>
      <c r="C425" s="49"/>
      <c r="D425" s="54"/>
      <c r="E425" s="49"/>
      <c r="F425" s="54"/>
      <c r="G425" s="49"/>
      <c r="H425" s="49"/>
      <c r="I425" s="49"/>
      <c r="J425" s="49"/>
      <c r="K425" s="49"/>
      <c r="L425" s="49"/>
      <c r="M425" s="49"/>
      <c r="N425" s="49"/>
      <c r="O425" s="49"/>
      <c r="P425" s="49"/>
      <c r="Q425" s="49"/>
      <c r="R425" s="49"/>
      <c r="S425" s="49"/>
    </row>
    <row r="426">
      <c r="A426" s="54"/>
      <c r="B426" s="55"/>
      <c r="C426" s="49"/>
      <c r="D426" s="54"/>
      <c r="E426" s="49"/>
      <c r="F426" s="54"/>
      <c r="G426" s="49"/>
      <c r="H426" s="49"/>
      <c r="I426" s="49"/>
      <c r="J426" s="49"/>
      <c r="K426" s="49"/>
      <c r="L426" s="49"/>
      <c r="M426" s="49"/>
      <c r="N426" s="49"/>
      <c r="O426" s="49"/>
      <c r="P426" s="49"/>
      <c r="Q426" s="49"/>
      <c r="R426" s="49"/>
      <c r="S426" s="49"/>
    </row>
    <row r="427">
      <c r="A427" s="54"/>
      <c r="B427" s="55"/>
      <c r="C427" s="49"/>
      <c r="D427" s="54"/>
      <c r="E427" s="49"/>
      <c r="F427" s="54"/>
      <c r="G427" s="49"/>
      <c r="H427" s="49"/>
      <c r="I427" s="49"/>
      <c r="J427" s="49"/>
      <c r="K427" s="49"/>
      <c r="L427" s="49"/>
      <c r="M427" s="49"/>
      <c r="N427" s="49"/>
      <c r="O427" s="49"/>
      <c r="P427" s="49"/>
      <c r="Q427" s="49"/>
      <c r="R427" s="49"/>
      <c r="S427" s="49"/>
    </row>
    <row r="428">
      <c r="A428" s="54"/>
      <c r="B428" s="55"/>
      <c r="C428" s="49"/>
      <c r="D428" s="54"/>
      <c r="E428" s="49"/>
      <c r="F428" s="54"/>
      <c r="G428" s="49"/>
      <c r="H428" s="49"/>
      <c r="I428" s="49"/>
      <c r="J428" s="49"/>
      <c r="K428" s="49"/>
      <c r="L428" s="49"/>
      <c r="M428" s="49"/>
      <c r="N428" s="49"/>
      <c r="O428" s="49"/>
      <c r="P428" s="49"/>
      <c r="Q428" s="49"/>
      <c r="R428" s="49"/>
      <c r="S428" s="49"/>
    </row>
    <row r="429">
      <c r="A429" s="54"/>
      <c r="B429" s="55"/>
      <c r="C429" s="49"/>
      <c r="D429" s="54"/>
      <c r="E429" s="49"/>
      <c r="F429" s="54"/>
      <c r="G429" s="49"/>
      <c r="H429" s="49"/>
      <c r="I429" s="49"/>
      <c r="J429" s="49"/>
      <c r="K429" s="49"/>
      <c r="L429" s="49"/>
      <c r="M429" s="49"/>
      <c r="N429" s="49"/>
      <c r="O429" s="49"/>
      <c r="P429" s="49"/>
      <c r="Q429" s="49"/>
      <c r="R429" s="49"/>
      <c r="S429" s="49"/>
    </row>
    <row r="430">
      <c r="A430" s="54"/>
      <c r="B430" s="55"/>
      <c r="C430" s="49"/>
      <c r="D430" s="54"/>
      <c r="E430" s="49"/>
      <c r="F430" s="54"/>
      <c r="G430" s="49"/>
      <c r="H430" s="49"/>
      <c r="I430" s="49"/>
      <c r="J430" s="49"/>
      <c r="K430" s="49"/>
      <c r="L430" s="49"/>
      <c r="M430" s="49"/>
      <c r="N430" s="49"/>
      <c r="O430" s="49"/>
      <c r="P430" s="49"/>
      <c r="Q430" s="49"/>
      <c r="R430" s="49"/>
      <c r="S430" s="49"/>
    </row>
    <row r="431">
      <c r="A431" s="54"/>
      <c r="B431" s="55"/>
      <c r="C431" s="49"/>
      <c r="D431" s="54"/>
      <c r="E431" s="49"/>
      <c r="F431" s="54"/>
      <c r="G431" s="49"/>
      <c r="H431" s="49"/>
      <c r="I431" s="49"/>
      <c r="J431" s="49"/>
      <c r="K431" s="49"/>
      <c r="L431" s="49"/>
      <c r="M431" s="49"/>
      <c r="N431" s="49"/>
      <c r="O431" s="49"/>
      <c r="P431" s="49"/>
      <c r="Q431" s="49"/>
      <c r="R431" s="49"/>
      <c r="S431" s="49"/>
    </row>
    <row r="432">
      <c r="A432" s="54"/>
      <c r="B432" s="55"/>
      <c r="C432" s="49"/>
      <c r="D432" s="54"/>
      <c r="E432" s="49"/>
      <c r="F432" s="54"/>
      <c r="G432" s="49"/>
      <c r="H432" s="49"/>
      <c r="I432" s="49"/>
      <c r="J432" s="49"/>
      <c r="K432" s="49"/>
      <c r="L432" s="49"/>
      <c r="M432" s="49"/>
      <c r="N432" s="49"/>
      <c r="O432" s="49"/>
      <c r="P432" s="49"/>
      <c r="Q432" s="49"/>
      <c r="R432" s="49"/>
      <c r="S432" s="49"/>
    </row>
    <row r="433">
      <c r="A433" s="54"/>
      <c r="B433" s="55"/>
      <c r="C433" s="49"/>
      <c r="D433" s="54"/>
      <c r="E433" s="49"/>
      <c r="F433" s="54"/>
      <c r="G433" s="49"/>
      <c r="H433" s="49"/>
      <c r="I433" s="49"/>
      <c r="J433" s="49"/>
      <c r="K433" s="49"/>
      <c r="L433" s="49"/>
      <c r="M433" s="49"/>
      <c r="N433" s="49"/>
      <c r="O433" s="49"/>
      <c r="P433" s="49"/>
      <c r="Q433" s="49"/>
      <c r="R433" s="49"/>
      <c r="S433" s="49"/>
    </row>
    <row r="434">
      <c r="A434" s="54"/>
      <c r="B434" s="55"/>
      <c r="C434" s="49"/>
      <c r="D434" s="54"/>
      <c r="E434" s="49"/>
      <c r="F434" s="54"/>
      <c r="G434" s="49"/>
      <c r="H434" s="49"/>
      <c r="I434" s="49"/>
      <c r="J434" s="49"/>
      <c r="K434" s="49"/>
      <c r="L434" s="49"/>
      <c r="M434" s="49"/>
      <c r="N434" s="49"/>
      <c r="O434" s="49"/>
      <c r="P434" s="49"/>
      <c r="Q434" s="49"/>
      <c r="R434" s="49"/>
      <c r="S434" s="49"/>
    </row>
    <row r="435">
      <c r="A435" s="54"/>
      <c r="B435" s="55"/>
      <c r="C435" s="49"/>
      <c r="D435" s="54"/>
      <c r="E435" s="49"/>
      <c r="F435" s="54"/>
      <c r="G435" s="49"/>
      <c r="H435" s="49"/>
      <c r="I435" s="49"/>
      <c r="J435" s="49"/>
      <c r="K435" s="49"/>
      <c r="L435" s="49"/>
      <c r="M435" s="49"/>
      <c r="N435" s="49"/>
      <c r="O435" s="49"/>
      <c r="P435" s="49"/>
      <c r="Q435" s="49"/>
      <c r="R435" s="49"/>
      <c r="S435" s="49"/>
    </row>
    <row r="436">
      <c r="A436" s="54"/>
      <c r="B436" s="55"/>
      <c r="C436" s="49"/>
      <c r="D436" s="54"/>
      <c r="E436" s="49"/>
      <c r="F436" s="54"/>
      <c r="G436" s="49"/>
      <c r="H436" s="49"/>
      <c r="I436" s="49"/>
      <c r="J436" s="49"/>
      <c r="K436" s="49"/>
      <c r="L436" s="49"/>
      <c r="M436" s="49"/>
      <c r="N436" s="49"/>
      <c r="O436" s="49"/>
      <c r="P436" s="49"/>
      <c r="Q436" s="49"/>
      <c r="R436" s="49"/>
      <c r="S436" s="49"/>
    </row>
    <row r="437">
      <c r="A437" s="54"/>
      <c r="B437" s="55"/>
      <c r="C437" s="49"/>
      <c r="D437" s="54"/>
      <c r="E437" s="49"/>
      <c r="F437" s="54"/>
      <c r="G437" s="49"/>
      <c r="H437" s="49"/>
      <c r="I437" s="49"/>
      <c r="J437" s="49"/>
      <c r="K437" s="49"/>
      <c r="L437" s="49"/>
      <c r="M437" s="49"/>
      <c r="N437" s="49"/>
      <c r="O437" s="49"/>
      <c r="P437" s="49"/>
      <c r="Q437" s="49"/>
      <c r="R437" s="49"/>
      <c r="S437" s="49"/>
    </row>
    <row r="438">
      <c r="A438" s="54"/>
      <c r="B438" s="55"/>
      <c r="C438" s="49"/>
      <c r="D438" s="54"/>
      <c r="E438" s="49"/>
      <c r="F438" s="54"/>
      <c r="G438" s="49"/>
      <c r="H438" s="49"/>
      <c r="I438" s="49"/>
      <c r="J438" s="49"/>
      <c r="K438" s="49"/>
      <c r="L438" s="49"/>
      <c r="M438" s="49"/>
      <c r="N438" s="49"/>
      <c r="O438" s="49"/>
      <c r="P438" s="49"/>
      <c r="Q438" s="49"/>
      <c r="R438" s="49"/>
      <c r="S438" s="49"/>
    </row>
    <row r="439">
      <c r="A439" s="54"/>
      <c r="B439" s="55"/>
      <c r="C439" s="49"/>
      <c r="D439" s="54"/>
      <c r="E439" s="49"/>
      <c r="F439" s="54"/>
      <c r="G439" s="49"/>
      <c r="H439" s="49"/>
      <c r="I439" s="49"/>
      <c r="J439" s="49"/>
      <c r="K439" s="49"/>
      <c r="L439" s="49"/>
      <c r="M439" s="49"/>
      <c r="N439" s="49"/>
      <c r="O439" s="49"/>
      <c r="P439" s="49"/>
      <c r="Q439" s="49"/>
      <c r="R439" s="49"/>
      <c r="S439" s="49"/>
    </row>
    <row r="440">
      <c r="A440" s="54"/>
      <c r="B440" s="55"/>
      <c r="C440" s="49"/>
      <c r="D440" s="54"/>
      <c r="E440" s="49"/>
      <c r="F440" s="54"/>
      <c r="G440" s="49"/>
      <c r="H440" s="49"/>
      <c r="I440" s="49"/>
      <c r="J440" s="49"/>
      <c r="K440" s="49"/>
      <c r="L440" s="49"/>
      <c r="M440" s="49"/>
      <c r="N440" s="49"/>
      <c r="O440" s="49"/>
      <c r="P440" s="49"/>
      <c r="Q440" s="49"/>
      <c r="R440" s="49"/>
      <c r="S440" s="49"/>
    </row>
    <row r="441">
      <c r="A441" s="54"/>
      <c r="B441" s="55"/>
      <c r="C441" s="49"/>
      <c r="D441" s="54"/>
      <c r="E441" s="49"/>
      <c r="F441" s="54"/>
      <c r="G441" s="49"/>
      <c r="H441" s="49"/>
      <c r="I441" s="49"/>
      <c r="J441" s="49"/>
      <c r="K441" s="49"/>
      <c r="L441" s="49"/>
      <c r="M441" s="49"/>
      <c r="N441" s="49"/>
      <c r="O441" s="49"/>
      <c r="P441" s="49"/>
      <c r="Q441" s="49"/>
      <c r="R441" s="49"/>
      <c r="S441" s="49"/>
    </row>
    <row r="442">
      <c r="A442" s="54"/>
      <c r="B442" s="55"/>
      <c r="C442" s="49"/>
      <c r="D442" s="54"/>
      <c r="E442" s="49"/>
      <c r="F442" s="54"/>
      <c r="G442" s="49"/>
      <c r="H442" s="49"/>
      <c r="I442" s="49"/>
      <c r="J442" s="49"/>
      <c r="K442" s="49"/>
      <c r="L442" s="49"/>
      <c r="M442" s="49"/>
      <c r="N442" s="49"/>
      <c r="O442" s="49"/>
      <c r="P442" s="49"/>
      <c r="Q442" s="49"/>
      <c r="R442" s="49"/>
      <c r="S442" s="49"/>
    </row>
    <row r="443">
      <c r="A443" s="54"/>
      <c r="B443" s="55"/>
      <c r="C443" s="49"/>
      <c r="D443" s="54"/>
      <c r="E443" s="49"/>
      <c r="F443" s="54"/>
      <c r="G443" s="49"/>
      <c r="H443" s="49"/>
      <c r="I443" s="49"/>
      <c r="J443" s="49"/>
      <c r="K443" s="49"/>
      <c r="L443" s="49"/>
      <c r="M443" s="49"/>
      <c r="N443" s="49"/>
      <c r="O443" s="49"/>
      <c r="P443" s="49"/>
      <c r="Q443" s="49"/>
      <c r="R443" s="49"/>
      <c r="S443" s="49"/>
    </row>
    <row r="444">
      <c r="A444" s="54"/>
      <c r="B444" s="55"/>
      <c r="C444" s="49"/>
      <c r="D444" s="54"/>
      <c r="E444" s="49"/>
      <c r="F444" s="54"/>
      <c r="G444" s="49"/>
      <c r="H444" s="49"/>
      <c r="I444" s="49"/>
      <c r="J444" s="49"/>
      <c r="K444" s="49"/>
      <c r="L444" s="49"/>
      <c r="M444" s="49"/>
      <c r="N444" s="49"/>
      <c r="O444" s="49"/>
      <c r="P444" s="49"/>
      <c r="Q444" s="49"/>
      <c r="R444" s="49"/>
      <c r="S444" s="49"/>
    </row>
    <row r="445">
      <c r="A445" s="54"/>
      <c r="B445" s="55"/>
      <c r="C445" s="49"/>
      <c r="D445" s="54"/>
      <c r="E445" s="49"/>
      <c r="F445" s="54"/>
      <c r="G445" s="49"/>
      <c r="H445" s="49"/>
      <c r="I445" s="49"/>
      <c r="J445" s="49"/>
      <c r="K445" s="49"/>
      <c r="L445" s="49"/>
      <c r="M445" s="49"/>
      <c r="N445" s="49"/>
      <c r="O445" s="49"/>
      <c r="P445" s="49"/>
      <c r="Q445" s="49"/>
      <c r="R445" s="49"/>
      <c r="S445" s="49"/>
    </row>
    <row r="446">
      <c r="A446" s="54"/>
      <c r="B446" s="55"/>
      <c r="C446" s="49"/>
      <c r="D446" s="54"/>
      <c r="E446" s="49"/>
      <c r="F446" s="54"/>
      <c r="G446" s="49"/>
      <c r="H446" s="49"/>
      <c r="I446" s="49"/>
      <c r="J446" s="49"/>
      <c r="K446" s="49"/>
      <c r="L446" s="49"/>
      <c r="M446" s="49"/>
      <c r="N446" s="49"/>
      <c r="O446" s="49"/>
      <c r="P446" s="49"/>
      <c r="Q446" s="49"/>
      <c r="R446" s="49"/>
      <c r="S446" s="49"/>
    </row>
    <row r="447">
      <c r="A447" s="54"/>
      <c r="B447" s="55"/>
      <c r="C447" s="49"/>
      <c r="D447" s="54"/>
      <c r="E447" s="49"/>
      <c r="F447" s="54"/>
      <c r="G447" s="49"/>
      <c r="H447" s="49"/>
      <c r="I447" s="49"/>
      <c r="J447" s="49"/>
      <c r="K447" s="49"/>
      <c r="L447" s="49"/>
      <c r="M447" s="49"/>
      <c r="N447" s="49"/>
      <c r="O447" s="49"/>
      <c r="P447" s="49"/>
      <c r="Q447" s="49"/>
      <c r="R447" s="49"/>
      <c r="S447" s="49"/>
    </row>
    <row r="448">
      <c r="A448" s="54"/>
      <c r="B448" s="55"/>
      <c r="C448" s="49"/>
      <c r="D448" s="54"/>
      <c r="E448" s="49"/>
      <c r="F448" s="54"/>
      <c r="G448" s="49"/>
      <c r="H448" s="49"/>
      <c r="I448" s="49"/>
      <c r="J448" s="49"/>
      <c r="K448" s="49"/>
      <c r="L448" s="49"/>
      <c r="M448" s="49"/>
      <c r="N448" s="49"/>
      <c r="O448" s="49"/>
      <c r="P448" s="49"/>
      <c r="Q448" s="49"/>
      <c r="R448" s="49"/>
      <c r="S448" s="49"/>
    </row>
    <row r="449">
      <c r="A449" s="54"/>
      <c r="B449" s="55"/>
      <c r="C449" s="49"/>
      <c r="D449" s="54"/>
      <c r="E449" s="49"/>
      <c r="F449" s="54"/>
      <c r="G449" s="49"/>
      <c r="H449" s="49"/>
      <c r="I449" s="49"/>
      <c r="J449" s="49"/>
      <c r="K449" s="49"/>
      <c r="L449" s="49"/>
      <c r="M449" s="49"/>
      <c r="N449" s="49"/>
      <c r="O449" s="49"/>
      <c r="P449" s="49"/>
      <c r="Q449" s="49"/>
      <c r="R449" s="49"/>
      <c r="S449" s="49"/>
    </row>
    <row r="450">
      <c r="A450" s="54"/>
      <c r="B450" s="55"/>
      <c r="C450" s="49"/>
      <c r="D450" s="54"/>
      <c r="E450" s="49"/>
      <c r="F450" s="54"/>
      <c r="G450" s="49"/>
      <c r="H450" s="49"/>
      <c r="I450" s="49"/>
      <c r="J450" s="49"/>
      <c r="K450" s="49"/>
      <c r="L450" s="49"/>
      <c r="M450" s="49"/>
      <c r="N450" s="49"/>
      <c r="O450" s="49"/>
      <c r="P450" s="49"/>
      <c r="Q450" s="49"/>
      <c r="R450" s="49"/>
      <c r="S450" s="49"/>
    </row>
    <row r="451">
      <c r="A451" s="54"/>
      <c r="B451" s="55"/>
      <c r="C451" s="49"/>
      <c r="D451" s="54"/>
      <c r="E451" s="49"/>
      <c r="F451" s="54"/>
      <c r="G451" s="49"/>
      <c r="H451" s="49"/>
      <c r="I451" s="49"/>
      <c r="J451" s="49"/>
      <c r="K451" s="49"/>
      <c r="L451" s="49"/>
      <c r="M451" s="49"/>
      <c r="N451" s="49"/>
      <c r="O451" s="49"/>
      <c r="P451" s="49"/>
      <c r="Q451" s="49"/>
      <c r="R451" s="49"/>
      <c r="S451" s="49"/>
    </row>
    <row r="452">
      <c r="A452" s="54"/>
      <c r="B452" s="55"/>
      <c r="C452" s="49"/>
      <c r="D452" s="54"/>
      <c r="E452" s="49"/>
      <c r="F452" s="54"/>
      <c r="G452" s="49"/>
      <c r="H452" s="49"/>
      <c r="I452" s="49"/>
      <c r="J452" s="49"/>
      <c r="K452" s="49"/>
      <c r="L452" s="49"/>
      <c r="M452" s="49"/>
      <c r="N452" s="49"/>
      <c r="O452" s="49"/>
      <c r="P452" s="49"/>
      <c r="Q452" s="49"/>
      <c r="R452" s="49"/>
      <c r="S452" s="49"/>
    </row>
    <row r="453">
      <c r="A453" s="54"/>
      <c r="B453" s="55"/>
      <c r="C453" s="49"/>
      <c r="D453" s="54"/>
      <c r="E453" s="49"/>
      <c r="F453" s="54"/>
      <c r="G453" s="49"/>
      <c r="H453" s="49"/>
      <c r="I453" s="49"/>
      <c r="J453" s="49"/>
      <c r="K453" s="49"/>
      <c r="L453" s="49"/>
      <c r="M453" s="49"/>
      <c r="N453" s="49"/>
      <c r="O453" s="49"/>
      <c r="P453" s="49"/>
      <c r="Q453" s="49"/>
      <c r="R453" s="49"/>
      <c r="S453" s="49"/>
    </row>
    <row r="454">
      <c r="A454" s="54"/>
      <c r="B454" s="55"/>
      <c r="C454" s="49"/>
      <c r="D454" s="54"/>
      <c r="E454" s="49"/>
      <c r="F454" s="54"/>
      <c r="G454" s="49"/>
      <c r="H454" s="49"/>
      <c r="I454" s="49"/>
      <c r="J454" s="49"/>
      <c r="K454" s="49"/>
      <c r="L454" s="49"/>
      <c r="M454" s="49"/>
      <c r="N454" s="49"/>
      <c r="O454" s="49"/>
      <c r="P454" s="49"/>
      <c r="Q454" s="49"/>
      <c r="R454" s="49"/>
      <c r="S454" s="49"/>
    </row>
    <row r="455">
      <c r="A455" s="54"/>
      <c r="B455" s="55"/>
      <c r="C455" s="49"/>
      <c r="D455" s="54"/>
      <c r="E455" s="49"/>
      <c r="F455" s="54"/>
      <c r="G455" s="49"/>
      <c r="H455" s="49"/>
      <c r="I455" s="49"/>
      <c r="J455" s="49"/>
      <c r="K455" s="49"/>
      <c r="L455" s="49"/>
      <c r="M455" s="49"/>
      <c r="N455" s="49"/>
      <c r="O455" s="49"/>
      <c r="P455" s="49"/>
      <c r="Q455" s="49"/>
      <c r="R455" s="49"/>
      <c r="S455" s="49"/>
    </row>
    <row r="456">
      <c r="A456" s="54"/>
      <c r="B456" s="55"/>
      <c r="C456" s="49"/>
      <c r="D456" s="54"/>
      <c r="E456" s="49"/>
      <c r="F456" s="54"/>
      <c r="G456" s="49"/>
      <c r="H456" s="49"/>
      <c r="I456" s="49"/>
      <c r="J456" s="49"/>
      <c r="K456" s="49"/>
      <c r="L456" s="49"/>
      <c r="M456" s="49"/>
      <c r="N456" s="49"/>
      <c r="O456" s="49"/>
      <c r="P456" s="49"/>
      <c r="Q456" s="49"/>
      <c r="R456" s="49"/>
      <c r="S456" s="49"/>
    </row>
    <row r="457">
      <c r="A457" s="54"/>
      <c r="B457" s="55"/>
      <c r="C457" s="49"/>
      <c r="D457" s="54"/>
      <c r="E457" s="49"/>
      <c r="F457" s="54"/>
      <c r="G457" s="49"/>
      <c r="H457" s="49"/>
      <c r="I457" s="49"/>
      <c r="J457" s="49"/>
      <c r="K457" s="49"/>
      <c r="L457" s="49"/>
      <c r="M457" s="49"/>
      <c r="N457" s="49"/>
      <c r="O457" s="49"/>
      <c r="P457" s="49"/>
      <c r="Q457" s="49"/>
      <c r="R457" s="49"/>
      <c r="S457" s="49"/>
    </row>
    <row r="458">
      <c r="A458" s="54"/>
      <c r="B458" s="55"/>
      <c r="C458" s="49"/>
      <c r="D458" s="54"/>
      <c r="E458" s="49"/>
      <c r="F458" s="54"/>
      <c r="G458" s="49"/>
      <c r="H458" s="49"/>
      <c r="I458" s="49"/>
      <c r="J458" s="49"/>
      <c r="K458" s="49"/>
      <c r="L458" s="49"/>
      <c r="M458" s="49"/>
      <c r="N458" s="49"/>
      <c r="O458" s="49"/>
      <c r="P458" s="49"/>
      <c r="Q458" s="49"/>
      <c r="R458" s="49"/>
      <c r="S458" s="49"/>
    </row>
    <row r="459">
      <c r="A459" s="54"/>
      <c r="B459" s="55"/>
      <c r="C459" s="49"/>
      <c r="D459" s="54"/>
      <c r="E459" s="49"/>
      <c r="F459" s="54"/>
      <c r="G459" s="49"/>
      <c r="H459" s="49"/>
      <c r="I459" s="49"/>
      <c r="J459" s="49"/>
      <c r="K459" s="49"/>
      <c r="L459" s="49"/>
      <c r="M459" s="49"/>
      <c r="N459" s="49"/>
      <c r="O459" s="49"/>
      <c r="P459" s="49"/>
      <c r="Q459" s="49"/>
      <c r="R459" s="49"/>
      <c r="S459" s="49"/>
    </row>
    <row r="460">
      <c r="A460" s="54"/>
      <c r="B460" s="55"/>
      <c r="C460" s="49"/>
      <c r="D460" s="54"/>
      <c r="E460" s="49"/>
      <c r="F460" s="54"/>
      <c r="G460" s="49"/>
      <c r="H460" s="49"/>
      <c r="I460" s="49"/>
      <c r="J460" s="49"/>
      <c r="K460" s="49"/>
      <c r="L460" s="49"/>
      <c r="M460" s="49"/>
      <c r="N460" s="49"/>
      <c r="O460" s="49"/>
      <c r="P460" s="49"/>
      <c r="Q460" s="49"/>
      <c r="R460" s="49"/>
      <c r="S460" s="49"/>
    </row>
    <row r="461">
      <c r="A461" s="54"/>
      <c r="B461" s="55"/>
      <c r="C461" s="49"/>
      <c r="D461" s="54"/>
      <c r="E461" s="49"/>
      <c r="F461" s="54"/>
      <c r="G461" s="49"/>
      <c r="H461" s="49"/>
      <c r="I461" s="49"/>
      <c r="J461" s="49"/>
      <c r="K461" s="49"/>
      <c r="L461" s="49"/>
      <c r="M461" s="49"/>
      <c r="N461" s="49"/>
      <c r="O461" s="49"/>
      <c r="P461" s="49"/>
      <c r="Q461" s="49"/>
      <c r="R461" s="49"/>
      <c r="S461" s="49"/>
    </row>
    <row r="462">
      <c r="A462" s="54"/>
      <c r="B462" s="55"/>
      <c r="C462" s="49"/>
      <c r="D462" s="54"/>
      <c r="E462" s="49"/>
      <c r="F462" s="54"/>
      <c r="G462" s="49"/>
      <c r="H462" s="49"/>
      <c r="I462" s="49"/>
      <c r="J462" s="49"/>
      <c r="K462" s="49"/>
      <c r="L462" s="49"/>
      <c r="M462" s="49"/>
      <c r="N462" s="49"/>
      <c r="O462" s="49"/>
      <c r="P462" s="49"/>
      <c r="Q462" s="49"/>
      <c r="R462" s="49"/>
      <c r="S462" s="49"/>
    </row>
    <row r="463">
      <c r="A463" s="54"/>
      <c r="B463" s="55"/>
      <c r="C463" s="49"/>
      <c r="D463" s="54"/>
      <c r="E463" s="49"/>
      <c r="F463" s="54"/>
      <c r="G463" s="49"/>
      <c r="H463" s="49"/>
      <c r="I463" s="49"/>
      <c r="J463" s="49"/>
      <c r="K463" s="49"/>
      <c r="L463" s="49"/>
      <c r="M463" s="49"/>
      <c r="N463" s="49"/>
      <c r="O463" s="49"/>
      <c r="P463" s="49"/>
      <c r="Q463" s="49"/>
      <c r="R463" s="49"/>
      <c r="S463" s="49"/>
    </row>
    <row r="464">
      <c r="A464" s="54"/>
      <c r="B464" s="55"/>
      <c r="C464" s="49"/>
      <c r="D464" s="54"/>
      <c r="E464" s="49"/>
      <c r="F464" s="54"/>
      <c r="G464" s="49"/>
      <c r="H464" s="49"/>
      <c r="I464" s="49"/>
      <c r="J464" s="49"/>
      <c r="K464" s="49"/>
      <c r="L464" s="49"/>
      <c r="M464" s="49"/>
      <c r="N464" s="49"/>
      <c r="O464" s="49"/>
      <c r="P464" s="49"/>
      <c r="Q464" s="49"/>
      <c r="R464" s="49"/>
      <c r="S464" s="49"/>
    </row>
    <row r="465">
      <c r="A465" s="54"/>
      <c r="B465" s="55"/>
      <c r="C465" s="49"/>
      <c r="D465" s="54"/>
      <c r="E465" s="49"/>
      <c r="F465" s="54"/>
      <c r="G465" s="49"/>
      <c r="H465" s="49"/>
      <c r="I465" s="49"/>
      <c r="J465" s="49"/>
      <c r="K465" s="49"/>
      <c r="L465" s="49"/>
      <c r="M465" s="49"/>
      <c r="N465" s="49"/>
      <c r="O465" s="49"/>
      <c r="P465" s="49"/>
      <c r="Q465" s="49"/>
      <c r="R465" s="49"/>
      <c r="S465" s="49"/>
    </row>
    <row r="466">
      <c r="A466" s="54"/>
      <c r="B466" s="55"/>
      <c r="C466" s="49"/>
      <c r="D466" s="54"/>
      <c r="E466" s="49"/>
      <c r="F466" s="54"/>
      <c r="G466" s="49"/>
      <c r="H466" s="49"/>
      <c r="I466" s="49"/>
      <c r="J466" s="49"/>
      <c r="K466" s="49"/>
      <c r="L466" s="49"/>
      <c r="M466" s="49"/>
      <c r="N466" s="49"/>
      <c r="O466" s="49"/>
      <c r="P466" s="49"/>
      <c r="Q466" s="49"/>
      <c r="R466" s="49"/>
      <c r="S466" s="49"/>
    </row>
    <row r="467">
      <c r="A467" s="54"/>
      <c r="B467" s="55"/>
      <c r="C467" s="49"/>
      <c r="D467" s="54"/>
      <c r="E467" s="49"/>
      <c r="F467" s="54"/>
      <c r="G467" s="49"/>
      <c r="H467" s="49"/>
      <c r="I467" s="49"/>
      <c r="J467" s="49"/>
      <c r="K467" s="49"/>
      <c r="L467" s="49"/>
      <c r="M467" s="49"/>
      <c r="N467" s="49"/>
      <c r="O467" s="49"/>
      <c r="P467" s="49"/>
      <c r="Q467" s="49"/>
      <c r="R467" s="49"/>
      <c r="S467" s="49"/>
    </row>
    <row r="468">
      <c r="A468" s="54"/>
      <c r="B468" s="55"/>
      <c r="C468" s="49"/>
      <c r="D468" s="54"/>
      <c r="E468" s="49"/>
      <c r="F468" s="54"/>
      <c r="G468" s="49"/>
      <c r="H468" s="49"/>
      <c r="I468" s="49"/>
      <c r="J468" s="49"/>
      <c r="K468" s="49"/>
      <c r="L468" s="49"/>
      <c r="M468" s="49"/>
      <c r="N468" s="49"/>
      <c r="O468" s="49"/>
      <c r="P468" s="49"/>
      <c r="Q468" s="49"/>
      <c r="R468" s="49"/>
      <c r="S468" s="49"/>
    </row>
    <row r="469">
      <c r="A469" s="54"/>
      <c r="B469" s="55"/>
      <c r="C469" s="49"/>
      <c r="D469" s="54"/>
      <c r="E469" s="49"/>
      <c r="F469" s="54"/>
      <c r="G469" s="49"/>
      <c r="H469" s="49"/>
      <c r="I469" s="49"/>
      <c r="J469" s="49"/>
      <c r="K469" s="49"/>
      <c r="L469" s="49"/>
      <c r="M469" s="49"/>
      <c r="N469" s="49"/>
      <c r="O469" s="49"/>
      <c r="P469" s="49"/>
      <c r="Q469" s="49"/>
      <c r="R469" s="49"/>
      <c r="S469" s="49"/>
    </row>
    <row r="470">
      <c r="A470" s="54"/>
      <c r="B470" s="55"/>
      <c r="C470" s="49"/>
      <c r="D470" s="54"/>
      <c r="E470" s="49"/>
      <c r="F470" s="54"/>
      <c r="G470" s="49"/>
      <c r="H470" s="49"/>
      <c r="I470" s="49"/>
      <c r="J470" s="49"/>
      <c r="K470" s="49"/>
      <c r="L470" s="49"/>
      <c r="M470" s="49"/>
      <c r="N470" s="49"/>
      <c r="O470" s="49"/>
      <c r="P470" s="49"/>
      <c r="Q470" s="49"/>
      <c r="R470" s="49"/>
      <c r="S470" s="49"/>
    </row>
    <row r="471">
      <c r="A471" s="54"/>
      <c r="B471" s="55"/>
      <c r="C471" s="49"/>
      <c r="D471" s="54"/>
      <c r="E471" s="49"/>
      <c r="F471" s="54"/>
      <c r="G471" s="49"/>
      <c r="H471" s="49"/>
      <c r="I471" s="49"/>
      <c r="J471" s="49"/>
      <c r="K471" s="49"/>
      <c r="L471" s="49"/>
      <c r="M471" s="49"/>
      <c r="N471" s="49"/>
      <c r="O471" s="49"/>
      <c r="P471" s="49"/>
      <c r="Q471" s="49"/>
      <c r="R471" s="49"/>
      <c r="S471" s="49"/>
    </row>
    <row r="472">
      <c r="A472" s="54"/>
      <c r="B472" s="55"/>
      <c r="C472" s="49"/>
      <c r="D472" s="54"/>
      <c r="E472" s="49"/>
      <c r="F472" s="54"/>
      <c r="G472" s="49"/>
      <c r="H472" s="49"/>
      <c r="I472" s="49"/>
      <c r="J472" s="49"/>
      <c r="K472" s="49"/>
      <c r="L472" s="49"/>
      <c r="M472" s="49"/>
      <c r="N472" s="49"/>
      <c r="O472" s="49"/>
      <c r="P472" s="49"/>
      <c r="Q472" s="49"/>
      <c r="R472" s="49"/>
      <c r="S472" s="49"/>
    </row>
    <row r="473">
      <c r="A473" s="54"/>
      <c r="B473" s="55"/>
      <c r="C473" s="49"/>
      <c r="D473" s="54"/>
      <c r="E473" s="49"/>
      <c r="F473" s="54"/>
      <c r="G473" s="49"/>
      <c r="H473" s="49"/>
      <c r="I473" s="49"/>
      <c r="J473" s="49"/>
      <c r="K473" s="49"/>
      <c r="L473" s="49"/>
      <c r="M473" s="49"/>
      <c r="N473" s="49"/>
      <c r="O473" s="49"/>
      <c r="P473" s="49"/>
      <c r="Q473" s="49"/>
      <c r="R473" s="49"/>
      <c r="S473" s="49"/>
    </row>
    <row r="474">
      <c r="A474" s="54"/>
      <c r="B474" s="55"/>
      <c r="C474" s="49"/>
      <c r="D474" s="54"/>
      <c r="E474" s="49"/>
      <c r="F474" s="54"/>
      <c r="G474" s="49"/>
      <c r="H474" s="49"/>
      <c r="I474" s="49"/>
      <c r="J474" s="49"/>
      <c r="K474" s="49"/>
      <c r="L474" s="49"/>
      <c r="M474" s="49"/>
      <c r="N474" s="49"/>
      <c r="O474" s="49"/>
      <c r="P474" s="49"/>
      <c r="Q474" s="49"/>
      <c r="R474" s="49"/>
      <c r="S474" s="49"/>
    </row>
    <row r="475">
      <c r="A475" s="54"/>
      <c r="B475" s="55"/>
      <c r="C475" s="49"/>
      <c r="D475" s="54"/>
      <c r="E475" s="49"/>
      <c r="F475" s="54"/>
      <c r="G475" s="49"/>
      <c r="H475" s="49"/>
      <c r="I475" s="49"/>
      <c r="J475" s="49"/>
      <c r="K475" s="49"/>
      <c r="L475" s="49"/>
      <c r="M475" s="49"/>
      <c r="N475" s="49"/>
      <c r="O475" s="49"/>
      <c r="P475" s="49"/>
      <c r="Q475" s="49"/>
      <c r="R475" s="49"/>
      <c r="S475" s="49"/>
    </row>
    <row r="476">
      <c r="A476" s="54"/>
      <c r="B476" s="55"/>
      <c r="C476" s="49"/>
      <c r="D476" s="54"/>
      <c r="E476" s="49"/>
      <c r="F476" s="54"/>
      <c r="G476" s="49"/>
      <c r="H476" s="49"/>
      <c r="I476" s="49"/>
      <c r="J476" s="49"/>
      <c r="K476" s="49"/>
      <c r="L476" s="49"/>
      <c r="M476" s="49"/>
      <c r="N476" s="49"/>
      <c r="O476" s="49"/>
      <c r="P476" s="49"/>
      <c r="Q476" s="49"/>
      <c r="R476" s="49"/>
      <c r="S476" s="49"/>
    </row>
    <row r="477">
      <c r="A477" s="54"/>
      <c r="B477" s="55"/>
      <c r="C477" s="49"/>
      <c r="D477" s="54"/>
      <c r="E477" s="49"/>
      <c r="F477" s="54"/>
      <c r="G477" s="49"/>
      <c r="H477" s="49"/>
      <c r="I477" s="49"/>
      <c r="J477" s="49"/>
      <c r="K477" s="49"/>
      <c r="L477" s="49"/>
      <c r="M477" s="49"/>
      <c r="N477" s="49"/>
      <c r="O477" s="49"/>
      <c r="P477" s="49"/>
      <c r="Q477" s="49"/>
      <c r="R477" s="49"/>
      <c r="S477" s="49"/>
    </row>
    <row r="478">
      <c r="A478" s="54"/>
      <c r="B478" s="55"/>
      <c r="C478" s="49"/>
      <c r="D478" s="54"/>
      <c r="E478" s="49"/>
      <c r="F478" s="54"/>
      <c r="G478" s="49"/>
      <c r="H478" s="49"/>
      <c r="I478" s="49"/>
      <c r="J478" s="49"/>
      <c r="K478" s="49"/>
      <c r="L478" s="49"/>
      <c r="M478" s="49"/>
      <c r="N478" s="49"/>
      <c r="O478" s="49"/>
      <c r="P478" s="49"/>
      <c r="Q478" s="49"/>
      <c r="R478" s="49"/>
      <c r="S478" s="49"/>
    </row>
    <row r="479">
      <c r="A479" s="54"/>
      <c r="B479" s="55"/>
      <c r="C479" s="49"/>
      <c r="D479" s="54"/>
      <c r="E479" s="49"/>
      <c r="F479" s="54"/>
      <c r="G479" s="49"/>
      <c r="H479" s="49"/>
      <c r="I479" s="49"/>
      <c r="J479" s="49"/>
      <c r="K479" s="49"/>
      <c r="L479" s="49"/>
      <c r="M479" s="49"/>
      <c r="N479" s="49"/>
      <c r="O479" s="49"/>
      <c r="P479" s="49"/>
      <c r="Q479" s="49"/>
      <c r="R479" s="49"/>
      <c r="S479" s="49"/>
    </row>
    <row r="480">
      <c r="A480" s="54"/>
      <c r="B480" s="55"/>
      <c r="C480" s="49"/>
      <c r="D480" s="54"/>
      <c r="E480" s="49"/>
      <c r="F480" s="54"/>
      <c r="G480" s="49"/>
      <c r="H480" s="49"/>
      <c r="I480" s="49"/>
      <c r="J480" s="49"/>
      <c r="K480" s="49"/>
      <c r="L480" s="49"/>
      <c r="M480" s="49"/>
      <c r="N480" s="49"/>
      <c r="O480" s="49"/>
      <c r="P480" s="49"/>
      <c r="Q480" s="49"/>
      <c r="R480" s="49"/>
      <c r="S480" s="49"/>
    </row>
    <row r="481">
      <c r="A481" s="54"/>
      <c r="B481" s="55"/>
      <c r="C481" s="49"/>
      <c r="D481" s="54"/>
      <c r="E481" s="49"/>
      <c r="F481" s="54"/>
      <c r="G481" s="49"/>
      <c r="H481" s="49"/>
      <c r="I481" s="49"/>
      <c r="J481" s="49"/>
      <c r="K481" s="49"/>
      <c r="L481" s="49"/>
      <c r="M481" s="49"/>
      <c r="N481" s="49"/>
      <c r="O481" s="49"/>
      <c r="P481" s="49"/>
      <c r="Q481" s="49"/>
      <c r="R481" s="49"/>
      <c r="S481" s="49"/>
    </row>
    <row r="482">
      <c r="A482" s="54"/>
      <c r="B482" s="55"/>
      <c r="C482" s="49"/>
      <c r="D482" s="54"/>
      <c r="E482" s="49"/>
      <c r="F482" s="54"/>
      <c r="G482" s="49"/>
      <c r="H482" s="49"/>
      <c r="I482" s="49"/>
      <c r="J482" s="49"/>
      <c r="K482" s="49"/>
      <c r="L482" s="49"/>
      <c r="M482" s="49"/>
      <c r="N482" s="49"/>
      <c r="O482" s="49"/>
      <c r="P482" s="49"/>
      <c r="Q482" s="49"/>
      <c r="R482" s="49"/>
      <c r="S482" s="49"/>
    </row>
    <row r="483">
      <c r="A483" s="54"/>
      <c r="B483" s="55"/>
      <c r="C483" s="49"/>
      <c r="D483" s="54"/>
      <c r="E483" s="49"/>
      <c r="F483" s="54"/>
      <c r="G483" s="49"/>
      <c r="H483" s="49"/>
      <c r="I483" s="49"/>
      <c r="J483" s="49"/>
      <c r="K483" s="49"/>
      <c r="L483" s="49"/>
      <c r="M483" s="49"/>
      <c r="N483" s="49"/>
      <c r="O483" s="49"/>
      <c r="P483" s="49"/>
      <c r="Q483" s="49"/>
      <c r="R483" s="49"/>
      <c r="S483" s="49"/>
    </row>
    <row r="484">
      <c r="A484" s="54"/>
      <c r="B484" s="55"/>
      <c r="C484" s="49"/>
      <c r="D484" s="54"/>
      <c r="E484" s="49"/>
      <c r="F484" s="54"/>
      <c r="G484" s="49"/>
      <c r="H484" s="49"/>
      <c r="I484" s="49"/>
      <c r="J484" s="49"/>
      <c r="K484" s="49"/>
      <c r="L484" s="49"/>
      <c r="M484" s="49"/>
      <c r="N484" s="49"/>
      <c r="O484" s="49"/>
      <c r="P484" s="49"/>
      <c r="Q484" s="49"/>
      <c r="R484" s="49"/>
      <c r="S484" s="49"/>
    </row>
    <row r="485">
      <c r="A485" s="54"/>
      <c r="B485" s="55"/>
      <c r="C485" s="49"/>
      <c r="D485" s="54"/>
      <c r="E485" s="49"/>
      <c r="F485" s="54"/>
      <c r="G485" s="49"/>
      <c r="H485" s="49"/>
      <c r="I485" s="49"/>
      <c r="J485" s="49"/>
      <c r="K485" s="49"/>
      <c r="L485" s="49"/>
      <c r="M485" s="49"/>
      <c r="N485" s="49"/>
      <c r="O485" s="49"/>
      <c r="P485" s="49"/>
      <c r="Q485" s="49"/>
      <c r="R485" s="49"/>
      <c r="S485" s="49"/>
    </row>
    <row r="486">
      <c r="A486" s="54"/>
      <c r="B486" s="55"/>
      <c r="C486" s="49"/>
      <c r="D486" s="54"/>
      <c r="E486" s="49"/>
      <c r="F486" s="54"/>
      <c r="G486" s="49"/>
      <c r="H486" s="49"/>
      <c r="I486" s="49"/>
      <c r="J486" s="49"/>
      <c r="K486" s="49"/>
      <c r="L486" s="49"/>
      <c r="M486" s="49"/>
      <c r="N486" s="49"/>
      <c r="O486" s="49"/>
      <c r="P486" s="49"/>
      <c r="Q486" s="49"/>
      <c r="R486" s="49"/>
      <c r="S486" s="49"/>
    </row>
    <row r="487">
      <c r="A487" s="54"/>
      <c r="B487" s="55"/>
      <c r="C487" s="49"/>
      <c r="D487" s="54"/>
      <c r="E487" s="49"/>
      <c r="F487" s="54"/>
      <c r="G487" s="49"/>
      <c r="H487" s="49"/>
      <c r="I487" s="49"/>
      <c r="J487" s="49"/>
      <c r="K487" s="49"/>
      <c r="L487" s="49"/>
      <c r="M487" s="49"/>
      <c r="N487" s="49"/>
      <c r="O487" s="49"/>
      <c r="P487" s="49"/>
      <c r="Q487" s="49"/>
      <c r="R487" s="49"/>
      <c r="S487" s="49"/>
    </row>
    <row r="488">
      <c r="A488" s="54"/>
      <c r="B488" s="55"/>
      <c r="C488" s="49"/>
      <c r="D488" s="54"/>
      <c r="E488" s="49"/>
      <c r="F488" s="54"/>
      <c r="G488" s="49"/>
      <c r="H488" s="49"/>
      <c r="I488" s="49"/>
      <c r="J488" s="49"/>
      <c r="K488" s="49"/>
      <c r="L488" s="49"/>
      <c r="M488" s="49"/>
      <c r="N488" s="49"/>
      <c r="O488" s="49"/>
      <c r="P488" s="49"/>
      <c r="Q488" s="49"/>
      <c r="R488" s="49"/>
      <c r="S488" s="49"/>
    </row>
    <row r="489">
      <c r="A489" s="54"/>
      <c r="B489" s="55"/>
      <c r="C489" s="49"/>
      <c r="D489" s="54"/>
      <c r="E489" s="49"/>
      <c r="F489" s="54"/>
      <c r="G489" s="49"/>
      <c r="H489" s="49"/>
      <c r="I489" s="49"/>
      <c r="J489" s="49"/>
      <c r="K489" s="49"/>
      <c r="L489" s="49"/>
      <c r="M489" s="49"/>
      <c r="N489" s="49"/>
      <c r="O489" s="49"/>
      <c r="P489" s="49"/>
      <c r="Q489" s="49"/>
      <c r="R489" s="49"/>
      <c r="S489" s="49"/>
    </row>
    <row r="490">
      <c r="A490" s="54"/>
      <c r="B490" s="55"/>
      <c r="C490" s="49"/>
      <c r="D490" s="54"/>
      <c r="E490" s="49"/>
      <c r="F490" s="54"/>
      <c r="G490" s="49"/>
      <c r="H490" s="49"/>
      <c r="I490" s="49"/>
      <c r="J490" s="49"/>
      <c r="K490" s="49"/>
      <c r="L490" s="49"/>
      <c r="M490" s="49"/>
      <c r="N490" s="49"/>
      <c r="O490" s="49"/>
      <c r="P490" s="49"/>
      <c r="Q490" s="49"/>
      <c r="R490" s="49"/>
      <c r="S490" s="49"/>
    </row>
    <row r="491">
      <c r="A491" s="54"/>
      <c r="B491" s="55"/>
      <c r="C491" s="49"/>
      <c r="D491" s="54"/>
      <c r="E491" s="49"/>
      <c r="F491" s="54"/>
      <c r="G491" s="49"/>
      <c r="H491" s="49"/>
      <c r="I491" s="49"/>
      <c r="J491" s="49"/>
      <c r="K491" s="49"/>
      <c r="L491" s="49"/>
      <c r="M491" s="49"/>
      <c r="N491" s="49"/>
      <c r="O491" s="49"/>
      <c r="P491" s="49"/>
      <c r="Q491" s="49"/>
      <c r="R491" s="49"/>
      <c r="S491" s="49"/>
    </row>
    <row r="492">
      <c r="A492" s="54"/>
      <c r="B492" s="55"/>
      <c r="C492" s="49"/>
      <c r="D492" s="54"/>
      <c r="E492" s="49"/>
      <c r="F492" s="54"/>
      <c r="G492" s="49"/>
      <c r="H492" s="49"/>
      <c r="I492" s="49"/>
      <c r="J492" s="49"/>
      <c r="K492" s="49"/>
      <c r="L492" s="49"/>
      <c r="M492" s="49"/>
      <c r="N492" s="49"/>
      <c r="O492" s="49"/>
      <c r="P492" s="49"/>
      <c r="Q492" s="49"/>
      <c r="R492" s="49"/>
      <c r="S492" s="49"/>
    </row>
    <row r="493">
      <c r="A493" s="54"/>
      <c r="B493" s="55"/>
      <c r="C493" s="49"/>
      <c r="D493" s="54"/>
      <c r="E493" s="49"/>
      <c r="F493" s="54"/>
      <c r="G493" s="49"/>
      <c r="H493" s="49"/>
      <c r="I493" s="49"/>
      <c r="J493" s="49"/>
      <c r="K493" s="49"/>
      <c r="L493" s="49"/>
      <c r="M493" s="49"/>
      <c r="N493" s="49"/>
      <c r="O493" s="49"/>
      <c r="P493" s="49"/>
      <c r="Q493" s="49"/>
      <c r="R493" s="49"/>
      <c r="S493" s="49"/>
    </row>
    <row r="494">
      <c r="A494" s="54"/>
      <c r="B494" s="55"/>
      <c r="C494" s="49"/>
      <c r="D494" s="54"/>
      <c r="E494" s="49"/>
      <c r="F494" s="54"/>
      <c r="G494" s="49"/>
      <c r="H494" s="49"/>
      <c r="I494" s="49"/>
      <c r="J494" s="49"/>
      <c r="K494" s="49"/>
      <c r="L494" s="49"/>
      <c r="M494" s="49"/>
      <c r="N494" s="49"/>
      <c r="O494" s="49"/>
      <c r="P494" s="49"/>
      <c r="Q494" s="49"/>
      <c r="R494" s="49"/>
      <c r="S494" s="49"/>
    </row>
    <row r="495">
      <c r="A495" s="54"/>
      <c r="B495" s="55"/>
      <c r="C495" s="49"/>
      <c r="D495" s="54"/>
      <c r="E495" s="49"/>
      <c r="F495" s="54"/>
      <c r="G495" s="49"/>
      <c r="H495" s="49"/>
      <c r="I495" s="49"/>
      <c r="J495" s="49"/>
      <c r="K495" s="49"/>
      <c r="L495" s="49"/>
      <c r="M495" s="49"/>
      <c r="N495" s="49"/>
      <c r="O495" s="49"/>
      <c r="P495" s="49"/>
      <c r="Q495" s="49"/>
      <c r="R495" s="49"/>
      <c r="S495" s="49"/>
    </row>
    <row r="496">
      <c r="A496" s="54"/>
      <c r="B496" s="55"/>
      <c r="C496" s="49"/>
      <c r="D496" s="54"/>
      <c r="E496" s="49"/>
      <c r="F496" s="54"/>
      <c r="G496" s="49"/>
      <c r="H496" s="49"/>
      <c r="I496" s="49"/>
      <c r="J496" s="49"/>
      <c r="K496" s="49"/>
      <c r="L496" s="49"/>
      <c r="M496" s="49"/>
      <c r="N496" s="49"/>
      <c r="O496" s="49"/>
      <c r="P496" s="49"/>
      <c r="Q496" s="49"/>
      <c r="R496" s="49"/>
      <c r="S496" s="49"/>
    </row>
    <row r="497">
      <c r="A497" s="54"/>
      <c r="B497" s="55"/>
      <c r="C497" s="49"/>
      <c r="D497" s="54"/>
      <c r="E497" s="49"/>
      <c r="F497" s="54"/>
      <c r="G497" s="49"/>
      <c r="H497" s="49"/>
      <c r="I497" s="49"/>
      <c r="J497" s="49"/>
      <c r="K497" s="49"/>
      <c r="L497" s="49"/>
      <c r="M497" s="49"/>
      <c r="N497" s="49"/>
      <c r="O497" s="49"/>
      <c r="P497" s="49"/>
      <c r="Q497" s="49"/>
      <c r="R497" s="49"/>
      <c r="S497" s="49"/>
    </row>
    <row r="498">
      <c r="A498" s="54"/>
      <c r="B498" s="55"/>
      <c r="C498" s="49"/>
      <c r="D498" s="54"/>
      <c r="E498" s="49"/>
      <c r="F498" s="54"/>
      <c r="G498" s="49"/>
      <c r="H498" s="49"/>
      <c r="I498" s="49"/>
      <c r="J498" s="49"/>
      <c r="K498" s="49"/>
      <c r="L498" s="49"/>
      <c r="M498" s="49"/>
      <c r="N498" s="49"/>
      <c r="O498" s="49"/>
      <c r="P498" s="49"/>
      <c r="Q498" s="49"/>
      <c r="R498" s="49"/>
      <c r="S498" s="49"/>
    </row>
    <row r="499">
      <c r="A499" s="54"/>
      <c r="B499" s="55"/>
      <c r="C499" s="49"/>
      <c r="D499" s="54"/>
      <c r="E499" s="49"/>
      <c r="F499" s="54"/>
      <c r="G499" s="49"/>
      <c r="H499" s="49"/>
      <c r="I499" s="49"/>
      <c r="J499" s="49"/>
      <c r="K499" s="49"/>
      <c r="L499" s="49"/>
      <c r="M499" s="49"/>
      <c r="N499" s="49"/>
      <c r="O499" s="49"/>
      <c r="P499" s="49"/>
      <c r="Q499" s="49"/>
      <c r="R499" s="49"/>
      <c r="S499" s="49"/>
    </row>
    <row r="500">
      <c r="A500" s="54"/>
      <c r="B500" s="55"/>
      <c r="C500" s="49"/>
      <c r="D500" s="54"/>
      <c r="E500" s="49"/>
      <c r="F500" s="54"/>
      <c r="G500" s="49"/>
      <c r="H500" s="49"/>
      <c r="I500" s="49"/>
      <c r="J500" s="49"/>
      <c r="K500" s="49"/>
      <c r="L500" s="49"/>
      <c r="M500" s="49"/>
      <c r="N500" s="49"/>
      <c r="O500" s="49"/>
      <c r="P500" s="49"/>
      <c r="Q500" s="49"/>
      <c r="R500" s="49"/>
      <c r="S500" s="49"/>
    </row>
    <row r="501">
      <c r="A501" s="54"/>
      <c r="B501" s="55"/>
      <c r="C501" s="49"/>
      <c r="D501" s="54"/>
      <c r="E501" s="49"/>
      <c r="F501" s="54"/>
      <c r="G501" s="49"/>
      <c r="H501" s="49"/>
      <c r="I501" s="49"/>
      <c r="J501" s="49"/>
      <c r="K501" s="49"/>
      <c r="L501" s="49"/>
      <c r="M501" s="49"/>
      <c r="N501" s="49"/>
      <c r="O501" s="49"/>
      <c r="P501" s="49"/>
      <c r="Q501" s="49"/>
      <c r="R501" s="49"/>
      <c r="S501" s="49"/>
    </row>
    <row r="502">
      <c r="A502" s="54"/>
      <c r="B502" s="55"/>
      <c r="C502" s="49"/>
      <c r="D502" s="54"/>
      <c r="E502" s="49"/>
      <c r="F502" s="54"/>
      <c r="G502" s="49"/>
      <c r="H502" s="49"/>
      <c r="I502" s="49"/>
      <c r="J502" s="49"/>
      <c r="K502" s="49"/>
      <c r="L502" s="49"/>
      <c r="M502" s="49"/>
      <c r="N502" s="49"/>
      <c r="O502" s="49"/>
      <c r="P502" s="49"/>
      <c r="Q502" s="49"/>
      <c r="R502" s="49"/>
      <c r="S502" s="49"/>
    </row>
    <row r="503">
      <c r="A503" s="54"/>
      <c r="B503" s="55"/>
      <c r="C503" s="49"/>
      <c r="D503" s="54"/>
      <c r="E503" s="49"/>
      <c r="F503" s="54"/>
      <c r="G503" s="49"/>
      <c r="H503" s="49"/>
      <c r="I503" s="49"/>
      <c r="J503" s="49"/>
      <c r="K503" s="49"/>
      <c r="L503" s="49"/>
      <c r="M503" s="49"/>
      <c r="N503" s="49"/>
      <c r="O503" s="49"/>
      <c r="P503" s="49"/>
      <c r="Q503" s="49"/>
      <c r="R503" s="49"/>
      <c r="S503" s="49"/>
    </row>
    <row r="504">
      <c r="A504" s="54"/>
      <c r="B504" s="55"/>
      <c r="C504" s="49"/>
      <c r="D504" s="54"/>
      <c r="E504" s="49"/>
      <c r="F504" s="54"/>
      <c r="G504" s="49"/>
      <c r="H504" s="49"/>
      <c r="I504" s="49"/>
      <c r="J504" s="49"/>
      <c r="K504" s="49"/>
      <c r="L504" s="49"/>
      <c r="M504" s="49"/>
      <c r="N504" s="49"/>
      <c r="O504" s="49"/>
      <c r="P504" s="49"/>
      <c r="Q504" s="49"/>
      <c r="R504" s="49"/>
      <c r="S504" s="49"/>
    </row>
    <row r="505">
      <c r="A505" s="54"/>
      <c r="B505" s="55"/>
      <c r="C505" s="49"/>
      <c r="D505" s="54"/>
      <c r="E505" s="49"/>
      <c r="F505" s="54"/>
      <c r="G505" s="49"/>
      <c r="H505" s="49"/>
      <c r="I505" s="49"/>
      <c r="J505" s="49"/>
      <c r="K505" s="49"/>
      <c r="L505" s="49"/>
      <c r="M505" s="49"/>
      <c r="N505" s="49"/>
      <c r="O505" s="49"/>
      <c r="P505" s="49"/>
      <c r="Q505" s="49"/>
      <c r="R505" s="49"/>
      <c r="S505" s="49"/>
    </row>
    <row r="506">
      <c r="A506" s="54"/>
      <c r="B506" s="55"/>
      <c r="C506" s="49"/>
      <c r="D506" s="54"/>
      <c r="E506" s="49"/>
      <c r="F506" s="54"/>
      <c r="G506" s="49"/>
      <c r="H506" s="49"/>
      <c r="I506" s="49"/>
      <c r="J506" s="49"/>
      <c r="K506" s="49"/>
      <c r="L506" s="49"/>
      <c r="M506" s="49"/>
      <c r="N506" s="49"/>
      <c r="O506" s="49"/>
      <c r="P506" s="49"/>
      <c r="Q506" s="49"/>
      <c r="R506" s="49"/>
      <c r="S506" s="49"/>
    </row>
    <row r="507">
      <c r="A507" s="54"/>
      <c r="B507" s="55"/>
      <c r="C507" s="49"/>
      <c r="D507" s="54"/>
      <c r="E507" s="49"/>
      <c r="F507" s="54"/>
      <c r="G507" s="49"/>
      <c r="H507" s="49"/>
      <c r="I507" s="49"/>
      <c r="J507" s="49"/>
      <c r="K507" s="49"/>
      <c r="L507" s="49"/>
      <c r="M507" s="49"/>
      <c r="N507" s="49"/>
      <c r="O507" s="49"/>
      <c r="P507" s="49"/>
      <c r="Q507" s="49"/>
      <c r="R507" s="49"/>
      <c r="S507" s="49"/>
    </row>
    <row r="508">
      <c r="A508" s="54"/>
      <c r="B508" s="55"/>
      <c r="C508" s="49"/>
      <c r="D508" s="54"/>
      <c r="E508" s="49"/>
      <c r="F508" s="54"/>
      <c r="G508" s="49"/>
      <c r="H508" s="49"/>
      <c r="I508" s="49"/>
      <c r="J508" s="49"/>
      <c r="K508" s="49"/>
      <c r="L508" s="49"/>
      <c r="M508" s="49"/>
      <c r="N508" s="49"/>
      <c r="O508" s="49"/>
      <c r="P508" s="49"/>
      <c r="Q508" s="49"/>
      <c r="R508" s="49"/>
      <c r="S508" s="49"/>
    </row>
    <row r="509">
      <c r="A509" s="54"/>
      <c r="B509" s="55"/>
      <c r="C509" s="49"/>
      <c r="D509" s="54"/>
      <c r="E509" s="49"/>
      <c r="F509" s="54"/>
      <c r="G509" s="49"/>
      <c r="H509" s="49"/>
      <c r="I509" s="49"/>
      <c r="J509" s="49"/>
      <c r="K509" s="49"/>
      <c r="L509" s="49"/>
      <c r="M509" s="49"/>
      <c r="N509" s="49"/>
      <c r="O509" s="49"/>
      <c r="P509" s="49"/>
      <c r="Q509" s="49"/>
      <c r="R509" s="49"/>
      <c r="S509" s="49"/>
    </row>
    <row r="510">
      <c r="A510" s="54"/>
      <c r="B510" s="55"/>
      <c r="C510" s="49"/>
      <c r="D510" s="54"/>
      <c r="E510" s="49"/>
      <c r="F510" s="54"/>
      <c r="G510" s="49"/>
      <c r="H510" s="49"/>
      <c r="I510" s="49"/>
      <c r="J510" s="49"/>
      <c r="K510" s="49"/>
      <c r="L510" s="49"/>
      <c r="M510" s="49"/>
      <c r="N510" s="49"/>
      <c r="O510" s="49"/>
      <c r="P510" s="49"/>
      <c r="Q510" s="49"/>
      <c r="R510" s="49"/>
      <c r="S510" s="49"/>
    </row>
    <row r="511">
      <c r="A511" s="54"/>
      <c r="B511" s="55"/>
      <c r="C511" s="49"/>
      <c r="D511" s="54"/>
      <c r="E511" s="49"/>
      <c r="F511" s="54"/>
      <c r="G511" s="49"/>
      <c r="H511" s="49"/>
      <c r="I511" s="49"/>
      <c r="J511" s="49"/>
      <c r="K511" s="49"/>
      <c r="L511" s="49"/>
      <c r="M511" s="49"/>
      <c r="N511" s="49"/>
      <c r="O511" s="49"/>
      <c r="P511" s="49"/>
      <c r="Q511" s="49"/>
      <c r="R511" s="49"/>
      <c r="S511" s="49"/>
    </row>
    <row r="512">
      <c r="A512" s="54"/>
      <c r="B512" s="55"/>
      <c r="C512" s="49"/>
      <c r="D512" s="54"/>
      <c r="E512" s="49"/>
      <c r="F512" s="54"/>
      <c r="G512" s="49"/>
      <c r="H512" s="49"/>
      <c r="I512" s="49"/>
      <c r="J512" s="49"/>
      <c r="K512" s="49"/>
      <c r="L512" s="49"/>
      <c r="M512" s="49"/>
      <c r="N512" s="49"/>
      <c r="O512" s="49"/>
      <c r="P512" s="49"/>
      <c r="Q512" s="49"/>
      <c r="R512" s="49"/>
      <c r="S512" s="49"/>
    </row>
    <row r="513">
      <c r="A513" s="54"/>
      <c r="B513" s="55"/>
      <c r="C513" s="49"/>
      <c r="D513" s="54"/>
      <c r="E513" s="49"/>
      <c r="F513" s="54"/>
      <c r="G513" s="49"/>
      <c r="H513" s="49"/>
      <c r="I513" s="49"/>
      <c r="J513" s="49"/>
      <c r="K513" s="49"/>
      <c r="L513" s="49"/>
      <c r="M513" s="49"/>
      <c r="N513" s="49"/>
      <c r="O513" s="49"/>
      <c r="P513" s="49"/>
      <c r="Q513" s="49"/>
      <c r="R513" s="49"/>
      <c r="S513" s="49"/>
    </row>
    <row r="514">
      <c r="A514" s="54"/>
      <c r="B514" s="55"/>
      <c r="C514" s="49"/>
      <c r="D514" s="54"/>
      <c r="E514" s="49"/>
      <c r="F514" s="54"/>
      <c r="G514" s="49"/>
      <c r="H514" s="49"/>
      <c r="I514" s="49"/>
      <c r="J514" s="49"/>
      <c r="K514" s="49"/>
      <c r="L514" s="49"/>
      <c r="M514" s="49"/>
      <c r="N514" s="49"/>
      <c r="O514" s="49"/>
      <c r="P514" s="49"/>
      <c r="Q514" s="49"/>
      <c r="R514" s="49"/>
      <c r="S514" s="49"/>
    </row>
    <row r="515">
      <c r="A515" s="54"/>
      <c r="B515" s="55"/>
      <c r="C515" s="49"/>
      <c r="D515" s="54"/>
      <c r="E515" s="49"/>
      <c r="F515" s="54"/>
      <c r="G515" s="49"/>
      <c r="H515" s="49"/>
      <c r="I515" s="49"/>
      <c r="J515" s="49"/>
      <c r="K515" s="49"/>
      <c r="L515" s="49"/>
      <c r="M515" s="49"/>
      <c r="N515" s="49"/>
      <c r="O515" s="49"/>
      <c r="P515" s="49"/>
      <c r="Q515" s="49"/>
      <c r="R515" s="49"/>
      <c r="S515" s="49"/>
    </row>
    <row r="516">
      <c r="A516" s="54"/>
      <c r="B516" s="55"/>
      <c r="C516" s="49"/>
      <c r="D516" s="54"/>
      <c r="E516" s="49"/>
      <c r="F516" s="54"/>
      <c r="G516" s="49"/>
      <c r="H516" s="49"/>
      <c r="I516" s="49"/>
      <c r="J516" s="49"/>
      <c r="K516" s="49"/>
      <c r="L516" s="49"/>
      <c r="M516" s="49"/>
      <c r="N516" s="49"/>
      <c r="O516" s="49"/>
      <c r="P516" s="49"/>
      <c r="Q516" s="49"/>
      <c r="R516" s="49"/>
      <c r="S516" s="49"/>
    </row>
    <row r="517">
      <c r="A517" s="54"/>
      <c r="B517" s="55"/>
      <c r="C517" s="49"/>
      <c r="D517" s="54"/>
      <c r="E517" s="49"/>
      <c r="F517" s="54"/>
      <c r="G517" s="49"/>
      <c r="H517" s="49"/>
      <c r="I517" s="49"/>
      <c r="J517" s="49"/>
      <c r="K517" s="49"/>
      <c r="L517" s="49"/>
      <c r="M517" s="49"/>
      <c r="N517" s="49"/>
      <c r="O517" s="49"/>
      <c r="P517" s="49"/>
      <c r="Q517" s="49"/>
      <c r="R517" s="49"/>
      <c r="S517" s="49"/>
    </row>
    <row r="518">
      <c r="A518" s="54"/>
      <c r="B518" s="55"/>
      <c r="C518" s="49"/>
      <c r="D518" s="54"/>
      <c r="E518" s="49"/>
      <c r="F518" s="54"/>
      <c r="G518" s="49"/>
      <c r="H518" s="49"/>
      <c r="I518" s="49"/>
      <c r="J518" s="49"/>
      <c r="K518" s="49"/>
      <c r="L518" s="49"/>
      <c r="M518" s="49"/>
      <c r="N518" s="49"/>
      <c r="O518" s="49"/>
      <c r="P518" s="49"/>
      <c r="Q518" s="49"/>
      <c r="R518" s="49"/>
      <c r="S518" s="49"/>
    </row>
    <row r="519">
      <c r="A519" s="54"/>
      <c r="B519" s="55"/>
      <c r="C519" s="49"/>
      <c r="D519" s="54"/>
      <c r="E519" s="49"/>
      <c r="F519" s="54"/>
      <c r="G519" s="49"/>
      <c r="H519" s="49"/>
      <c r="I519" s="49"/>
      <c r="J519" s="49"/>
      <c r="K519" s="49"/>
      <c r="L519" s="49"/>
      <c r="M519" s="49"/>
      <c r="N519" s="49"/>
      <c r="O519" s="49"/>
      <c r="P519" s="49"/>
      <c r="Q519" s="49"/>
      <c r="R519" s="49"/>
      <c r="S519" s="49"/>
    </row>
    <row r="520">
      <c r="A520" s="54"/>
      <c r="B520" s="55"/>
      <c r="C520" s="49"/>
      <c r="D520" s="54"/>
      <c r="E520" s="49"/>
      <c r="F520" s="54"/>
      <c r="G520" s="49"/>
      <c r="H520" s="49"/>
      <c r="I520" s="49"/>
      <c r="J520" s="49"/>
      <c r="K520" s="49"/>
      <c r="L520" s="49"/>
      <c r="M520" s="49"/>
      <c r="N520" s="49"/>
      <c r="O520" s="49"/>
      <c r="P520" s="49"/>
      <c r="Q520" s="49"/>
      <c r="R520" s="49"/>
      <c r="S520" s="49"/>
    </row>
    <row r="521">
      <c r="A521" s="54"/>
      <c r="B521" s="55"/>
      <c r="C521" s="49"/>
      <c r="D521" s="54"/>
      <c r="E521" s="49"/>
      <c r="F521" s="54"/>
      <c r="G521" s="49"/>
      <c r="H521" s="49"/>
      <c r="I521" s="49"/>
      <c r="J521" s="49"/>
      <c r="K521" s="49"/>
      <c r="L521" s="49"/>
      <c r="M521" s="49"/>
      <c r="N521" s="49"/>
      <c r="O521" s="49"/>
      <c r="P521" s="49"/>
      <c r="Q521" s="49"/>
      <c r="R521" s="49"/>
      <c r="S521" s="49"/>
    </row>
    <row r="522">
      <c r="A522" s="54"/>
      <c r="B522" s="55"/>
      <c r="C522" s="49"/>
      <c r="D522" s="54"/>
      <c r="E522" s="49"/>
      <c r="F522" s="54"/>
      <c r="G522" s="49"/>
      <c r="H522" s="49"/>
      <c r="I522" s="49"/>
      <c r="J522" s="49"/>
      <c r="K522" s="49"/>
      <c r="L522" s="49"/>
      <c r="M522" s="49"/>
      <c r="N522" s="49"/>
      <c r="O522" s="49"/>
      <c r="P522" s="49"/>
      <c r="Q522" s="49"/>
      <c r="R522" s="49"/>
      <c r="S522" s="49"/>
    </row>
    <row r="523">
      <c r="A523" s="54"/>
      <c r="B523" s="55"/>
      <c r="C523" s="49"/>
      <c r="D523" s="54"/>
      <c r="E523" s="49"/>
      <c r="F523" s="54"/>
      <c r="G523" s="49"/>
      <c r="H523" s="49"/>
      <c r="I523" s="49"/>
      <c r="J523" s="49"/>
      <c r="K523" s="49"/>
      <c r="L523" s="49"/>
      <c r="M523" s="49"/>
      <c r="N523" s="49"/>
      <c r="O523" s="49"/>
      <c r="P523" s="49"/>
      <c r="Q523" s="49"/>
      <c r="R523" s="49"/>
      <c r="S523" s="49"/>
    </row>
    <row r="524">
      <c r="A524" s="54"/>
      <c r="B524" s="55"/>
      <c r="C524" s="49"/>
      <c r="D524" s="54"/>
      <c r="E524" s="49"/>
      <c r="F524" s="54"/>
      <c r="G524" s="49"/>
      <c r="H524" s="49"/>
      <c r="I524" s="49"/>
      <c r="J524" s="49"/>
      <c r="K524" s="49"/>
      <c r="L524" s="49"/>
      <c r="M524" s="49"/>
      <c r="N524" s="49"/>
      <c r="O524" s="49"/>
      <c r="P524" s="49"/>
      <c r="Q524" s="49"/>
      <c r="R524" s="49"/>
      <c r="S524" s="49"/>
    </row>
    <row r="525">
      <c r="A525" s="54"/>
      <c r="B525" s="55"/>
      <c r="C525" s="49"/>
      <c r="D525" s="54"/>
      <c r="E525" s="49"/>
      <c r="F525" s="54"/>
      <c r="G525" s="49"/>
      <c r="H525" s="49"/>
      <c r="I525" s="49"/>
      <c r="J525" s="49"/>
      <c r="K525" s="49"/>
      <c r="L525" s="49"/>
      <c r="M525" s="49"/>
      <c r="N525" s="49"/>
      <c r="O525" s="49"/>
      <c r="P525" s="49"/>
      <c r="Q525" s="49"/>
      <c r="R525" s="49"/>
      <c r="S525" s="49"/>
    </row>
    <row r="526">
      <c r="A526" s="54"/>
      <c r="B526" s="55"/>
      <c r="C526" s="49"/>
      <c r="D526" s="54"/>
      <c r="E526" s="49"/>
      <c r="F526" s="54"/>
      <c r="G526" s="49"/>
      <c r="H526" s="49"/>
      <c r="I526" s="49"/>
      <c r="J526" s="49"/>
      <c r="K526" s="49"/>
      <c r="L526" s="49"/>
      <c r="M526" s="49"/>
      <c r="N526" s="49"/>
      <c r="O526" s="49"/>
      <c r="P526" s="49"/>
      <c r="Q526" s="49"/>
      <c r="R526" s="49"/>
      <c r="S526" s="49"/>
    </row>
    <row r="527">
      <c r="A527" s="54"/>
      <c r="B527" s="55"/>
      <c r="C527" s="49"/>
      <c r="D527" s="54"/>
      <c r="E527" s="49"/>
      <c r="F527" s="54"/>
      <c r="G527" s="49"/>
      <c r="H527" s="49"/>
      <c r="I527" s="49"/>
      <c r="J527" s="49"/>
      <c r="K527" s="49"/>
      <c r="L527" s="49"/>
      <c r="M527" s="49"/>
      <c r="N527" s="49"/>
      <c r="O527" s="49"/>
      <c r="P527" s="49"/>
      <c r="Q527" s="49"/>
      <c r="R527" s="49"/>
      <c r="S527" s="49"/>
    </row>
    <row r="528">
      <c r="A528" s="54"/>
      <c r="B528" s="55"/>
      <c r="C528" s="49"/>
      <c r="D528" s="54"/>
      <c r="E528" s="49"/>
      <c r="F528" s="54"/>
      <c r="G528" s="49"/>
      <c r="H528" s="49"/>
      <c r="I528" s="49"/>
      <c r="J528" s="49"/>
      <c r="K528" s="49"/>
      <c r="L528" s="49"/>
      <c r="M528" s="49"/>
      <c r="N528" s="49"/>
      <c r="O528" s="49"/>
      <c r="P528" s="49"/>
      <c r="Q528" s="49"/>
      <c r="R528" s="49"/>
      <c r="S528" s="49"/>
    </row>
    <row r="529">
      <c r="A529" s="54"/>
      <c r="B529" s="55"/>
      <c r="C529" s="49"/>
      <c r="D529" s="54"/>
      <c r="E529" s="49"/>
      <c r="F529" s="54"/>
      <c r="G529" s="49"/>
      <c r="H529" s="49"/>
      <c r="I529" s="49"/>
      <c r="J529" s="49"/>
      <c r="K529" s="49"/>
      <c r="L529" s="49"/>
      <c r="M529" s="49"/>
      <c r="N529" s="49"/>
      <c r="O529" s="49"/>
      <c r="P529" s="49"/>
      <c r="Q529" s="49"/>
      <c r="R529" s="49"/>
      <c r="S529" s="49"/>
    </row>
    <row r="530">
      <c r="A530" s="54"/>
      <c r="B530" s="55"/>
      <c r="C530" s="49"/>
      <c r="D530" s="54"/>
      <c r="E530" s="49"/>
      <c r="F530" s="54"/>
      <c r="G530" s="49"/>
      <c r="H530" s="49"/>
      <c r="I530" s="49"/>
      <c r="J530" s="49"/>
      <c r="K530" s="49"/>
      <c r="L530" s="49"/>
      <c r="M530" s="49"/>
      <c r="N530" s="49"/>
      <c r="O530" s="49"/>
      <c r="P530" s="49"/>
      <c r="Q530" s="49"/>
      <c r="R530" s="49"/>
      <c r="S530" s="49"/>
    </row>
    <row r="531">
      <c r="A531" s="54"/>
      <c r="B531" s="55"/>
      <c r="C531" s="49"/>
      <c r="D531" s="54"/>
      <c r="E531" s="49"/>
      <c r="F531" s="54"/>
      <c r="G531" s="49"/>
      <c r="H531" s="49"/>
      <c r="I531" s="49"/>
      <c r="J531" s="49"/>
      <c r="K531" s="49"/>
      <c r="L531" s="49"/>
      <c r="M531" s="49"/>
      <c r="N531" s="49"/>
      <c r="O531" s="49"/>
      <c r="P531" s="49"/>
      <c r="Q531" s="49"/>
      <c r="R531" s="49"/>
      <c r="S531" s="49"/>
    </row>
    <row r="532">
      <c r="A532" s="54"/>
      <c r="B532" s="55"/>
      <c r="C532" s="49"/>
      <c r="D532" s="54"/>
      <c r="E532" s="49"/>
      <c r="F532" s="54"/>
      <c r="G532" s="49"/>
      <c r="H532" s="49"/>
      <c r="I532" s="49"/>
      <c r="J532" s="49"/>
      <c r="K532" s="49"/>
      <c r="L532" s="49"/>
      <c r="M532" s="49"/>
      <c r="N532" s="49"/>
      <c r="O532" s="49"/>
      <c r="P532" s="49"/>
      <c r="Q532" s="49"/>
      <c r="R532" s="49"/>
      <c r="S532" s="49"/>
    </row>
    <row r="533">
      <c r="A533" s="54"/>
      <c r="B533" s="55"/>
      <c r="C533" s="49"/>
      <c r="D533" s="54"/>
      <c r="E533" s="49"/>
      <c r="F533" s="54"/>
      <c r="G533" s="49"/>
      <c r="H533" s="49"/>
      <c r="I533" s="49"/>
      <c r="J533" s="49"/>
      <c r="K533" s="49"/>
      <c r="L533" s="49"/>
      <c r="M533" s="49"/>
      <c r="N533" s="49"/>
      <c r="O533" s="49"/>
      <c r="P533" s="49"/>
      <c r="Q533" s="49"/>
      <c r="R533" s="49"/>
      <c r="S533" s="49"/>
    </row>
    <row r="534">
      <c r="A534" s="54"/>
      <c r="B534" s="55"/>
      <c r="C534" s="49"/>
      <c r="D534" s="54"/>
      <c r="E534" s="49"/>
      <c r="F534" s="54"/>
      <c r="G534" s="49"/>
      <c r="H534" s="49"/>
      <c r="I534" s="49"/>
      <c r="J534" s="49"/>
      <c r="K534" s="49"/>
      <c r="L534" s="49"/>
      <c r="M534" s="49"/>
      <c r="N534" s="49"/>
      <c r="O534" s="49"/>
      <c r="P534" s="49"/>
      <c r="Q534" s="49"/>
      <c r="R534" s="49"/>
      <c r="S534" s="49"/>
    </row>
    <row r="535">
      <c r="A535" s="54"/>
      <c r="B535" s="55"/>
      <c r="C535" s="49"/>
      <c r="D535" s="54"/>
      <c r="E535" s="49"/>
      <c r="F535" s="54"/>
      <c r="G535" s="49"/>
      <c r="H535" s="49"/>
      <c r="I535" s="49"/>
      <c r="J535" s="49"/>
      <c r="K535" s="49"/>
      <c r="L535" s="49"/>
      <c r="M535" s="49"/>
      <c r="N535" s="49"/>
      <c r="O535" s="49"/>
      <c r="P535" s="49"/>
      <c r="Q535" s="49"/>
      <c r="R535" s="49"/>
      <c r="S535" s="49"/>
    </row>
    <row r="536">
      <c r="A536" s="54"/>
      <c r="B536" s="55"/>
      <c r="C536" s="49"/>
      <c r="D536" s="54"/>
      <c r="E536" s="49"/>
      <c r="F536" s="54"/>
      <c r="G536" s="49"/>
      <c r="H536" s="49"/>
      <c r="I536" s="49"/>
      <c r="J536" s="49"/>
      <c r="K536" s="49"/>
      <c r="L536" s="49"/>
      <c r="M536" s="49"/>
      <c r="N536" s="49"/>
      <c r="O536" s="49"/>
      <c r="P536" s="49"/>
      <c r="Q536" s="49"/>
      <c r="R536" s="49"/>
      <c r="S536" s="49"/>
    </row>
    <row r="537">
      <c r="A537" s="54"/>
      <c r="B537" s="55"/>
      <c r="C537" s="49"/>
      <c r="D537" s="54"/>
      <c r="E537" s="49"/>
      <c r="F537" s="54"/>
      <c r="G537" s="49"/>
      <c r="H537" s="49"/>
      <c r="I537" s="49"/>
      <c r="J537" s="49"/>
      <c r="K537" s="49"/>
      <c r="L537" s="49"/>
      <c r="M537" s="49"/>
      <c r="N537" s="49"/>
      <c r="O537" s="49"/>
      <c r="P537" s="49"/>
      <c r="Q537" s="49"/>
      <c r="R537" s="49"/>
      <c r="S537" s="49"/>
    </row>
    <row r="538">
      <c r="A538" s="54"/>
      <c r="B538" s="55"/>
      <c r="C538" s="49"/>
      <c r="D538" s="54"/>
      <c r="E538" s="49"/>
      <c r="F538" s="54"/>
      <c r="G538" s="49"/>
      <c r="H538" s="49"/>
      <c r="I538" s="49"/>
      <c r="J538" s="49"/>
      <c r="K538" s="49"/>
      <c r="L538" s="49"/>
      <c r="M538" s="49"/>
      <c r="N538" s="49"/>
      <c r="O538" s="49"/>
      <c r="P538" s="49"/>
      <c r="Q538" s="49"/>
      <c r="R538" s="49"/>
      <c r="S538" s="49"/>
    </row>
    <row r="539">
      <c r="A539" s="54"/>
      <c r="B539" s="55"/>
      <c r="C539" s="49"/>
      <c r="D539" s="54"/>
      <c r="E539" s="49"/>
      <c r="F539" s="54"/>
      <c r="G539" s="49"/>
      <c r="H539" s="49"/>
      <c r="I539" s="49"/>
      <c r="J539" s="49"/>
      <c r="K539" s="49"/>
      <c r="L539" s="49"/>
      <c r="M539" s="49"/>
      <c r="N539" s="49"/>
      <c r="O539" s="49"/>
      <c r="P539" s="49"/>
      <c r="Q539" s="49"/>
      <c r="R539" s="49"/>
      <c r="S539" s="49"/>
    </row>
    <row r="540">
      <c r="A540" s="54"/>
      <c r="B540" s="55"/>
      <c r="C540" s="49"/>
      <c r="D540" s="54"/>
      <c r="E540" s="49"/>
      <c r="F540" s="54"/>
      <c r="G540" s="49"/>
      <c r="H540" s="49"/>
      <c r="I540" s="49"/>
      <c r="J540" s="49"/>
      <c r="K540" s="49"/>
      <c r="L540" s="49"/>
      <c r="M540" s="49"/>
      <c r="N540" s="49"/>
      <c r="O540" s="49"/>
      <c r="P540" s="49"/>
      <c r="Q540" s="49"/>
      <c r="R540" s="49"/>
      <c r="S540" s="49"/>
    </row>
    <row r="541">
      <c r="A541" s="54"/>
      <c r="B541" s="55"/>
      <c r="C541" s="49"/>
      <c r="D541" s="54"/>
      <c r="E541" s="49"/>
      <c r="F541" s="54"/>
      <c r="G541" s="49"/>
      <c r="H541" s="49"/>
      <c r="I541" s="49"/>
      <c r="J541" s="49"/>
      <c r="K541" s="49"/>
      <c r="L541" s="49"/>
      <c r="M541" s="49"/>
      <c r="N541" s="49"/>
      <c r="O541" s="49"/>
      <c r="P541" s="49"/>
      <c r="Q541" s="49"/>
      <c r="R541" s="49"/>
      <c r="S541" s="49"/>
    </row>
    <row r="542">
      <c r="A542" s="54"/>
      <c r="B542" s="55"/>
      <c r="C542" s="49"/>
      <c r="D542" s="54"/>
      <c r="E542" s="49"/>
      <c r="F542" s="54"/>
      <c r="G542" s="49"/>
      <c r="H542" s="49"/>
      <c r="I542" s="49"/>
      <c r="J542" s="49"/>
      <c r="K542" s="49"/>
      <c r="L542" s="49"/>
      <c r="M542" s="49"/>
      <c r="N542" s="49"/>
      <c r="O542" s="49"/>
      <c r="P542" s="49"/>
      <c r="Q542" s="49"/>
      <c r="R542" s="49"/>
      <c r="S542" s="49"/>
    </row>
    <row r="543">
      <c r="A543" s="54"/>
      <c r="B543" s="55"/>
      <c r="C543" s="49"/>
      <c r="D543" s="54"/>
      <c r="E543" s="49"/>
      <c r="F543" s="54"/>
      <c r="G543" s="49"/>
      <c r="H543" s="49"/>
      <c r="I543" s="49"/>
      <c r="J543" s="49"/>
      <c r="K543" s="49"/>
      <c r="L543" s="49"/>
      <c r="M543" s="49"/>
      <c r="N543" s="49"/>
      <c r="O543" s="49"/>
      <c r="P543" s="49"/>
      <c r="Q543" s="49"/>
      <c r="R543" s="49"/>
      <c r="S543" s="49"/>
    </row>
    <row r="544">
      <c r="A544" s="54"/>
      <c r="B544" s="55"/>
      <c r="C544" s="49"/>
      <c r="D544" s="54"/>
      <c r="E544" s="49"/>
      <c r="F544" s="54"/>
      <c r="G544" s="49"/>
      <c r="H544" s="49"/>
      <c r="I544" s="49"/>
      <c r="J544" s="49"/>
      <c r="K544" s="49"/>
      <c r="L544" s="49"/>
      <c r="M544" s="49"/>
      <c r="N544" s="49"/>
      <c r="O544" s="49"/>
      <c r="P544" s="49"/>
      <c r="Q544" s="49"/>
      <c r="R544" s="49"/>
      <c r="S544" s="49"/>
    </row>
    <row r="545">
      <c r="A545" s="54"/>
      <c r="B545" s="55"/>
      <c r="C545" s="49"/>
      <c r="D545" s="54"/>
      <c r="E545" s="49"/>
      <c r="F545" s="54"/>
      <c r="G545" s="49"/>
      <c r="H545" s="49"/>
      <c r="I545" s="49"/>
      <c r="J545" s="49"/>
      <c r="K545" s="49"/>
      <c r="L545" s="49"/>
      <c r="M545" s="49"/>
      <c r="N545" s="49"/>
      <c r="O545" s="49"/>
      <c r="P545" s="49"/>
      <c r="Q545" s="49"/>
      <c r="R545" s="49"/>
      <c r="S545" s="49"/>
    </row>
    <row r="546">
      <c r="A546" s="54"/>
      <c r="B546" s="55"/>
      <c r="C546" s="49"/>
      <c r="D546" s="54"/>
      <c r="E546" s="49"/>
      <c r="F546" s="54"/>
      <c r="G546" s="49"/>
      <c r="H546" s="49"/>
      <c r="I546" s="49"/>
      <c r="J546" s="49"/>
      <c r="K546" s="49"/>
      <c r="L546" s="49"/>
      <c r="M546" s="49"/>
      <c r="N546" s="49"/>
      <c r="O546" s="49"/>
      <c r="P546" s="49"/>
      <c r="Q546" s="49"/>
      <c r="R546" s="49"/>
      <c r="S546" s="49"/>
    </row>
    <row r="547">
      <c r="A547" s="54"/>
      <c r="B547" s="55"/>
      <c r="C547" s="49"/>
      <c r="D547" s="54"/>
      <c r="E547" s="49"/>
      <c r="F547" s="54"/>
      <c r="G547" s="49"/>
      <c r="H547" s="49"/>
      <c r="I547" s="49"/>
      <c r="J547" s="49"/>
      <c r="K547" s="49"/>
      <c r="L547" s="49"/>
      <c r="M547" s="49"/>
      <c r="N547" s="49"/>
      <c r="O547" s="49"/>
      <c r="P547" s="49"/>
      <c r="Q547" s="49"/>
      <c r="R547" s="49"/>
      <c r="S547" s="49"/>
    </row>
    <row r="548">
      <c r="A548" s="54"/>
      <c r="B548" s="55"/>
      <c r="C548" s="49"/>
      <c r="D548" s="54"/>
      <c r="E548" s="49"/>
      <c r="F548" s="54"/>
      <c r="G548" s="49"/>
      <c r="H548" s="49"/>
      <c r="I548" s="49"/>
      <c r="J548" s="49"/>
      <c r="K548" s="49"/>
      <c r="L548" s="49"/>
      <c r="M548" s="49"/>
      <c r="N548" s="49"/>
      <c r="O548" s="49"/>
      <c r="P548" s="49"/>
      <c r="Q548" s="49"/>
      <c r="R548" s="49"/>
      <c r="S548" s="49"/>
    </row>
    <row r="549">
      <c r="A549" s="54"/>
      <c r="B549" s="55"/>
      <c r="C549" s="49"/>
      <c r="D549" s="54"/>
      <c r="E549" s="49"/>
      <c r="F549" s="54"/>
      <c r="G549" s="49"/>
      <c r="H549" s="49"/>
      <c r="I549" s="49"/>
      <c r="J549" s="49"/>
      <c r="K549" s="49"/>
      <c r="L549" s="49"/>
      <c r="M549" s="49"/>
      <c r="N549" s="49"/>
      <c r="O549" s="49"/>
      <c r="P549" s="49"/>
      <c r="Q549" s="49"/>
      <c r="R549" s="49"/>
      <c r="S549" s="49"/>
    </row>
    <row r="550">
      <c r="A550" s="54"/>
      <c r="B550" s="55"/>
      <c r="C550" s="49"/>
      <c r="D550" s="54"/>
      <c r="E550" s="49"/>
      <c r="F550" s="54"/>
      <c r="G550" s="49"/>
      <c r="H550" s="49"/>
      <c r="I550" s="49"/>
      <c r="J550" s="49"/>
      <c r="K550" s="49"/>
      <c r="L550" s="49"/>
      <c r="M550" s="49"/>
      <c r="N550" s="49"/>
      <c r="O550" s="49"/>
      <c r="P550" s="49"/>
      <c r="Q550" s="49"/>
      <c r="R550" s="49"/>
      <c r="S550" s="49"/>
    </row>
    <row r="551">
      <c r="A551" s="54"/>
      <c r="B551" s="55"/>
      <c r="C551" s="49"/>
      <c r="D551" s="54"/>
      <c r="E551" s="49"/>
      <c r="F551" s="54"/>
      <c r="G551" s="49"/>
      <c r="H551" s="49"/>
      <c r="I551" s="49"/>
      <c r="J551" s="49"/>
      <c r="K551" s="49"/>
      <c r="L551" s="49"/>
      <c r="M551" s="49"/>
      <c r="N551" s="49"/>
      <c r="O551" s="49"/>
      <c r="P551" s="49"/>
      <c r="Q551" s="49"/>
      <c r="R551" s="49"/>
      <c r="S551" s="49"/>
    </row>
    <row r="552">
      <c r="A552" s="54"/>
      <c r="B552" s="55"/>
      <c r="C552" s="49"/>
      <c r="D552" s="54"/>
      <c r="E552" s="49"/>
      <c r="F552" s="54"/>
      <c r="G552" s="49"/>
      <c r="H552" s="49"/>
      <c r="I552" s="49"/>
      <c r="J552" s="49"/>
      <c r="K552" s="49"/>
      <c r="L552" s="49"/>
      <c r="M552" s="49"/>
      <c r="N552" s="49"/>
      <c r="O552" s="49"/>
      <c r="P552" s="49"/>
      <c r="Q552" s="49"/>
      <c r="R552" s="49"/>
      <c r="S552" s="49"/>
    </row>
    <row r="553">
      <c r="A553" s="54"/>
      <c r="B553" s="55"/>
      <c r="C553" s="49"/>
      <c r="D553" s="54"/>
      <c r="E553" s="49"/>
      <c r="F553" s="54"/>
      <c r="G553" s="49"/>
      <c r="H553" s="49"/>
      <c r="I553" s="49"/>
      <c r="J553" s="49"/>
      <c r="K553" s="49"/>
      <c r="L553" s="49"/>
      <c r="M553" s="49"/>
      <c r="N553" s="49"/>
      <c r="O553" s="49"/>
      <c r="P553" s="49"/>
      <c r="Q553" s="49"/>
      <c r="R553" s="49"/>
      <c r="S553" s="49"/>
    </row>
    <row r="554">
      <c r="A554" s="54"/>
      <c r="B554" s="55"/>
      <c r="C554" s="49"/>
      <c r="D554" s="54"/>
      <c r="E554" s="49"/>
      <c r="F554" s="54"/>
      <c r="G554" s="49"/>
      <c r="H554" s="49"/>
      <c r="I554" s="49"/>
      <c r="J554" s="49"/>
      <c r="K554" s="49"/>
      <c r="L554" s="49"/>
      <c r="M554" s="49"/>
      <c r="N554" s="49"/>
      <c r="O554" s="49"/>
      <c r="P554" s="49"/>
      <c r="Q554" s="49"/>
      <c r="R554" s="49"/>
      <c r="S554" s="49"/>
    </row>
    <row r="555">
      <c r="A555" s="54"/>
      <c r="B555" s="55"/>
      <c r="C555" s="49"/>
      <c r="D555" s="54"/>
      <c r="E555" s="49"/>
      <c r="F555" s="54"/>
      <c r="G555" s="49"/>
      <c r="H555" s="49"/>
      <c r="I555" s="49"/>
      <c r="J555" s="49"/>
      <c r="K555" s="49"/>
      <c r="L555" s="49"/>
      <c r="M555" s="49"/>
      <c r="N555" s="49"/>
      <c r="O555" s="49"/>
      <c r="P555" s="49"/>
      <c r="Q555" s="49"/>
      <c r="R555" s="49"/>
      <c r="S555" s="49"/>
    </row>
    <row r="556">
      <c r="A556" s="54"/>
      <c r="B556" s="55"/>
      <c r="C556" s="49"/>
      <c r="D556" s="54"/>
      <c r="E556" s="49"/>
      <c r="F556" s="54"/>
      <c r="G556" s="49"/>
      <c r="H556" s="49"/>
      <c r="I556" s="49"/>
      <c r="J556" s="49"/>
      <c r="K556" s="49"/>
      <c r="L556" s="49"/>
      <c r="M556" s="49"/>
      <c r="N556" s="49"/>
      <c r="O556" s="49"/>
      <c r="P556" s="49"/>
      <c r="Q556" s="49"/>
      <c r="R556" s="49"/>
      <c r="S556" s="49"/>
    </row>
    <row r="557">
      <c r="A557" s="54"/>
      <c r="B557" s="55"/>
      <c r="C557" s="49"/>
      <c r="D557" s="54"/>
      <c r="E557" s="49"/>
      <c r="F557" s="54"/>
      <c r="G557" s="49"/>
      <c r="H557" s="49"/>
      <c r="I557" s="49"/>
      <c r="J557" s="49"/>
      <c r="K557" s="49"/>
      <c r="L557" s="49"/>
      <c r="M557" s="49"/>
      <c r="N557" s="49"/>
      <c r="O557" s="49"/>
      <c r="P557" s="49"/>
      <c r="Q557" s="49"/>
      <c r="R557" s="49"/>
      <c r="S557" s="49"/>
    </row>
    <row r="558">
      <c r="A558" s="54"/>
      <c r="B558" s="55"/>
      <c r="C558" s="49"/>
      <c r="D558" s="54"/>
      <c r="E558" s="49"/>
      <c r="F558" s="54"/>
      <c r="G558" s="49"/>
      <c r="H558" s="49"/>
      <c r="I558" s="49"/>
      <c r="J558" s="49"/>
      <c r="K558" s="49"/>
      <c r="L558" s="49"/>
      <c r="M558" s="49"/>
      <c r="N558" s="49"/>
      <c r="O558" s="49"/>
      <c r="P558" s="49"/>
      <c r="Q558" s="49"/>
      <c r="R558" s="49"/>
      <c r="S558" s="49"/>
    </row>
    <row r="559">
      <c r="A559" s="54"/>
      <c r="B559" s="55"/>
      <c r="C559" s="49"/>
      <c r="D559" s="54"/>
      <c r="E559" s="49"/>
      <c r="F559" s="54"/>
      <c r="G559" s="49"/>
      <c r="H559" s="49"/>
      <c r="I559" s="49"/>
      <c r="J559" s="49"/>
      <c r="K559" s="49"/>
      <c r="L559" s="49"/>
      <c r="M559" s="49"/>
      <c r="N559" s="49"/>
      <c r="O559" s="49"/>
      <c r="P559" s="49"/>
      <c r="Q559" s="49"/>
      <c r="R559" s="49"/>
      <c r="S559" s="49"/>
    </row>
    <row r="560">
      <c r="A560" s="54"/>
      <c r="B560" s="55"/>
      <c r="C560" s="49"/>
      <c r="D560" s="54"/>
      <c r="E560" s="49"/>
      <c r="F560" s="54"/>
      <c r="G560" s="49"/>
      <c r="H560" s="49"/>
      <c r="I560" s="49"/>
      <c r="J560" s="49"/>
      <c r="K560" s="49"/>
      <c r="L560" s="49"/>
      <c r="M560" s="49"/>
      <c r="N560" s="49"/>
      <c r="O560" s="49"/>
      <c r="P560" s="49"/>
      <c r="Q560" s="49"/>
      <c r="R560" s="49"/>
      <c r="S560" s="49"/>
    </row>
    <row r="561">
      <c r="A561" s="54"/>
      <c r="B561" s="55"/>
      <c r="C561" s="49"/>
      <c r="D561" s="54"/>
      <c r="E561" s="49"/>
      <c r="F561" s="54"/>
      <c r="G561" s="49"/>
      <c r="H561" s="49"/>
      <c r="I561" s="49"/>
      <c r="J561" s="49"/>
      <c r="K561" s="49"/>
      <c r="L561" s="49"/>
      <c r="M561" s="49"/>
      <c r="N561" s="49"/>
      <c r="O561" s="49"/>
      <c r="P561" s="49"/>
      <c r="Q561" s="49"/>
      <c r="R561" s="49"/>
      <c r="S561" s="49"/>
    </row>
    <row r="562">
      <c r="A562" s="54"/>
      <c r="B562" s="55"/>
      <c r="C562" s="49"/>
      <c r="D562" s="54"/>
      <c r="E562" s="49"/>
      <c r="F562" s="54"/>
      <c r="G562" s="49"/>
      <c r="H562" s="49"/>
      <c r="I562" s="49"/>
      <c r="J562" s="49"/>
      <c r="K562" s="49"/>
      <c r="L562" s="49"/>
      <c r="M562" s="49"/>
      <c r="N562" s="49"/>
      <c r="O562" s="49"/>
      <c r="P562" s="49"/>
      <c r="Q562" s="49"/>
      <c r="R562" s="49"/>
      <c r="S562" s="49"/>
    </row>
    <row r="563">
      <c r="A563" s="54"/>
      <c r="B563" s="55"/>
      <c r="C563" s="49"/>
      <c r="D563" s="54"/>
      <c r="E563" s="49"/>
      <c r="F563" s="54"/>
      <c r="G563" s="49"/>
      <c r="H563" s="49"/>
      <c r="I563" s="49"/>
      <c r="J563" s="49"/>
      <c r="K563" s="49"/>
      <c r="L563" s="49"/>
      <c r="M563" s="49"/>
      <c r="N563" s="49"/>
      <c r="O563" s="49"/>
      <c r="P563" s="49"/>
      <c r="Q563" s="49"/>
      <c r="R563" s="49"/>
      <c r="S563" s="49"/>
    </row>
    <row r="564">
      <c r="A564" s="54"/>
      <c r="B564" s="55"/>
      <c r="C564" s="49"/>
      <c r="D564" s="54"/>
      <c r="E564" s="49"/>
      <c r="F564" s="54"/>
      <c r="G564" s="49"/>
      <c r="H564" s="49"/>
      <c r="I564" s="49"/>
      <c r="J564" s="49"/>
      <c r="K564" s="49"/>
      <c r="L564" s="49"/>
      <c r="M564" s="49"/>
      <c r="N564" s="49"/>
      <c r="O564" s="49"/>
      <c r="P564" s="49"/>
      <c r="Q564" s="49"/>
      <c r="R564" s="49"/>
      <c r="S564" s="49"/>
    </row>
    <row r="565">
      <c r="A565" s="54"/>
      <c r="B565" s="55"/>
      <c r="C565" s="49"/>
      <c r="D565" s="54"/>
      <c r="E565" s="49"/>
      <c r="F565" s="54"/>
      <c r="G565" s="49"/>
      <c r="H565" s="49"/>
      <c r="I565" s="49"/>
      <c r="J565" s="49"/>
      <c r="K565" s="49"/>
      <c r="L565" s="49"/>
      <c r="M565" s="49"/>
      <c r="N565" s="49"/>
      <c r="O565" s="49"/>
      <c r="P565" s="49"/>
      <c r="Q565" s="49"/>
      <c r="R565" s="49"/>
      <c r="S565" s="49"/>
    </row>
    <row r="566">
      <c r="A566" s="54"/>
      <c r="B566" s="55"/>
      <c r="C566" s="49"/>
      <c r="D566" s="54"/>
      <c r="E566" s="49"/>
      <c r="F566" s="54"/>
      <c r="G566" s="49"/>
      <c r="H566" s="49"/>
      <c r="I566" s="49"/>
      <c r="J566" s="49"/>
      <c r="K566" s="49"/>
      <c r="L566" s="49"/>
      <c r="M566" s="49"/>
      <c r="N566" s="49"/>
      <c r="O566" s="49"/>
      <c r="P566" s="49"/>
      <c r="Q566" s="49"/>
      <c r="R566" s="49"/>
      <c r="S566" s="49"/>
    </row>
    <row r="567">
      <c r="A567" s="54"/>
      <c r="B567" s="55"/>
      <c r="C567" s="49"/>
      <c r="D567" s="54"/>
      <c r="E567" s="49"/>
      <c r="F567" s="54"/>
      <c r="G567" s="49"/>
      <c r="H567" s="49"/>
      <c r="I567" s="49"/>
      <c r="J567" s="49"/>
      <c r="K567" s="49"/>
      <c r="L567" s="49"/>
      <c r="M567" s="49"/>
      <c r="N567" s="49"/>
      <c r="O567" s="49"/>
      <c r="P567" s="49"/>
      <c r="Q567" s="49"/>
      <c r="R567" s="49"/>
      <c r="S567" s="49"/>
    </row>
    <row r="568">
      <c r="A568" s="54"/>
      <c r="B568" s="55"/>
      <c r="C568" s="49"/>
      <c r="D568" s="54"/>
      <c r="E568" s="49"/>
      <c r="F568" s="54"/>
      <c r="G568" s="49"/>
      <c r="H568" s="49"/>
      <c r="I568" s="49"/>
      <c r="J568" s="49"/>
      <c r="K568" s="49"/>
      <c r="L568" s="49"/>
      <c r="M568" s="49"/>
      <c r="N568" s="49"/>
      <c r="O568" s="49"/>
      <c r="P568" s="49"/>
      <c r="Q568" s="49"/>
      <c r="R568" s="49"/>
      <c r="S568" s="49"/>
    </row>
    <row r="569">
      <c r="A569" s="54"/>
      <c r="B569" s="55"/>
      <c r="C569" s="49"/>
      <c r="D569" s="54"/>
      <c r="E569" s="49"/>
      <c r="F569" s="54"/>
      <c r="G569" s="49"/>
      <c r="H569" s="49"/>
      <c r="I569" s="49"/>
      <c r="J569" s="49"/>
      <c r="K569" s="49"/>
      <c r="L569" s="49"/>
      <c r="M569" s="49"/>
      <c r="N569" s="49"/>
      <c r="O569" s="49"/>
      <c r="P569" s="49"/>
      <c r="Q569" s="49"/>
      <c r="R569" s="49"/>
      <c r="S569" s="49"/>
    </row>
    <row r="570">
      <c r="A570" s="54"/>
      <c r="B570" s="55"/>
      <c r="C570" s="49"/>
      <c r="D570" s="54"/>
      <c r="E570" s="49"/>
      <c r="F570" s="54"/>
      <c r="G570" s="49"/>
      <c r="H570" s="49"/>
      <c r="I570" s="49"/>
      <c r="J570" s="49"/>
      <c r="K570" s="49"/>
      <c r="L570" s="49"/>
      <c r="M570" s="49"/>
      <c r="N570" s="49"/>
      <c r="O570" s="49"/>
      <c r="P570" s="49"/>
      <c r="Q570" s="49"/>
      <c r="R570" s="49"/>
      <c r="S570" s="49"/>
    </row>
    <row r="571">
      <c r="A571" s="54"/>
      <c r="B571" s="55"/>
      <c r="C571" s="49"/>
      <c r="D571" s="54"/>
      <c r="E571" s="49"/>
      <c r="F571" s="54"/>
      <c r="G571" s="49"/>
      <c r="H571" s="49"/>
      <c r="I571" s="49"/>
      <c r="J571" s="49"/>
      <c r="K571" s="49"/>
      <c r="L571" s="49"/>
      <c r="M571" s="49"/>
      <c r="N571" s="49"/>
      <c r="O571" s="49"/>
      <c r="P571" s="49"/>
      <c r="Q571" s="49"/>
      <c r="R571" s="49"/>
      <c r="S571" s="49"/>
    </row>
    <row r="572">
      <c r="A572" s="54"/>
      <c r="B572" s="55"/>
      <c r="C572" s="49"/>
      <c r="D572" s="54"/>
      <c r="E572" s="49"/>
      <c r="F572" s="54"/>
      <c r="G572" s="49"/>
      <c r="H572" s="49"/>
      <c r="I572" s="49"/>
      <c r="J572" s="49"/>
      <c r="K572" s="49"/>
      <c r="L572" s="49"/>
      <c r="M572" s="49"/>
      <c r="N572" s="49"/>
      <c r="O572" s="49"/>
      <c r="P572" s="49"/>
      <c r="Q572" s="49"/>
      <c r="R572" s="49"/>
      <c r="S572" s="49"/>
    </row>
    <row r="573">
      <c r="A573" s="54"/>
      <c r="B573" s="55"/>
      <c r="C573" s="49"/>
      <c r="D573" s="54"/>
      <c r="E573" s="49"/>
      <c r="F573" s="54"/>
      <c r="G573" s="49"/>
      <c r="H573" s="49"/>
      <c r="I573" s="49"/>
      <c r="J573" s="49"/>
      <c r="K573" s="49"/>
      <c r="L573" s="49"/>
      <c r="M573" s="49"/>
      <c r="N573" s="49"/>
      <c r="O573" s="49"/>
      <c r="P573" s="49"/>
      <c r="Q573" s="49"/>
      <c r="R573" s="49"/>
      <c r="S573" s="49"/>
    </row>
    <row r="574">
      <c r="A574" s="54"/>
      <c r="B574" s="55"/>
      <c r="C574" s="49"/>
      <c r="D574" s="54"/>
      <c r="E574" s="49"/>
      <c r="F574" s="54"/>
      <c r="G574" s="49"/>
      <c r="H574" s="49"/>
      <c r="I574" s="49"/>
      <c r="J574" s="49"/>
      <c r="K574" s="49"/>
      <c r="L574" s="49"/>
      <c r="M574" s="49"/>
      <c r="N574" s="49"/>
      <c r="O574" s="49"/>
      <c r="P574" s="49"/>
      <c r="Q574" s="49"/>
      <c r="R574" s="49"/>
      <c r="S574" s="49"/>
    </row>
    <row r="575">
      <c r="A575" s="54"/>
      <c r="B575" s="55"/>
      <c r="C575" s="49"/>
      <c r="D575" s="54"/>
      <c r="E575" s="49"/>
      <c r="F575" s="54"/>
      <c r="G575" s="49"/>
      <c r="H575" s="49"/>
      <c r="I575" s="49"/>
      <c r="J575" s="49"/>
      <c r="K575" s="49"/>
      <c r="L575" s="49"/>
      <c r="M575" s="49"/>
      <c r="N575" s="49"/>
      <c r="O575" s="49"/>
      <c r="P575" s="49"/>
      <c r="Q575" s="49"/>
      <c r="R575" s="49"/>
      <c r="S575" s="49"/>
    </row>
    <row r="576">
      <c r="A576" s="54"/>
      <c r="B576" s="55"/>
      <c r="C576" s="49"/>
      <c r="D576" s="54"/>
      <c r="E576" s="49"/>
      <c r="F576" s="54"/>
      <c r="G576" s="49"/>
      <c r="H576" s="49"/>
      <c r="I576" s="49"/>
      <c r="J576" s="49"/>
      <c r="K576" s="49"/>
      <c r="L576" s="49"/>
      <c r="M576" s="49"/>
      <c r="N576" s="49"/>
      <c r="O576" s="49"/>
      <c r="P576" s="49"/>
      <c r="Q576" s="49"/>
      <c r="R576" s="49"/>
      <c r="S576" s="49"/>
    </row>
    <row r="577">
      <c r="A577" s="54"/>
      <c r="B577" s="55"/>
      <c r="C577" s="49"/>
      <c r="D577" s="54"/>
      <c r="E577" s="49"/>
      <c r="F577" s="54"/>
      <c r="G577" s="49"/>
      <c r="H577" s="49"/>
      <c r="I577" s="49"/>
      <c r="J577" s="49"/>
      <c r="K577" s="49"/>
      <c r="L577" s="49"/>
      <c r="M577" s="49"/>
      <c r="N577" s="49"/>
      <c r="O577" s="49"/>
      <c r="P577" s="49"/>
      <c r="Q577" s="49"/>
      <c r="R577" s="49"/>
      <c r="S577" s="49"/>
    </row>
    <row r="578">
      <c r="A578" s="54"/>
      <c r="B578" s="55"/>
      <c r="C578" s="49"/>
      <c r="D578" s="54"/>
      <c r="E578" s="49"/>
      <c r="F578" s="54"/>
      <c r="G578" s="49"/>
      <c r="H578" s="49"/>
      <c r="I578" s="49"/>
      <c r="J578" s="49"/>
      <c r="K578" s="49"/>
      <c r="L578" s="49"/>
      <c r="M578" s="49"/>
      <c r="N578" s="49"/>
      <c r="O578" s="49"/>
      <c r="P578" s="49"/>
      <c r="Q578" s="49"/>
      <c r="R578" s="49"/>
      <c r="S578" s="49"/>
    </row>
    <row r="579">
      <c r="A579" s="54"/>
      <c r="B579" s="55"/>
      <c r="C579" s="49"/>
      <c r="D579" s="54"/>
      <c r="E579" s="49"/>
      <c r="F579" s="54"/>
      <c r="G579" s="49"/>
      <c r="H579" s="49"/>
      <c r="I579" s="49"/>
      <c r="J579" s="49"/>
      <c r="K579" s="49"/>
      <c r="L579" s="49"/>
      <c r="M579" s="49"/>
      <c r="N579" s="49"/>
      <c r="O579" s="49"/>
      <c r="P579" s="49"/>
      <c r="Q579" s="49"/>
      <c r="R579" s="49"/>
      <c r="S579" s="49"/>
    </row>
    <row r="580">
      <c r="A580" s="54"/>
      <c r="B580" s="55"/>
      <c r="C580" s="49"/>
      <c r="D580" s="54"/>
      <c r="E580" s="49"/>
      <c r="F580" s="54"/>
      <c r="G580" s="49"/>
      <c r="H580" s="49"/>
      <c r="I580" s="49"/>
      <c r="J580" s="49"/>
      <c r="K580" s="49"/>
      <c r="L580" s="49"/>
      <c r="M580" s="49"/>
      <c r="N580" s="49"/>
      <c r="O580" s="49"/>
      <c r="P580" s="49"/>
      <c r="Q580" s="49"/>
      <c r="R580" s="49"/>
      <c r="S580" s="49"/>
    </row>
    <row r="581">
      <c r="A581" s="54"/>
      <c r="B581" s="55"/>
      <c r="C581" s="49"/>
      <c r="D581" s="54"/>
      <c r="E581" s="49"/>
      <c r="F581" s="54"/>
      <c r="G581" s="49"/>
      <c r="H581" s="49"/>
      <c r="I581" s="49"/>
      <c r="J581" s="49"/>
      <c r="K581" s="49"/>
      <c r="L581" s="49"/>
      <c r="M581" s="49"/>
      <c r="N581" s="49"/>
      <c r="O581" s="49"/>
      <c r="P581" s="49"/>
      <c r="Q581" s="49"/>
      <c r="R581" s="49"/>
      <c r="S581" s="49"/>
    </row>
    <row r="582">
      <c r="A582" s="54"/>
      <c r="B582" s="55"/>
      <c r="C582" s="49"/>
      <c r="D582" s="54"/>
      <c r="E582" s="49"/>
      <c r="F582" s="54"/>
      <c r="G582" s="49"/>
      <c r="H582" s="49"/>
      <c r="I582" s="49"/>
      <c r="J582" s="49"/>
      <c r="K582" s="49"/>
      <c r="L582" s="49"/>
      <c r="M582" s="49"/>
      <c r="N582" s="49"/>
      <c r="O582" s="49"/>
      <c r="P582" s="49"/>
      <c r="Q582" s="49"/>
      <c r="R582" s="49"/>
      <c r="S582" s="49"/>
    </row>
    <row r="583">
      <c r="A583" s="54"/>
      <c r="B583" s="55"/>
      <c r="C583" s="49"/>
      <c r="D583" s="54"/>
      <c r="E583" s="49"/>
      <c r="F583" s="54"/>
      <c r="G583" s="49"/>
      <c r="H583" s="49"/>
      <c r="I583" s="49"/>
      <c r="J583" s="49"/>
      <c r="K583" s="49"/>
      <c r="L583" s="49"/>
      <c r="M583" s="49"/>
      <c r="N583" s="49"/>
      <c r="O583" s="49"/>
      <c r="P583" s="49"/>
      <c r="Q583" s="49"/>
      <c r="R583" s="49"/>
      <c r="S583" s="49"/>
    </row>
    <row r="584">
      <c r="A584" s="54"/>
      <c r="B584" s="55"/>
      <c r="C584" s="49"/>
      <c r="D584" s="54"/>
      <c r="E584" s="49"/>
      <c r="F584" s="54"/>
      <c r="G584" s="49"/>
      <c r="H584" s="49"/>
      <c r="I584" s="49"/>
      <c r="J584" s="49"/>
      <c r="K584" s="49"/>
      <c r="L584" s="49"/>
      <c r="M584" s="49"/>
      <c r="N584" s="49"/>
      <c r="O584" s="49"/>
      <c r="P584" s="49"/>
      <c r="Q584" s="49"/>
      <c r="R584" s="49"/>
      <c r="S584" s="49"/>
    </row>
    <row r="585">
      <c r="A585" s="54"/>
      <c r="B585" s="55"/>
      <c r="C585" s="49"/>
      <c r="D585" s="54"/>
      <c r="E585" s="49"/>
      <c r="F585" s="54"/>
      <c r="G585" s="49"/>
      <c r="H585" s="49"/>
      <c r="I585" s="49"/>
      <c r="J585" s="49"/>
      <c r="K585" s="49"/>
      <c r="L585" s="49"/>
      <c r="M585" s="49"/>
      <c r="N585" s="49"/>
      <c r="O585" s="49"/>
      <c r="P585" s="49"/>
      <c r="Q585" s="49"/>
      <c r="R585" s="49"/>
      <c r="S585" s="49"/>
    </row>
    <row r="586">
      <c r="A586" s="54"/>
      <c r="B586" s="55"/>
      <c r="C586" s="49"/>
      <c r="D586" s="54"/>
      <c r="E586" s="49"/>
      <c r="F586" s="54"/>
      <c r="G586" s="49"/>
      <c r="H586" s="49"/>
      <c r="I586" s="49"/>
      <c r="J586" s="49"/>
      <c r="K586" s="49"/>
      <c r="L586" s="49"/>
      <c r="M586" s="49"/>
      <c r="N586" s="49"/>
      <c r="O586" s="49"/>
      <c r="P586" s="49"/>
      <c r="Q586" s="49"/>
      <c r="R586" s="49"/>
      <c r="S586" s="49"/>
    </row>
    <row r="587">
      <c r="A587" s="54"/>
      <c r="B587" s="55"/>
      <c r="C587" s="49"/>
      <c r="D587" s="54"/>
      <c r="E587" s="49"/>
      <c r="F587" s="54"/>
      <c r="G587" s="49"/>
      <c r="H587" s="49"/>
      <c r="I587" s="49"/>
      <c r="J587" s="49"/>
      <c r="K587" s="49"/>
      <c r="L587" s="49"/>
      <c r="M587" s="49"/>
      <c r="N587" s="49"/>
      <c r="O587" s="49"/>
      <c r="P587" s="49"/>
      <c r="Q587" s="49"/>
      <c r="R587" s="49"/>
      <c r="S587" s="49"/>
    </row>
    <row r="588">
      <c r="A588" s="54"/>
      <c r="B588" s="55"/>
      <c r="C588" s="49"/>
      <c r="D588" s="54"/>
      <c r="E588" s="49"/>
      <c r="F588" s="54"/>
      <c r="G588" s="49"/>
      <c r="H588" s="49"/>
      <c r="I588" s="49"/>
      <c r="J588" s="49"/>
      <c r="K588" s="49"/>
      <c r="L588" s="49"/>
      <c r="M588" s="49"/>
      <c r="N588" s="49"/>
      <c r="O588" s="49"/>
      <c r="P588" s="49"/>
      <c r="Q588" s="49"/>
      <c r="R588" s="49"/>
      <c r="S588" s="49"/>
    </row>
    <row r="589">
      <c r="A589" s="54"/>
      <c r="B589" s="55"/>
      <c r="C589" s="49"/>
      <c r="D589" s="54"/>
      <c r="E589" s="49"/>
      <c r="F589" s="54"/>
      <c r="G589" s="49"/>
      <c r="H589" s="49"/>
      <c r="I589" s="49"/>
      <c r="J589" s="49"/>
      <c r="K589" s="49"/>
      <c r="L589" s="49"/>
      <c r="M589" s="49"/>
      <c r="N589" s="49"/>
      <c r="O589" s="49"/>
      <c r="P589" s="49"/>
      <c r="Q589" s="49"/>
      <c r="R589" s="49"/>
      <c r="S589" s="49"/>
    </row>
    <row r="590">
      <c r="A590" s="54"/>
      <c r="B590" s="55"/>
      <c r="C590" s="49"/>
      <c r="D590" s="54"/>
      <c r="E590" s="49"/>
      <c r="F590" s="54"/>
      <c r="G590" s="49"/>
      <c r="H590" s="49"/>
      <c r="I590" s="49"/>
      <c r="J590" s="49"/>
      <c r="K590" s="49"/>
      <c r="L590" s="49"/>
      <c r="M590" s="49"/>
      <c r="N590" s="49"/>
      <c r="O590" s="49"/>
      <c r="P590" s="49"/>
      <c r="Q590" s="49"/>
      <c r="R590" s="49"/>
      <c r="S590" s="49"/>
    </row>
    <row r="591">
      <c r="A591" s="54"/>
      <c r="B591" s="55"/>
      <c r="C591" s="49"/>
      <c r="D591" s="54"/>
      <c r="E591" s="49"/>
      <c r="F591" s="54"/>
      <c r="G591" s="49"/>
      <c r="H591" s="49"/>
      <c r="I591" s="49"/>
      <c r="J591" s="49"/>
      <c r="K591" s="49"/>
      <c r="L591" s="49"/>
      <c r="M591" s="49"/>
      <c r="N591" s="49"/>
      <c r="O591" s="49"/>
      <c r="P591" s="49"/>
      <c r="Q591" s="49"/>
      <c r="R591" s="49"/>
      <c r="S591" s="49"/>
    </row>
    <row r="592">
      <c r="A592" s="54"/>
      <c r="B592" s="55"/>
      <c r="C592" s="49"/>
      <c r="D592" s="54"/>
      <c r="E592" s="49"/>
      <c r="F592" s="54"/>
      <c r="G592" s="49"/>
      <c r="H592" s="49"/>
      <c r="I592" s="49"/>
      <c r="J592" s="49"/>
      <c r="K592" s="49"/>
      <c r="L592" s="49"/>
      <c r="M592" s="49"/>
      <c r="N592" s="49"/>
      <c r="O592" s="49"/>
      <c r="P592" s="49"/>
      <c r="Q592" s="49"/>
      <c r="R592" s="49"/>
      <c r="S592" s="49"/>
    </row>
    <row r="593">
      <c r="A593" s="54"/>
      <c r="B593" s="55"/>
      <c r="C593" s="49"/>
      <c r="D593" s="54"/>
      <c r="E593" s="49"/>
      <c r="F593" s="54"/>
      <c r="G593" s="49"/>
      <c r="H593" s="49"/>
      <c r="I593" s="49"/>
      <c r="J593" s="49"/>
      <c r="K593" s="49"/>
      <c r="L593" s="49"/>
      <c r="M593" s="49"/>
      <c r="N593" s="49"/>
      <c r="O593" s="49"/>
      <c r="P593" s="49"/>
      <c r="Q593" s="49"/>
      <c r="R593" s="49"/>
      <c r="S593" s="49"/>
    </row>
    <row r="594">
      <c r="A594" s="54"/>
      <c r="B594" s="55"/>
      <c r="C594" s="49"/>
      <c r="D594" s="54"/>
      <c r="E594" s="49"/>
      <c r="F594" s="54"/>
      <c r="G594" s="49"/>
      <c r="H594" s="49"/>
      <c r="I594" s="49"/>
      <c r="J594" s="49"/>
      <c r="K594" s="49"/>
      <c r="L594" s="49"/>
      <c r="M594" s="49"/>
      <c r="N594" s="49"/>
      <c r="O594" s="49"/>
      <c r="P594" s="49"/>
      <c r="Q594" s="49"/>
      <c r="R594" s="49"/>
      <c r="S594" s="49"/>
    </row>
    <row r="595">
      <c r="A595" s="54"/>
      <c r="B595" s="55"/>
      <c r="C595" s="49"/>
      <c r="D595" s="54"/>
      <c r="E595" s="49"/>
      <c r="F595" s="54"/>
      <c r="G595" s="49"/>
      <c r="H595" s="49"/>
      <c r="I595" s="49"/>
      <c r="J595" s="49"/>
      <c r="K595" s="49"/>
      <c r="L595" s="49"/>
      <c r="M595" s="49"/>
      <c r="N595" s="49"/>
      <c r="O595" s="49"/>
      <c r="P595" s="49"/>
      <c r="Q595" s="49"/>
      <c r="R595" s="49"/>
      <c r="S595" s="49"/>
    </row>
    <row r="596">
      <c r="A596" s="54"/>
      <c r="B596" s="55"/>
      <c r="C596" s="49"/>
      <c r="D596" s="54"/>
      <c r="E596" s="49"/>
      <c r="F596" s="54"/>
      <c r="G596" s="49"/>
      <c r="H596" s="49"/>
      <c r="I596" s="49"/>
      <c r="J596" s="49"/>
      <c r="K596" s="49"/>
      <c r="L596" s="49"/>
      <c r="M596" s="49"/>
      <c r="N596" s="49"/>
      <c r="O596" s="49"/>
      <c r="P596" s="49"/>
      <c r="Q596" s="49"/>
      <c r="R596" s="49"/>
      <c r="S596" s="49"/>
    </row>
    <row r="597">
      <c r="A597" s="54"/>
      <c r="B597" s="55"/>
      <c r="C597" s="49"/>
      <c r="D597" s="54"/>
      <c r="E597" s="49"/>
      <c r="F597" s="54"/>
      <c r="G597" s="49"/>
      <c r="H597" s="49"/>
      <c r="I597" s="49"/>
      <c r="J597" s="49"/>
      <c r="K597" s="49"/>
      <c r="L597" s="49"/>
      <c r="M597" s="49"/>
      <c r="N597" s="49"/>
      <c r="O597" s="49"/>
      <c r="P597" s="49"/>
      <c r="Q597" s="49"/>
      <c r="R597" s="49"/>
      <c r="S597" s="49"/>
    </row>
    <row r="598">
      <c r="A598" s="54"/>
      <c r="B598" s="55"/>
      <c r="C598" s="49"/>
      <c r="D598" s="54"/>
      <c r="E598" s="49"/>
      <c r="F598" s="54"/>
      <c r="G598" s="49"/>
      <c r="H598" s="49"/>
      <c r="I598" s="49"/>
      <c r="J598" s="49"/>
      <c r="K598" s="49"/>
      <c r="L598" s="49"/>
      <c r="M598" s="49"/>
      <c r="N598" s="49"/>
      <c r="O598" s="49"/>
      <c r="P598" s="49"/>
      <c r="Q598" s="49"/>
      <c r="R598" s="49"/>
      <c r="S598" s="49"/>
    </row>
    <row r="599">
      <c r="A599" s="54"/>
      <c r="B599" s="55"/>
      <c r="C599" s="49"/>
      <c r="D599" s="54"/>
      <c r="E599" s="49"/>
      <c r="F599" s="54"/>
      <c r="G599" s="49"/>
      <c r="H599" s="49"/>
      <c r="I599" s="49"/>
      <c r="J599" s="49"/>
      <c r="K599" s="49"/>
      <c r="L599" s="49"/>
      <c r="M599" s="49"/>
      <c r="N599" s="49"/>
      <c r="O599" s="49"/>
      <c r="P599" s="49"/>
      <c r="Q599" s="49"/>
      <c r="R599" s="49"/>
      <c r="S599" s="49"/>
    </row>
    <row r="600">
      <c r="A600" s="54"/>
      <c r="B600" s="55"/>
      <c r="C600" s="49"/>
      <c r="D600" s="54"/>
      <c r="E600" s="49"/>
      <c r="F600" s="54"/>
      <c r="G600" s="49"/>
      <c r="H600" s="49"/>
      <c r="I600" s="49"/>
      <c r="J600" s="49"/>
      <c r="K600" s="49"/>
      <c r="L600" s="49"/>
      <c r="M600" s="49"/>
      <c r="N600" s="49"/>
      <c r="O600" s="49"/>
      <c r="P600" s="49"/>
      <c r="Q600" s="49"/>
      <c r="R600" s="49"/>
      <c r="S600" s="49"/>
    </row>
    <row r="601">
      <c r="A601" s="54"/>
      <c r="B601" s="55"/>
      <c r="C601" s="49"/>
      <c r="D601" s="54"/>
      <c r="E601" s="49"/>
      <c r="F601" s="54"/>
      <c r="G601" s="49"/>
      <c r="H601" s="49"/>
      <c r="I601" s="49"/>
      <c r="J601" s="49"/>
      <c r="K601" s="49"/>
      <c r="L601" s="49"/>
      <c r="M601" s="49"/>
      <c r="N601" s="49"/>
      <c r="O601" s="49"/>
      <c r="P601" s="49"/>
      <c r="Q601" s="49"/>
      <c r="R601" s="49"/>
      <c r="S601" s="49"/>
    </row>
    <row r="602">
      <c r="A602" s="54"/>
      <c r="B602" s="55"/>
      <c r="C602" s="49"/>
      <c r="D602" s="54"/>
      <c r="E602" s="49"/>
      <c r="F602" s="54"/>
      <c r="G602" s="49"/>
      <c r="H602" s="49"/>
      <c r="I602" s="49"/>
      <c r="J602" s="49"/>
      <c r="K602" s="49"/>
      <c r="L602" s="49"/>
      <c r="M602" s="49"/>
      <c r="N602" s="49"/>
      <c r="O602" s="49"/>
      <c r="P602" s="49"/>
      <c r="Q602" s="49"/>
      <c r="R602" s="49"/>
      <c r="S602" s="49"/>
    </row>
    <row r="603">
      <c r="A603" s="54"/>
      <c r="B603" s="55"/>
      <c r="C603" s="49"/>
      <c r="D603" s="54"/>
      <c r="E603" s="49"/>
      <c r="F603" s="54"/>
      <c r="G603" s="49"/>
      <c r="H603" s="49"/>
      <c r="I603" s="49"/>
      <c r="J603" s="49"/>
      <c r="K603" s="49"/>
      <c r="L603" s="49"/>
      <c r="M603" s="49"/>
      <c r="N603" s="49"/>
      <c r="O603" s="49"/>
      <c r="P603" s="49"/>
      <c r="Q603" s="49"/>
      <c r="R603" s="49"/>
      <c r="S603" s="49"/>
    </row>
    <row r="604">
      <c r="A604" s="54"/>
      <c r="B604" s="55"/>
      <c r="C604" s="49"/>
      <c r="D604" s="54"/>
      <c r="E604" s="49"/>
      <c r="F604" s="54"/>
      <c r="G604" s="49"/>
      <c r="H604" s="49"/>
      <c r="I604" s="49"/>
      <c r="J604" s="49"/>
      <c r="K604" s="49"/>
      <c r="L604" s="49"/>
      <c r="M604" s="49"/>
      <c r="N604" s="49"/>
      <c r="O604" s="49"/>
      <c r="P604" s="49"/>
      <c r="Q604" s="49"/>
      <c r="R604" s="49"/>
      <c r="S604" s="49"/>
    </row>
    <row r="605">
      <c r="A605" s="54"/>
      <c r="B605" s="55"/>
      <c r="C605" s="49"/>
      <c r="D605" s="54"/>
      <c r="E605" s="49"/>
      <c r="F605" s="54"/>
      <c r="G605" s="49"/>
      <c r="H605" s="49"/>
      <c r="I605" s="49"/>
      <c r="J605" s="49"/>
      <c r="K605" s="49"/>
      <c r="L605" s="49"/>
      <c r="M605" s="49"/>
      <c r="N605" s="49"/>
      <c r="O605" s="49"/>
      <c r="P605" s="49"/>
      <c r="Q605" s="49"/>
      <c r="R605" s="49"/>
      <c r="S605" s="49"/>
    </row>
    <row r="606">
      <c r="A606" s="54"/>
      <c r="B606" s="55"/>
      <c r="C606" s="49"/>
      <c r="D606" s="54"/>
      <c r="E606" s="49"/>
      <c r="F606" s="54"/>
      <c r="G606" s="49"/>
      <c r="H606" s="49"/>
      <c r="I606" s="49"/>
      <c r="J606" s="49"/>
      <c r="K606" s="49"/>
      <c r="L606" s="49"/>
      <c r="M606" s="49"/>
      <c r="N606" s="49"/>
      <c r="O606" s="49"/>
      <c r="P606" s="49"/>
      <c r="Q606" s="49"/>
      <c r="R606" s="49"/>
      <c r="S606" s="49"/>
    </row>
    <row r="607">
      <c r="A607" s="54"/>
      <c r="B607" s="55"/>
      <c r="C607" s="49"/>
      <c r="D607" s="54"/>
      <c r="E607" s="49"/>
      <c r="F607" s="54"/>
      <c r="G607" s="49"/>
      <c r="H607" s="49"/>
      <c r="I607" s="49"/>
      <c r="J607" s="49"/>
      <c r="K607" s="49"/>
      <c r="L607" s="49"/>
      <c r="M607" s="49"/>
      <c r="N607" s="49"/>
      <c r="O607" s="49"/>
      <c r="P607" s="49"/>
      <c r="Q607" s="49"/>
      <c r="R607" s="49"/>
      <c r="S607" s="49"/>
    </row>
    <row r="608">
      <c r="A608" s="54"/>
      <c r="B608" s="55"/>
      <c r="C608" s="49"/>
      <c r="D608" s="54"/>
      <c r="E608" s="49"/>
      <c r="F608" s="54"/>
      <c r="G608" s="49"/>
      <c r="H608" s="49"/>
      <c r="I608" s="49"/>
      <c r="J608" s="49"/>
      <c r="K608" s="49"/>
      <c r="L608" s="49"/>
      <c r="M608" s="49"/>
      <c r="N608" s="49"/>
      <c r="O608" s="49"/>
      <c r="P608" s="49"/>
      <c r="Q608" s="49"/>
      <c r="R608" s="49"/>
      <c r="S608" s="49"/>
    </row>
    <row r="609">
      <c r="A609" s="54"/>
      <c r="B609" s="55"/>
      <c r="C609" s="49"/>
      <c r="D609" s="54"/>
      <c r="E609" s="49"/>
      <c r="F609" s="54"/>
      <c r="G609" s="49"/>
      <c r="H609" s="49"/>
      <c r="I609" s="49"/>
      <c r="J609" s="49"/>
      <c r="K609" s="49"/>
      <c r="L609" s="49"/>
      <c r="M609" s="49"/>
      <c r="N609" s="49"/>
      <c r="O609" s="49"/>
      <c r="P609" s="49"/>
      <c r="Q609" s="49"/>
      <c r="R609" s="49"/>
      <c r="S609" s="49"/>
    </row>
    <row r="610">
      <c r="A610" s="54"/>
      <c r="B610" s="55"/>
      <c r="C610" s="49"/>
      <c r="D610" s="54"/>
      <c r="E610" s="49"/>
      <c r="F610" s="54"/>
      <c r="G610" s="49"/>
      <c r="H610" s="49"/>
      <c r="I610" s="49"/>
      <c r="J610" s="49"/>
      <c r="K610" s="49"/>
      <c r="L610" s="49"/>
      <c r="M610" s="49"/>
      <c r="N610" s="49"/>
      <c r="O610" s="49"/>
      <c r="P610" s="49"/>
      <c r="Q610" s="49"/>
      <c r="R610" s="49"/>
      <c r="S610" s="49"/>
    </row>
    <row r="611">
      <c r="A611" s="54"/>
      <c r="B611" s="55"/>
      <c r="C611" s="49"/>
      <c r="D611" s="54"/>
      <c r="E611" s="49"/>
      <c r="F611" s="54"/>
      <c r="G611" s="49"/>
      <c r="H611" s="49"/>
      <c r="I611" s="49"/>
      <c r="J611" s="49"/>
      <c r="K611" s="49"/>
      <c r="L611" s="49"/>
      <c r="M611" s="49"/>
      <c r="N611" s="49"/>
      <c r="O611" s="49"/>
      <c r="P611" s="49"/>
      <c r="Q611" s="49"/>
      <c r="R611" s="49"/>
      <c r="S611" s="49"/>
    </row>
    <row r="612">
      <c r="A612" s="54"/>
      <c r="B612" s="55"/>
      <c r="C612" s="49"/>
      <c r="D612" s="54"/>
      <c r="E612" s="49"/>
      <c r="F612" s="54"/>
      <c r="G612" s="49"/>
      <c r="H612" s="49"/>
      <c r="I612" s="49"/>
      <c r="J612" s="49"/>
      <c r="K612" s="49"/>
      <c r="L612" s="49"/>
      <c r="M612" s="49"/>
      <c r="N612" s="49"/>
      <c r="O612" s="49"/>
      <c r="P612" s="49"/>
      <c r="Q612" s="49"/>
      <c r="R612" s="49"/>
      <c r="S612" s="49"/>
    </row>
    <row r="613">
      <c r="A613" s="54"/>
      <c r="B613" s="55"/>
      <c r="C613" s="49"/>
      <c r="D613" s="54"/>
      <c r="E613" s="49"/>
      <c r="F613" s="54"/>
      <c r="G613" s="49"/>
      <c r="H613" s="49"/>
      <c r="I613" s="49"/>
      <c r="J613" s="49"/>
      <c r="K613" s="49"/>
      <c r="L613" s="49"/>
      <c r="M613" s="49"/>
      <c r="N613" s="49"/>
      <c r="O613" s="49"/>
      <c r="P613" s="49"/>
      <c r="Q613" s="49"/>
      <c r="R613" s="49"/>
      <c r="S613" s="49"/>
    </row>
    <row r="614">
      <c r="A614" s="54"/>
      <c r="B614" s="55"/>
      <c r="C614" s="49"/>
      <c r="D614" s="54"/>
      <c r="E614" s="49"/>
      <c r="F614" s="54"/>
      <c r="G614" s="49"/>
      <c r="H614" s="49"/>
      <c r="I614" s="49"/>
      <c r="J614" s="49"/>
      <c r="K614" s="49"/>
      <c r="L614" s="49"/>
      <c r="M614" s="49"/>
      <c r="N614" s="49"/>
      <c r="O614" s="49"/>
      <c r="P614" s="49"/>
      <c r="Q614" s="49"/>
      <c r="R614" s="49"/>
      <c r="S614" s="49"/>
    </row>
    <row r="615">
      <c r="A615" s="54"/>
      <c r="B615" s="55"/>
      <c r="C615" s="49"/>
      <c r="D615" s="54"/>
      <c r="E615" s="49"/>
      <c r="F615" s="54"/>
      <c r="G615" s="49"/>
      <c r="H615" s="49"/>
      <c r="I615" s="49"/>
      <c r="J615" s="49"/>
      <c r="K615" s="49"/>
      <c r="L615" s="49"/>
      <c r="M615" s="49"/>
      <c r="N615" s="49"/>
      <c r="O615" s="49"/>
      <c r="P615" s="49"/>
      <c r="Q615" s="49"/>
      <c r="R615" s="49"/>
      <c r="S615" s="49"/>
    </row>
    <row r="616">
      <c r="A616" s="54"/>
      <c r="B616" s="55"/>
      <c r="C616" s="49"/>
      <c r="D616" s="54"/>
      <c r="E616" s="49"/>
      <c r="F616" s="54"/>
      <c r="G616" s="49"/>
      <c r="H616" s="49"/>
      <c r="I616" s="49"/>
      <c r="J616" s="49"/>
      <c r="K616" s="49"/>
      <c r="L616" s="49"/>
      <c r="M616" s="49"/>
      <c r="N616" s="49"/>
      <c r="O616" s="49"/>
      <c r="P616" s="49"/>
      <c r="Q616" s="49"/>
      <c r="R616" s="49"/>
      <c r="S616" s="49"/>
    </row>
    <row r="617">
      <c r="A617" s="54"/>
      <c r="B617" s="55"/>
      <c r="C617" s="49"/>
      <c r="D617" s="54"/>
      <c r="E617" s="49"/>
      <c r="F617" s="54"/>
      <c r="G617" s="49"/>
      <c r="H617" s="49"/>
      <c r="I617" s="49"/>
      <c r="J617" s="49"/>
      <c r="K617" s="49"/>
      <c r="L617" s="49"/>
      <c r="M617" s="49"/>
      <c r="N617" s="49"/>
      <c r="O617" s="49"/>
      <c r="P617" s="49"/>
      <c r="Q617" s="49"/>
      <c r="R617" s="49"/>
      <c r="S617" s="49"/>
    </row>
    <row r="618">
      <c r="A618" s="54"/>
      <c r="B618" s="55"/>
      <c r="C618" s="49"/>
      <c r="D618" s="54"/>
      <c r="E618" s="49"/>
      <c r="F618" s="54"/>
      <c r="G618" s="49"/>
      <c r="H618" s="49"/>
      <c r="I618" s="49"/>
      <c r="J618" s="49"/>
      <c r="K618" s="49"/>
      <c r="L618" s="49"/>
      <c r="M618" s="49"/>
      <c r="N618" s="49"/>
      <c r="O618" s="49"/>
      <c r="P618" s="49"/>
      <c r="Q618" s="49"/>
      <c r="R618" s="49"/>
      <c r="S618" s="49"/>
    </row>
    <row r="619">
      <c r="A619" s="54"/>
      <c r="B619" s="55"/>
      <c r="C619" s="49"/>
      <c r="D619" s="54"/>
      <c r="E619" s="49"/>
      <c r="F619" s="54"/>
      <c r="G619" s="49"/>
      <c r="H619" s="49"/>
      <c r="I619" s="49"/>
      <c r="J619" s="49"/>
      <c r="K619" s="49"/>
      <c r="L619" s="49"/>
      <c r="M619" s="49"/>
      <c r="N619" s="49"/>
      <c r="O619" s="49"/>
      <c r="P619" s="49"/>
      <c r="Q619" s="49"/>
      <c r="R619" s="49"/>
      <c r="S619" s="49"/>
    </row>
    <row r="620">
      <c r="A620" s="54"/>
      <c r="B620" s="55"/>
      <c r="C620" s="49"/>
      <c r="D620" s="54"/>
      <c r="E620" s="49"/>
      <c r="F620" s="54"/>
      <c r="G620" s="49"/>
      <c r="H620" s="49"/>
      <c r="I620" s="49"/>
      <c r="J620" s="49"/>
      <c r="K620" s="49"/>
      <c r="L620" s="49"/>
      <c r="M620" s="49"/>
      <c r="N620" s="49"/>
      <c r="O620" s="49"/>
      <c r="P620" s="49"/>
      <c r="Q620" s="49"/>
      <c r="R620" s="49"/>
      <c r="S620" s="49"/>
    </row>
    <row r="621">
      <c r="A621" s="54"/>
      <c r="B621" s="55"/>
      <c r="C621" s="49"/>
      <c r="D621" s="54"/>
      <c r="E621" s="49"/>
      <c r="F621" s="54"/>
      <c r="G621" s="49"/>
      <c r="H621" s="49"/>
      <c r="I621" s="49"/>
      <c r="J621" s="49"/>
      <c r="K621" s="49"/>
      <c r="L621" s="49"/>
      <c r="M621" s="49"/>
      <c r="N621" s="49"/>
      <c r="O621" s="49"/>
      <c r="P621" s="49"/>
      <c r="Q621" s="49"/>
      <c r="R621" s="49"/>
      <c r="S621" s="49"/>
    </row>
    <row r="622">
      <c r="A622" s="54"/>
      <c r="B622" s="55"/>
      <c r="C622" s="49"/>
      <c r="D622" s="54"/>
      <c r="E622" s="49"/>
      <c r="F622" s="54"/>
      <c r="G622" s="49"/>
      <c r="H622" s="49"/>
      <c r="I622" s="49"/>
      <c r="J622" s="49"/>
      <c r="K622" s="49"/>
      <c r="L622" s="49"/>
      <c r="M622" s="49"/>
      <c r="N622" s="49"/>
      <c r="O622" s="49"/>
      <c r="P622" s="49"/>
      <c r="Q622" s="49"/>
      <c r="R622" s="49"/>
      <c r="S622" s="49"/>
    </row>
    <row r="623">
      <c r="A623" s="54"/>
      <c r="B623" s="55"/>
      <c r="C623" s="49"/>
      <c r="D623" s="54"/>
      <c r="E623" s="49"/>
      <c r="F623" s="54"/>
      <c r="G623" s="49"/>
      <c r="H623" s="49"/>
      <c r="I623" s="49"/>
      <c r="J623" s="49"/>
      <c r="K623" s="49"/>
      <c r="L623" s="49"/>
      <c r="M623" s="49"/>
      <c r="N623" s="49"/>
      <c r="O623" s="49"/>
      <c r="P623" s="49"/>
      <c r="Q623" s="49"/>
      <c r="R623" s="49"/>
      <c r="S623" s="49"/>
    </row>
    <row r="624">
      <c r="A624" s="54"/>
      <c r="B624" s="55"/>
      <c r="C624" s="49"/>
      <c r="D624" s="54"/>
      <c r="E624" s="49"/>
      <c r="F624" s="54"/>
      <c r="G624" s="49"/>
      <c r="H624" s="49"/>
      <c r="I624" s="49"/>
      <c r="J624" s="49"/>
      <c r="K624" s="49"/>
      <c r="L624" s="49"/>
      <c r="M624" s="49"/>
      <c r="N624" s="49"/>
      <c r="O624" s="49"/>
      <c r="P624" s="49"/>
      <c r="Q624" s="49"/>
      <c r="R624" s="49"/>
      <c r="S624" s="49"/>
    </row>
    <row r="625">
      <c r="A625" s="54"/>
      <c r="B625" s="55"/>
      <c r="C625" s="49"/>
      <c r="D625" s="54"/>
      <c r="E625" s="49"/>
      <c r="F625" s="54"/>
      <c r="G625" s="49"/>
      <c r="H625" s="49"/>
      <c r="I625" s="49"/>
      <c r="J625" s="49"/>
      <c r="K625" s="49"/>
      <c r="L625" s="49"/>
      <c r="M625" s="49"/>
      <c r="N625" s="49"/>
      <c r="O625" s="49"/>
      <c r="P625" s="49"/>
      <c r="Q625" s="49"/>
      <c r="R625" s="49"/>
      <c r="S625" s="49"/>
    </row>
    <row r="626">
      <c r="A626" s="54"/>
      <c r="B626" s="55"/>
      <c r="C626" s="49"/>
      <c r="D626" s="54"/>
      <c r="E626" s="49"/>
      <c r="F626" s="54"/>
      <c r="G626" s="49"/>
      <c r="H626" s="49"/>
      <c r="I626" s="49"/>
      <c r="J626" s="49"/>
      <c r="K626" s="49"/>
      <c r="L626" s="49"/>
      <c r="M626" s="49"/>
      <c r="N626" s="49"/>
      <c r="O626" s="49"/>
      <c r="P626" s="49"/>
      <c r="Q626" s="49"/>
      <c r="R626" s="49"/>
      <c r="S626" s="49"/>
    </row>
    <row r="627">
      <c r="A627" s="54"/>
      <c r="B627" s="55"/>
      <c r="C627" s="49"/>
      <c r="D627" s="54"/>
      <c r="E627" s="49"/>
      <c r="F627" s="54"/>
      <c r="G627" s="49"/>
      <c r="H627" s="49"/>
      <c r="I627" s="49"/>
      <c r="J627" s="49"/>
      <c r="K627" s="49"/>
      <c r="L627" s="49"/>
      <c r="M627" s="49"/>
      <c r="N627" s="49"/>
      <c r="O627" s="49"/>
      <c r="P627" s="49"/>
      <c r="Q627" s="49"/>
      <c r="R627" s="49"/>
      <c r="S627" s="49"/>
    </row>
    <row r="628">
      <c r="A628" s="54"/>
      <c r="B628" s="55"/>
      <c r="C628" s="49"/>
      <c r="D628" s="54"/>
      <c r="E628" s="49"/>
      <c r="F628" s="54"/>
      <c r="G628" s="49"/>
      <c r="H628" s="49"/>
      <c r="I628" s="49"/>
      <c r="J628" s="49"/>
      <c r="K628" s="49"/>
      <c r="L628" s="49"/>
      <c r="M628" s="49"/>
      <c r="N628" s="49"/>
      <c r="O628" s="49"/>
      <c r="P628" s="49"/>
      <c r="Q628" s="49"/>
      <c r="R628" s="49"/>
      <c r="S628" s="49"/>
    </row>
    <row r="629">
      <c r="A629" s="54"/>
      <c r="B629" s="55"/>
      <c r="C629" s="49"/>
      <c r="D629" s="54"/>
      <c r="E629" s="49"/>
      <c r="F629" s="54"/>
      <c r="G629" s="49"/>
      <c r="H629" s="49"/>
      <c r="I629" s="49"/>
      <c r="J629" s="49"/>
      <c r="K629" s="49"/>
      <c r="L629" s="49"/>
      <c r="M629" s="49"/>
      <c r="N629" s="49"/>
      <c r="O629" s="49"/>
      <c r="P629" s="49"/>
      <c r="Q629" s="49"/>
      <c r="R629" s="49"/>
      <c r="S629" s="49"/>
    </row>
    <row r="630">
      <c r="A630" s="54"/>
      <c r="B630" s="55"/>
      <c r="C630" s="49"/>
      <c r="D630" s="54"/>
      <c r="E630" s="49"/>
      <c r="F630" s="54"/>
      <c r="G630" s="49"/>
      <c r="H630" s="49"/>
      <c r="I630" s="49"/>
      <c r="J630" s="49"/>
      <c r="K630" s="49"/>
      <c r="L630" s="49"/>
      <c r="M630" s="49"/>
      <c r="N630" s="49"/>
      <c r="O630" s="49"/>
      <c r="P630" s="49"/>
      <c r="Q630" s="49"/>
      <c r="R630" s="49"/>
      <c r="S630" s="49"/>
    </row>
    <row r="631">
      <c r="A631" s="54"/>
      <c r="B631" s="55"/>
      <c r="C631" s="49"/>
      <c r="D631" s="54"/>
      <c r="E631" s="49"/>
      <c r="F631" s="54"/>
      <c r="G631" s="49"/>
      <c r="H631" s="49"/>
      <c r="I631" s="49"/>
      <c r="J631" s="49"/>
      <c r="K631" s="49"/>
      <c r="L631" s="49"/>
      <c r="M631" s="49"/>
      <c r="N631" s="49"/>
      <c r="O631" s="49"/>
      <c r="P631" s="49"/>
      <c r="Q631" s="49"/>
      <c r="R631" s="49"/>
      <c r="S631" s="49"/>
    </row>
    <row r="632">
      <c r="A632" s="54"/>
      <c r="B632" s="55"/>
      <c r="C632" s="49"/>
      <c r="D632" s="54"/>
      <c r="E632" s="49"/>
      <c r="F632" s="54"/>
      <c r="G632" s="49"/>
      <c r="H632" s="49"/>
      <c r="I632" s="49"/>
      <c r="J632" s="49"/>
      <c r="K632" s="49"/>
      <c r="L632" s="49"/>
      <c r="M632" s="49"/>
      <c r="N632" s="49"/>
      <c r="O632" s="49"/>
      <c r="P632" s="49"/>
      <c r="Q632" s="49"/>
      <c r="R632" s="49"/>
      <c r="S632" s="49"/>
    </row>
    <row r="633">
      <c r="A633" s="54"/>
      <c r="B633" s="55"/>
      <c r="C633" s="49"/>
      <c r="D633" s="54"/>
      <c r="E633" s="49"/>
      <c r="F633" s="54"/>
      <c r="G633" s="49"/>
      <c r="H633" s="49"/>
      <c r="I633" s="49"/>
      <c r="J633" s="49"/>
      <c r="K633" s="49"/>
      <c r="L633" s="49"/>
      <c r="M633" s="49"/>
      <c r="N633" s="49"/>
      <c r="O633" s="49"/>
      <c r="P633" s="49"/>
      <c r="Q633" s="49"/>
      <c r="R633" s="49"/>
      <c r="S633" s="49"/>
    </row>
    <row r="634">
      <c r="A634" s="54"/>
      <c r="B634" s="55"/>
      <c r="C634" s="49"/>
      <c r="D634" s="54"/>
      <c r="E634" s="49"/>
      <c r="F634" s="54"/>
      <c r="G634" s="49"/>
      <c r="H634" s="49"/>
      <c r="I634" s="49"/>
      <c r="J634" s="49"/>
      <c r="K634" s="49"/>
      <c r="L634" s="49"/>
      <c r="M634" s="49"/>
      <c r="N634" s="49"/>
      <c r="O634" s="49"/>
      <c r="P634" s="49"/>
      <c r="Q634" s="49"/>
      <c r="R634" s="49"/>
      <c r="S634" s="49"/>
    </row>
    <row r="635">
      <c r="A635" s="54"/>
      <c r="B635" s="55"/>
      <c r="C635" s="49"/>
      <c r="D635" s="54"/>
      <c r="E635" s="49"/>
      <c r="F635" s="54"/>
      <c r="G635" s="49"/>
      <c r="H635" s="49"/>
      <c r="I635" s="49"/>
      <c r="J635" s="49"/>
      <c r="K635" s="49"/>
      <c r="L635" s="49"/>
      <c r="M635" s="49"/>
      <c r="N635" s="49"/>
      <c r="O635" s="49"/>
      <c r="P635" s="49"/>
      <c r="Q635" s="49"/>
      <c r="R635" s="49"/>
      <c r="S635" s="49"/>
    </row>
    <row r="636">
      <c r="A636" s="54"/>
      <c r="B636" s="55"/>
      <c r="C636" s="49"/>
      <c r="D636" s="54"/>
      <c r="E636" s="49"/>
      <c r="F636" s="54"/>
      <c r="G636" s="49"/>
      <c r="H636" s="49"/>
      <c r="I636" s="49"/>
      <c r="J636" s="49"/>
      <c r="K636" s="49"/>
      <c r="L636" s="49"/>
      <c r="M636" s="49"/>
      <c r="N636" s="49"/>
      <c r="O636" s="49"/>
      <c r="P636" s="49"/>
      <c r="Q636" s="49"/>
      <c r="R636" s="49"/>
      <c r="S636" s="49"/>
    </row>
    <row r="637">
      <c r="A637" s="54"/>
      <c r="B637" s="55"/>
      <c r="C637" s="49"/>
      <c r="D637" s="54"/>
      <c r="E637" s="49"/>
      <c r="F637" s="54"/>
      <c r="G637" s="49"/>
      <c r="H637" s="49"/>
      <c r="I637" s="49"/>
      <c r="J637" s="49"/>
      <c r="K637" s="49"/>
      <c r="L637" s="49"/>
      <c r="M637" s="49"/>
      <c r="N637" s="49"/>
      <c r="O637" s="49"/>
      <c r="P637" s="49"/>
      <c r="Q637" s="49"/>
      <c r="R637" s="49"/>
      <c r="S637" s="49"/>
    </row>
    <row r="638">
      <c r="A638" s="54"/>
      <c r="B638" s="55"/>
      <c r="C638" s="49"/>
      <c r="D638" s="54"/>
      <c r="E638" s="49"/>
      <c r="F638" s="54"/>
      <c r="G638" s="49"/>
      <c r="H638" s="49"/>
      <c r="I638" s="49"/>
      <c r="J638" s="49"/>
      <c r="K638" s="49"/>
      <c r="L638" s="49"/>
      <c r="M638" s="49"/>
      <c r="N638" s="49"/>
      <c r="O638" s="49"/>
      <c r="P638" s="49"/>
      <c r="Q638" s="49"/>
      <c r="R638" s="49"/>
      <c r="S638" s="49"/>
    </row>
    <row r="639">
      <c r="A639" s="54"/>
      <c r="B639" s="55"/>
      <c r="C639" s="49"/>
      <c r="D639" s="54"/>
      <c r="E639" s="49"/>
      <c r="F639" s="54"/>
      <c r="G639" s="49"/>
      <c r="H639" s="49"/>
      <c r="I639" s="49"/>
      <c r="J639" s="49"/>
      <c r="K639" s="49"/>
      <c r="L639" s="49"/>
      <c r="M639" s="49"/>
      <c r="N639" s="49"/>
      <c r="O639" s="49"/>
      <c r="P639" s="49"/>
      <c r="Q639" s="49"/>
      <c r="R639" s="49"/>
      <c r="S639" s="49"/>
    </row>
    <row r="640">
      <c r="A640" s="54"/>
      <c r="B640" s="55"/>
      <c r="C640" s="49"/>
      <c r="D640" s="54"/>
      <c r="E640" s="49"/>
      <c r="F640" s="54"/>
      <c r="G640" s="49"/>
      <c r="H640" s="49"/>
      <c r="I640" s="49"/>
      <c r="J640" s="49"/>
      <c r="K640" s="49"/>
      <c r="L640" s="49"/>
      <c r="M640" s="49"/>
      <c r="N640" s="49"/>
      <c r="O640" s="49"/>
      <c r="P640" s="49"/>
      <c r="Q640" s="49"/>
      <c r="R640" s="49"/>
      <c r="S640" s="49"/>
    </row>
    <row r="641">
      <c r="A641" s="54"/>
      <c r="B641" s="55"/>
      <c r="C641" s="49"/>
      <c r="D641" s="54"/>
      <c r="E641" s="49"/>
      <c r="F641" s="54"/>
      <c r="G641" s="49"/>
      <c r="H641" s="49"/>
      <c r="I641" s="49"/>
      <c r="J641" s="49"/>
      <c r="K641" s="49"/>
      <c r="L641" s="49"/>
      <c r="M641" s="49"/>
      <c r="N641" s="49"/>
      <c r="O641" s="49"/>
      <c r="P641" s="49"/>
      <c r="Q641" s="49"/>
      <c r="R641" s="49"/>
      <c r="S641" s="49"/>
    </row>
    <row r="642">
      <c r="A642" s="54"/>
      <c r="B642" s="55"/>
      <c r="C642" s="49"/>
      <c r="D642" s="54"/>
      <c r="E642" s="49"/>
      <c r="F642" s="54"/>
      <c r="G642" s="49"/>
      <c r="H642" s="49"/>
      <c r="I642" s="49"/>
      <c r="J642" s="49"/>
      <c r="K642" s="49"/>
      <c r="L642" s="49"/>
      <c r="M642" s="49"/>
      <c r="N642" s="49"/>
      <c r="O642" s="49"/>
      <c r="P642" s="49"/>
      <c r="Q642" s="49"/>
      <c r="R642" s="49"/>
      <c r="S642" s="49"/>
    </row>
    <row r="643">
      <c r="A643" s="54"/>
      <c r="B643" s="55"/>
      <c r="C643" s="49"/>
      <c r="D643" s="54"/>
      <c r="E643" s="49"/>
      <c r="F643" s="54"/>
      <c r="G643" s="49"/>
      <c r="H643" s="49"/>
      <c r="I643" s="49"/>
      <c r="J643" s="49"/>
      <c r="K643" s="49"/>
      <c r="L643" s="49"/>
      <c r="M643" s="49"/>
      <c r="N643" s="49"/>
      <c r="O643" s="49"/>
      <c r="P643" s="49"/>
      <c r="Q643" s="49"/>
      <c r="R643" s="49"/>
      <c r="S643" s="49"/>
    </row>
    <row r="644">
      <c r="A644" s="54"/>
      <c r="B644" s="55"/>
      <c r="C644" s="49"/>
      <c r="D644" s="54"/>
      <c r="E644" s="49"/>
      <c r="F644" s="54"/>
      <c r="G644" s="49"/>
      <c r="H644" s="49"/>
      <c r="I644" s="49"/>
      <c r="J644" s="49"/>
      <c r="K644" s="49"/>
      <c r="L644" s="49"/>
      <c r="M644" s="49"/>
      <c r="N644" s="49"/>
      <c r="O644" s="49"/>
      <c r="P644" s="49"/>
      <c r="Q644" s="49"/>
      <c r="R644" s="49"/>
      <c r="S644" s="49"/>
    </row>
    <row r="645">
      <c r="A645" s="54"/>
      <c r="B645" s="55"/>
      <c r="C645" s="49"/>
      <c r="D645" s="54"/>
      <c r="E645" s="49"/>
      <c r="F645" s="54"/>
      <c r="G645" s="49"/>
      <c r="H645" s="49"/>
      <c r="I645" s="49"/>
      <c r="J645" s="49"/>
      <c r="K645" s="49"/>
      <c r="L645" s="49"/>
      <c r="M645" s="49"/>
      <c r="N645" s="49"/>
      <c r="O645" s="49"/>
      <c r="P645" s="49"/>
      <c r="Q645" s="49"/>
      <c r="R645" s="49"/>
      <c r="S645" s="49"/>
    </row>
    <row r="646">
      <c r="A646" s="54"/>
      <c r="B646" s="55"/>
      <c r="C646" s="49"/>
      <c r="D646" s="54"/>
      <c r="E646" s="49"/>
      <c r="F646" s="54"/>
      <c r="G646" s="49"/>
      <c r="H646" s="49"/>
      <c r="I646" s="49"/>
      <c r="J646" s="49"/>
      <c r="K646" s="49"/>
      <c r="L646" s="49"/>
      <c r="M646" s="49"/>
      <c r="N646" s="49"/>
      <c r="O646" s="49"/>
      <c r="P646" s="49"/>
      <c r="Q646" s="49"/>
      <c r="R646" s="49"/>
      <c r="S646" s="49"/>
    </row>
    <row r="647">
      <c r="A647" s="54"/>
      <c r="B647" s="55"/>
      <c r="C647" s="49"/>
      <c r="D647" s="54"/>
      <c r="E647" s="49"/>
      <c r="F647" s="54"/>
      <c r="G647" s="49"/>
      <c r="H647" s="49"/>
      <c r="I647" s="49"/>
      <c r="J647" s="49"/>
      <c r="K647" s="49"/>
      <c r="L647" s="49"/>
      <c r="M647" s="49"/>
      <c r="N647" s="49"/>
      <c r="O647" s="49"/>
      <c r="P647" s="49"/>
      <c r="Q647" s="49"/>
      <c r="R647" s="49"/>
      <c r="S647" s="49"/>
    </row>
    <row r="648">
      <c r="A648" s="54"/>
      <c r="B648" s="55"/>
      <c r="C648" s="49"/>
      <c r="D648" s="54"/>
      <c r="E648" s="49"/>
      <c r="F648" s="54"/>
      <c r="G648" s="49"/>
      <c r="H648" s="49"/>
      <c r="I648" s="49"/>
      <c r="J648" s="49"/>
      <c r="K648" s="49"/>
      <c r="L648" s="49"/>
      <c r="M648" s="49"/>
      <c r="N648" s="49"/>
      <c r="O648" s="49"/>
      <c r="P648" s="49"/>
      <c r="Q648" s="49"/>
      <c r="R648" s="49"/>
      <c r="S648" s="49"/>
    </row>
    <row r="649">
      <c r="A649" s="54"/>
      <c r="B649" s="55"/>
      <c r="C649" s="49"/>
      <c r="D649" s="54"/>
      <c r="E649" s="49"/>
      <c r="F649" s="54"/>
      <c r="G649" s="49"/>
      <c r="H649" s="49"/>
      <c r="I649" s="49"/>
      <c r="J649" s="49"/>
      <c r="K649" s="49"/>
      <c r="L649" s="49"/>
      <c r="M649" s="49"/>
      <c r="N649" s="49"/>
      <c r="O649" s="49"/>
      <c r="P649" s="49"/>
      <c r="Q649" s="49"/>
      <c r="R649" s="49"/>
      <c r="S649" s="49"/>
    </row>
    <row r="650">
      <c r="A650" s="54"/>
      <c r="B650" s="55"/>
      <c r="C650" s="49"/>
      <c r="D650" s="54"/>
      <c r="E650" s="49"/>
      <c r="F650" s="54"/>
      <c r="G650" s="49"/>
      <c r="H650" s="49"/>
      <c r="I650" s="49"/>
      <c r="J650" s="49"/>
      <c r="K650" s="49"/>
      <c r="L650" s="49"/>
      <c r="M650" s="49"/>
      <c r="N650" s="49"/>
      <c r="O650" s="49"/>
      <c r="P650" s="49"/>
      <c r="Q650" s="49"/>
      <c r="R650" s="49"/>
      <c r="S650" s="49"/>
    </row>
    <row r="651">
      <c r="A651" s="54"/>
      <c r="B651" s="55"/>
      <c r="C651" s="49"/>
      <c r="D651" s="54"/>
      <c r="E651" s="49"/>
      <c r="F651" s="54"/>
      <c r="G651" s="49"/>
      <c r="H651" s="49"/>
      <c r="I651" s="49"/>
      <c r="J651" s="49"/>
      <c r="K651" s="49"/>
      <c r="L651" s="49"/>
      <c r="M651" s="49"/>
      <c r="N651" s="49"/>
      <c r="O651" s="49"/>
      <c r="P651" s="49"/>
      <c r="Q651" s="49"/>
      <c r="R651" s="49"/>
      <c r="S651" s="49"/>
    </row>
    <row r="652">
      <c r="A652" s="54"/>
      <c r="B652" s="55"/>
      <c r="C652" s="49"/>
      <c r="D652" s="54"/>
      <c r="E652" s="49"/>
      <c r="F652" s="54"/>
      <c r="G652" s="49"/>
      <c r="H652" s="49"/>
      <c r="I652" s="49"/>
      <c r="J652" s="49"/>
      <c r="K652" s="49"/>
      <c r="L652" s="49"/>
      <c r="M652" s="49"/>
      <c r="N652" s="49"/>
      <c r="O652" s="49"/>
      <c r="P652" s="49"/>
      <c r="Q652" s="49"/>
      <c r="R652" s="49"/>
      <c r="S652" s="49"/>
    </row>
    <row r="653">
      <c r="A653" s="54"/>
      <c r="B653" s="55"/>
      <c r="C653" s="49"/>
      <c r="D653" s="54"/>
      <c r="E653" s="49"/>
      <c r="F653" s="54"/>
      <c r="G653" s="49"/>
      <c r="H653" s="49"/>
      <c r="I653" s="49"/>
      <c r="J653" s="49"/>
      <c r="K653" s="49"/>
      <c r="L653" s="49"/>
      <c r="M653" s="49"/>
      <c r="N653" s="49"/>
      <c r="O653" s="49"/>
      <c r="P653" s="49"/>
      <c r="Q653" s="49"/>
      <c r="R653" s="49"/>
      <c r="S653" s="49"/>
    </row>
    <row r="654">
      <c r="A654" s="54"/>
      <c r="B654" s="55"/>
      <c r="C654" s="49"/>
      <c r="D654" s="54"/>
      <c r="E654" s="49"/>
      <c r="F654" s="54"/>
      <c r="G654" s="49"/>
      <c r="H654" s="49"/>
      <c r="I654" s="49"/>
      <c r="J654" s="49"/>
      <c r="K654" s="49"/>
      <c r="L654" s="49"/>
      <c r="M654" s="49"/>
      <c r="N654" s="49"/>
      <c r="O654" s="49"/>
      <c r="P654" s="49"/>
      <c r="Q654" s="49"/>
      <c r="R654" s="49"/>
      <c r="S654" s="49"/>
    </row>
    <row r="655">
      <c r="A655" s="54"/>
      <c r="B655" s="55"/>
      <c r="C655" s="49"/>
      <c r="D655" s="54"/>
      <c r="E655" s="49"/>
      <c r="F655" s="54"/>
      <c r="G655" s="49"/>
      <c r="H655" s="49"/>
      <c r="I655" s="49"/>
      <c r="J655" s="49"/>
      <c r="K655" s="49"/>
      <c r="L655" s="49"/>
      <c r="M655" s="49"/>
      <c r="N655" s="49"/>
      <c r="O655" s="49"/>
      <c r="P655" s="49"/>
      <c r="Q655" s="49"/>
      <c r="R655" s="49"/>
      <c r="S655" s="49"/>
    </row>
    <row r="656">
      <c r="A656" s="54"/>
      <c r="B656" s="55"/>
      <c r="C656" s="49"/>
      <c r="D656" s="54"/>
      <c r="E656" s="49"/>
      <c r="F656" s="54"/>
      <c r="G656" s="49"/>
      <c r="H656" s="49"/>
      <c r="I656" s="49"/>
      <c r="J656" s="49"/>
      <c r="K656" s="49"/>
      <c r="L656" s="49"/>
      <c r="M656" s="49"/>
      <c r="N656" s="49"/>
      <c r="O656" s="49"/>
      <c r="P656" s="49"/>
      <c r="Q656" s="49"/>
      <c r="R656" s="49"/>
      <c r="S656" s="49"/>
    </row>
    <row r="657">
      <c r="A657" s="54"/>
      <c r="B657" s="55"/>
      <c r="C657" s="49"/>
      <c r="D657" s="54"/>
      <c r="E657" s="49"/>
      <c r="F657" s="54"/>
      <c r="G657" s="49"/>
      <c r="H657" s="49"/>
      <c r="I657" s="49"/>
      <c r="J657" s="49"/>
      <c r="K657" s="49"/>
      <c r="L657" s="49"/>
      <c r="M657" s="49"/>
      <c r="N657" s="49"/>
      <c r="O657" s="49"/>
      <c r="P657" s="49"/>
      <c r="Q657" s="49"/>
      <c r="R657" s="49"/>
      <c r="S657" s="49"/>
    </row>
    <row r="658">
      <c r="A658" s="54"/>
      <c r="B658" s="55"/>
      <c r="C658" s="49"/>
      <c r="D658" s="54"/>
      <c r="E658" s="49"/>
      <c r="F658" s="54"/>
      <c r="G658" s="49"/>
      <c r="H658" s="49"/>
      <c r="I658" s="49"/>
      <c r="J658" s="49"/>
      <c r="K658" s="49"/>
      <c r="L658" s="49"/>
      <c r="M658" s="49"/>
      <c r="N658" s="49"/>
      <c r="O658" s="49"/>
      <c r="P658" s="49"/>
      <c r="Q658" s="49"/>
      <c r="R658" s="49"/>
      <c r="S658" s="49"/>
    </row>
    <row r="659">
      <c r="A659" s="54"/>
      <c r="B659" s="55"/>
      <c r="C659" s="49"/>
      <c r="D659" s="54"/>
      <c r="E659" s="49"/>
      <c r="F659" s="54"/>
      <c r="G659" s="49"/>
      <c r="H659" s="49"/>
      <c r="I659" s="49"/>
      <c r="J659" s="49"/>
      <c r="K659" s="49"/>
      <c r="L659" s="49"/>
      <c r="M659" s="49"/>
      <c r="N659" s="49"/>
      <c r="O659" s="49"/>
      <c r="P659" s="49"/>
      <c r="Q659" s="49"/>
      <c r="R659" s="49"/>
      <c r="S659" s="49"/>
    </row>
    <row r="660">
      <c r="A660" s="54"/>
      <c r="B660" s="55"/>
      <c r="C660" s="49"/>
      <c r="D660" s="54"/>
      <c r="E660" s="49"/>
      <c r="F660" s="54"/>
      <c r="G660" s="49"/>
      <c r="H660" s="49"/>
      <c r="I660" s="49"/>
      <c r="J660" s="49"/>
      <c r="K660" s="49"/>
      <c r="L660" s="49"/>
      <c r="M660" s="49"/>
      <c r="N660" s="49"/>
      <c r="O660" s="49"/>
      <c r="P660" s="49"/>
      <c r="Q660" s="49"/>
      <c r="R660" s="49"/>
      <c r="S660" s="49"/>
    </row>
    <row r="661">
      <c r="A661" s="54"/>
      <c r="B661" s="55"/>
      <c r="C661" s="49"/>
      <c r="D661" s="54"/>
      <c r="E661" s="49"/>
      <c r="F661" s="54"/>
      <c r="G661" s="49"/>
      <c r="H661" s="49"/>
      <c r="I661" s="49"/>
      <c r="J661" s="49"/>
      <c r="K661" s="49"/>
      <c r="L661" s="49"/>
      <c r="M661" s="49"/>
      <c r="N661" s="49"/>
      <c r="O661" s="49"/>
      <c r="P661" s="49"/>
      <c r="Q661" s="49"/>
      <c r="R661" s="49"/>
      <c r="S661" s="49"/>
    </row>
    <row r="662">
      <c r="A662" s="54"/>
      <c r="B662" s="55"/>
      <c r="C662" s="49"/>
      <c r="D662" s="54"/>
      <c r="E662" s="49"/>
      <c r="F662" s="54"/>
      <c r="G662" s="49"/>
      <c r="H662" s="49"/>
      <c r="I662" s="49"/>
      <c r="J662" s="49"/>
      <c r="K662" s="49"/>
      <c r="L662" s="49"/>
      <c r="M662" s="49"/>
      <c r="N662" s="49"/>
      <c r="O662" s="49"/>
      <c r="P662" s="49"/>
      <c r="Q662" s="49"/>
      <c r="R662" s="49"/>
      <c r="S662" s="49"/>
    </row>
    <row r="663">
      <c r="A663" s="54"/>
      <c r="B663" s="55"/>
      <c r="C663" s="49"/>
      <c r="D663" s="54"/>
      <c r="E663" s="49"/>
      <c r="F663" s="54"/>
      <c r="G663" s="49"/>
      <c r="H663" s="49"/>
      <c r="I663" s="49"/>
      <c r="J663" s="49"/>
      <c r="K663" s="49"/>
      <c r="L663" s="49"/>
      <c r="M663" s="49"/>
      <c r="N663" s="49"/>
      <c r="O663" s="49"/>
      <c r="P663" s="49"/>
      <c r="Q663" s="49"/>
      <c r="R663" s="49"/>
      <c r="S663" s="49"/>
    </row>
    <row r="664">
      <c r="A664" s="54"/>
      <c r="B664" s="55"/>
      <c r="C664" s="49"/>
      <c r="D664" s="54"/>
      <c r="E664" s="49"/>
      <c r="F664" s="54"/>
      <c r="G664" s="49"/>
      <c r="H664" s="49"/>
      <c r="I664" s="49"/>
      <c r="J664" s="49"/>
      <c r="K664" s="49"/>
      <c r="L664" s="49"/>
      <c r="M664" s="49"/>
      <c r="N664" s="49"/>
      <c r="O664" s="49"/>
      <c r="P664" s="49"/>
      <c r="Q664" s="49"/>
      <c r="R664" s="49"/>
      <c r="S664" s="49"/>
    </row>
    <row r="665">
      <c r="A665" s="54"/>
      <c r="B665" s="55"/>
      <c r="C665" s="49"/>
      <c r="D665" s="54"/>
      <c r="E665" s="49"/>
      <c r="F665" s="54"/>
      <c r="G665" s="49"/>
      <c r="H665" s="49"/>
      <c r="I665" s="49"/>
      <c r="J665" s="49"/>
      <c r="K665" s="49"/>
      <c r="L665" s="49"/>
      <c r="M665" s="49"/>
      <c r="N665" s="49"/>
      <c r="O665" s="49"/>
      <c r="P665" s="49"/>
      <c r="Q665" s="49"/>
      <c r="R665" s="49"/>
      <c r="S665" s="49"/>
    </row>
    <row r="666">
      <c r="A666" s="54"/>
      <c r="B666" s="55"/>
      <c r="C666" s="49"/>
      <c r="D666" s="54"/>
      <c r="E666" s="49"/>
      <c r="F666" s="54"/>
      <c r="G666" s="49"/>
      <c r="H666" s="49"/>
      <c r="I666" s="49"/>
      <c r="J666" s="49"/>
      <c r="K666" s="49"/>
      <c r="L666" s="49"/>
      <c r="M666" s="49"/>
      <c r="N666" s="49"/>
      <c r="O666" s="49"/>
      <c r="P666" s="49"/>
      <c r="Q666" s="49"/>
      <c r="R666" s="49"/>
      <c r="S666" s="49"/>
    </row>
    <row r="667">
      <c r="A667" s="54"/>
      <c r="B667" s="55"/>
      <c r="C667" s="49"/>
      <c r="D667" s="54"/>
      <c r="E667" s="49"/>
      <c r="F667" s="54"/>
      <c r="G667" s="49"/>
      <c r="H667" s="49"/>
      <c r="I667" s="49"/>
      <c r="J667" s="49"/>
      <c r="K667" s="49"/>
      <c r="L667" s="49"/>
      <c r="M667" s="49"/>
      <c r="N667" s="49"/>
      <c r="O667" s="49"/>
      <c r="P667" s="49"/>
      <c r="Q667" s="49"/>
      <c r="R667" s="49"/>
      <c r="S667" s="49"/>
    </row>
    <row r="668">
      <c r="A668" s="54"/>
      <c r="B668" s="55"/>
      <c r="C668" s="49"/>
      <c r="D668" s="54"/>
      <c r="E668" s="49"/>
      <c r="F668" s="54"/>
      <c r="G668" s="49"/>
      <c r="H668" s="49"/>
      <c r="I668" s="49"/>
      <c r="J668" s="49"/>
      <c r="K668" s="49"/>
      <c r="L668" s="49"/>
      <c r="M668" s="49"/>
      <c r="N668" s="49"/>
      <c r="O668" s="49"/>
      <c r="P668" s="49"/>
      <c r="Q668" s="49"/>
      <c r="R668" s="49"/>
      <c r="S668" s="49"/>
    </row>
    <row r="669">
      <c r="A669" s="54"/>
      <c r="B669" s="55"/>
      <c r="C669" s="49"/>
      <c r="D669" s="54"/>
      <c r="E669" s="49"/>
      <c r="F669" s="54"/>
      <c r="G669" s="49"/>
      <c r="H669" s="49"/>
      <c r="I669" s="49"/>
      <c r="J669" s="49"/>
      <c r="K669" s="49"/>
      <c r="L669" s="49"/>
      <c r="M669" s="49"/>
      <c r="N669" s="49"/>
      <c r="O669" s="49"/>
      <c r="P669" s="49"/>
      <c r="Q669" s="49"/>
      <c r="R669" s="49"/>
      <c r="S669" s="49"/>
    </row>
    <row r="670">
      <c r="A670" s="54"/>
      <c r="B670" s="55"/>
      <c r="C670" s="49"/>
      <c r="D670" s="54"/>
      <c r="E670" s="49"/>
      <c r="F670" s="54"/>
      <c r="G670" s="49"/>
      <c r="H670" s="49"/>
      <c r="I670" s="49"/>
      <c r="J670" s="49"/>
      <c r="K670" s="49"/>
      <c r="L670" s="49"/>
      <c r="M670" s="49"/>
      <c r="N670" s="49"/>
      <c r="O670" s="49"/>
      <c r="P670" s="49"/>
      <c r="Q670" s="49"/>
      <c r="R670" s="49"/>
      <c r="S670" s="49"/>
    </row>
    <row r="671">
      <c r="A671" s="54"/>
      <c r="B671" s="55"/>
      <c r="C671" s="49"/>
      <c r="D671" s="54"/>
      <c r="E671" s="49"/>
      <c r="F671" s="54"/>
      <c r="G671" s="49"/>
      <c r="H671" s="49"/>
      <c r="I671" s="49"/>
      <c r="J671" s="49"/>
      <c r="K671" s="49"/>
      <c r="L671" s="49"/>
      <c r="M671" s="49"/>
      <c r="N671" s="49"/>
      <c r="O671" s="49"/>
      <c r="P671" s="49"/>
      <c r="Q671" s="49"/>
      <c r="R671" s="49"/>
      <c r="S671" s="49"/>
    </row>
    <row r="672">
      <c r="A672" s="54"/>
      <c r="B672" s="55"/>
      <c r="C672" s="49"/>
      <c r="D672" s="54"/>
      <c r="E672" s="49"/>
      <c r="F672" s="54"/>
      <c r="G672" s="49"/>
      <c r="H672" s="49"/>
      <c r="I672" s="49"/>
      <c r="J672" s="49"/>
      <c r="K672" s="49"/>
      <c r="L672" s="49"/>
      <c r="M672" s="49"/>
      <c r="N672" s="49"/>
      <c r="O672" s="49"/>
      <c r="P672" s="49"/>
      <c r="Q672" s="49"/>
      <c r="R672" s="49"/>
      <c r="S672" s="49"/>
    </row>
    <row r="673">
      <c r="A673" s="54"/>
      <c r="B673" s="55"/>
      <c r="C673" s="49"/>
      <c r="D673" s="54"/>
      <c r="E673" s="49"/>
      <c r="F673" s="54"/>
      <c r="G673" s="49"/>
      <c r="H673" s="49"/>
      <c r="I673" s="49"/>
      <c r="J673" s="49"/>
      <c r="K673" s="49"/>
      <c r="L673" s="49"/>
      <c r="M673" s="49"/>
      <c r="N673" s="49"/>
      <c r="O673" s="49"/>
      <c r="P673" s="49"/>
      <c r="Q673" s="49"/>
      <c r="R673" s="49"/>
      <c r="S673" s="49"/>
    </row>
    <row r="674">
      <c r="A674" s="54"/>
      <c r="B674" s="55"/>
      <c r="C674" s="49"/>
      <c r="D674" s="54"/>
      <c r="E674" s="49"/>
      <c r="F674" s="54"/>
      <c r="G674" s="49"/>
      <c r="H674" s="49"/>
      <c r="I674" s="49"/>
      <c r="J674" s="49"/>
      <c r="K674" s="49"/>
      <c r="L674" s="49"/>
      <c r="M674" s="49"/>
      <c r="N674" s="49"/>
      <c r="O674" s="49"/>
      <c r="P674" s="49"/>
      <c r="Q674" s="49"/>
      <c r="R674" s="49"/>
      <c r="S674" s="49"/>
    </row>
    <row r="675">
      <c r="A675" s="54"/>
      <c r="B675" s="55"/>
      <c r="C675" s="49"/>
      <c r="D675" s="54"/>
      <c r="E675" s="49"/>
      <c r="F675" s="54"/>
      <c r="G675" s="49"/>
      <c r="H675" s="49"/>
      <c r="I675" s="49"/>
      <c r="J675" s="49"/>
      <c r="K675" s="49"/>
      <c r="L675" s="49"/>
      <c r="M675" s="49"/>
      <c r="N675" s="49"/>
      <c r="O675" s="49"/>
      <c r="P675" s="49"/>
      <c r="Q675" s="49"/>
      <c r="R675" s="49"/>
      <c r="S675" s="49"/>
    </row>
    <row r="676">
      <c r="A676" s="54"/>
      <c r="B676" s="55"/>
      <c r="C676" s="49"/>
      <c r="D676" s="54"/>
      <c r="E676" s="49"/>
      <c r="F676" s="54"/>
      <c r="G676" s="49"/>
      <c r="H676" s="49"/>
      <c r="I676" s="49"/>
      <c r="J676" s="49"/>
      <c r="K676" s="49"/>
      <c r="L676" s="49"/>
      <c r="M676" s="49"/>
      <c r="N676" s="49"/>
      <c r="O676" s="49"/>
      <c r="P676" s="49"/>
      <c r="Q676" s="49"/>
      <c r="R676" s="49"/>
      <c r="S676" s="49"/>
    </row>
    <row r="677">
      <c r="A677" s="54"/>
      <c r="B677" s="55"/>
      <c r="C677" s="49"/>
      <c r="D677" s="54"/>
      <c r="E677" s="49"/>
      <c r="F677" s="54"/>
      <c r="G677" s="49"/>
      <c r="H677" s="49"/>
      <c r="I677" s="49"/>
      <c r="J677" s="49"/>
      <c r="K677" s="49"/>
      <c r="L677" s="49"/>
      <c r="M677" s="49"/>
      <c r="N677" s="49"/>
      <c r="O677" s="49"/>
      <c r="P677" s="49"/>
      <c r="Q677" s="49"/>
      <c r="R677" s="49"/>
      <c r="S677" s="49"/>
    </row>
    <row r="678">
      <c r="A678" s="54"/>
      <c r="B678" s="55"/>
      <c r="C678" s="49"/>
      <c r="D678" s="54"/>
      <c r="E678" s="49"/>
      <c r="F678" s="54"/>
      <c r="G678" s="49"/>
      <c r="H678" s="49"/>
      <c r="I678" s="49"/>
      <c r="J678" s="49"/>
      <c r="K678" s="49"/>
      <c r="L678" s="49"/>
      <c r="M678" s="49"/>
      <c r="N678" s="49"/>
      <c r="O678" s="49"/>
      <c r="P678" s="49"/>
      <c r="Q678" s="49"/>
      <c r="R678" s="49"/>
      <c r="S678" s="49"/>
    </row>
    <row r="679">
      <c r="A679" s="54"/>
      <c r="B679" s="55"/>
      <c r="C679" s="49"/>
      <c r="D679" s="54"/>
      <c r="E679" s="49"/>
      <c r="F679" s="54"/>
      <c r="G679" s="49"/>
      <c r="H679" s="49"/>
      <c r="I679" s="49"/>
      <c r="J679" s="49"/>
      <c r="K679" s="49"/>
      <c r="L679" s="49"/>
      <c r="M679" s="49"/>
      <c r="N679" s="49"/>
      <c r="O679" s="49"/>
      <c r="P679" s="49"/>
      <c r="Q679" s="49"/>
      <c r="R679" s="49"/>
      <c r="S679" s="49"/>
    </row>
    <row r="680">
      <c r="A680" s="54"/>
      <c r="B680" s="55"/>
      <c r="C680" s="49"/>
      <c r="D680" s="54"/>
      <c r="E680" s="49"/>
      <c r="F680" s="54"/>
      <c r="G680" s="49"/>
      <c r="H680" s="49"/>
      <c r="I680" s="49"/>
      <c r="J680" s="49"/>
      <c r="K680" s="49"/>
      <c r="L680" s="49"/>
      <c r="M680" s="49"/>
      <c r="N680" s="49"/>
      <c r="O680" s="49"/>
      <c r="P680" s="49"/>
      <c r="Q680" s="49"/>
      <c r="R680" s="49"/>
      <c r="S680" s="49"/>
    </row>
    <row r="681">
      <c r="A681" s="54"/>
      <c r="B681" s="55"/>
      <c r="C681" s="49"/>
      <c r="D681" s="54"/>
      <c r="E681" s="49"/>
      <c r="F681" s="54"/>
      <c r="G681" s="49"/>
      <c r="H681" s="49"/>
      <c r="I681" s="49"/>
      <c r="J681" s="49"/>
      <c r="K681" s="49"/>
      <c r="L681" s="49"/>
      <c r="M681" s="49"/>
      <c r="N681" s="49"/>
      <c r="O681" s="49"/>
      <c r="P681" s="49"/>
      <c r="Q681" s="49"/>
      <c r="R681" s="49"/>
      <c r="S681" s="49"/>
    </row>
    <row r="682">
      <c r="A682" s="54"/>
      <c r="B682" s="55"/>
      <c r="C682" s="49"/>
      <c r="D682" s="54"/>
      <c r="E682" s="49"/>
      <c r="F682" s="54"/>
      <c r="G682" s="49"/>
      <c r="H682" s="49"/>
      <c r="I682" s="49"/>
      <c r="J682" s="49"/>
      <c r="K682" s="49"/>
      <c r="L682" s="49"/>
      <c r="M682" s="49"/>
      <c r="N682" s="49"/>
      <c r="O682" s="49"/>
      <c r="P682" s="49"/>
      <c r="Q682" s="49"/>
      <c r="R682" s="49"/>
      <c r="S682" s="49"/>
    </row>
    <row r="683">
      <c r="A683" s="54"/>
      <c r="B683" s="55"/>
      <c r="C683" s="49"/>
      <c r="D683" s="54"/>
      <c r="E683" s="49"/>
      <c r="F683" s="54"/>
      <c r="G683" s="49"/>
      <c r="H683" s="49"/>
      <c r="I683" s="49"/>
      <c r="J683" s="49"/>
      <c r="K683" s="49"/>
      <c r="L683" s="49"/>
      <c r="M683" s="49"/>
      <c r="N683" s="49"/>
      <c r="O683" s="49"/>
      <c r="P683" s="49"/>
      <c r="Q683" s="49"/>
      <c r="R683" s="49"/>
      <c r="S683" s="49"/>
    </row>
    <row r="684">
      <c r="A684" s="54"/>
      <c r="B684" s="55"/>
      <c r="C684" s="49"/>
      <c r="D684" s="54"/>
      <c r="E684" s="49"/>
      <c r="F684" s="54"/>
      <c r="G684" s="49"/>
      <c r="H684" s="49"/>
      <c r="I684" s="49"/>
      <c r="J684" s="49"/>
      <c r="K684" s="49"/>
      <c r="L684" s="49"/>
      <c r="M684" s="49"/>
      <c r="N684" s="49"/>
      <c r="O684" s="49"/>
      <c r="P684" s="49"/>
      <c r="Q684" s="49"/>
      <c r="R684" s="49"/>
      <c r="S684" s="49"/>
    </row>
    <row r="685">
      <c r="A685" s="54"/>
      <c r="B685" s="55"/>
      <c r="C685" s="49"/>
      <c r="D685" s="54"/>
      <c r="E685" s="49"/>
      <c r="F685" s="54"/>
      <c r="G685" s="49"/>
      <c r="H685" s="49"/>
      <c r="I685" s="49"/>
      <c r="J685" s="49"/>
      <c r="K685" s="49"/>
      <c r="L685" s="49"/>
      <c r="M685" s="49"/>
      <c r="N685" s="49"/>
      <c r="O685" s="49"/>
      <c r="P685" s="49"/>
      <c r="Q685" s="49"/>
      <c r="R685" s="49"/>
      <c r="S685" s="49"/>
    </row>
    <row r="686">
      <c r="A686" s="54"/>
      <c r="B686" s="55"/>
      <c r="C686" s="49"/>
      <c r="D686" s="54"/>
      <c r="E686" s="49"/>
      <c r="F686" s="54"/>
      <c r="G686" s="49"/>
      <c r="H686" s="49"/>
      <c r="I686" s="49"/>
      <c r="J686" s="49"/>
      <c r="K686" s="49"/>
      <c r="L686" s="49"/>
      <c r="M686" s="49"/>
      <c r="N686" s="49"/>
      <c r="O686" s="49"/>
      <c r="P686" s="49"/>
      <c r="Q686" s="49"/>
      <c r="R686" s="49"/>
      <c r="S686" s="49"/>
    </row>
    <row r="687">
      <c r="A687" s="54"/>
      <c r="B687" s="55"/>
      <c r="C687" s="49"/>
      <c r="D687" s="54"/>
      <c r="E687" s="49"/>
      <c r="F687" s="54"/>
      <c r="G687" s="49"/>
      <c r="H687" s="49"/>
      <c r="I687" s="49"/>
      <c r="J687" s="49"/>
      <c r="K687" s="49"/>
      <c r="L687" s="49"/>
      <c r="M687" s="49"/>
      <c r="N687" s="49"/>
      <c r="O687" s="49"/>
      <c r="P687" s="49"/>
      <c r="Q687" s="49"/>
      <c r="R687" s="49"/>
      <c r="S687" s="49"/>
    </row>
    <row r="688">
      <c r="A688" s="54"/>
      <c r="B688" s="55"/>
      <c r="C688" s="49"/>
      <c r="D688" s="54"/>
      <c r="E688" s="49"/>
      <c r="F688" s="54"/>
      <c r="G688" s="49"/>
      <c r="H688" s="49"/>
      <c r="I688" s="49"/>
      <c r="J688" s="49"/>
      <c r="K688" s="49"/>
      <c r="L688" s="49"/>
      <c r="M688" s="49"/>
      <c r="N688" s="49"/>
      <c r="O688" s="49"/>
      <c r="P688" s="49"/>
      <c r="Q688" s="49"/>
      <c r="R688" s="49"/>
      <c r="S688" s="49"/>
    </row>
    <row r="689">
      <c r="A689" s="54"/>
      <c r="B689" s="55"/>
      <c r="C689" s="49"/>
      <c r="D689" s="54"/>
      <c r="E689" s="49"/>
      <c r="F689" s="54"/>
      <c r="G689" s="49"/>
      <c r="H689" s="49"/>
      <c r="I689" s="49"/>
      <c r="J689" s="49"/>
      <c r="K689" s="49"/>
      <c r="L689" s="49"/>
      <c r="M689" s="49"/>
      <c r="N689" s="49"/>
      <c r="O689" s="49"/>
      <c r="P689" s="49"/>
      <c r="Q689" s="49"/>
      <c r="R689" s="49"/>
      <c r="S689" s="49"/>
    </row>
    <row r="690">
      <c r="A690" s="54"/>
      <c r="B690" s="55"/>
      <c r="C690" s="49"/>
      <c r="D690" s="54"/>
      <c r="E690" s="49"/>
      <c r="F690" s="54"/>
      <c r="G690" s="49"/>
      <c r="H690" s="49"/>
      <c r="I690" s="49"/>
      <c r="J690" s="49"/>
      <c r="K690" s="49"/>
      <c r="L690" s="49"/>
      <c r="M690" s="49"/>
      <c r="N690" s="49"/>
      <c r="O690" s="49"/>
      <c r="P690" s="49"/>
      <c r="Q690" s="49"/>
      <c r="R690" s="49"/>
      <c r="S690" s="49"/>
    </row>
    <row r="691">
      <c r="A691" s="54"/>
      <c r="B691" s="55"/>
      <c r="C691" s="49"/>
      <c r="D691" s="54"/>
      <c r="E691" s="49"/>
      <c r="F691" s="54"/>
      <c r="G691" s="49"/>
      <c r="H691" s="49"/>
      <c r="I691" s="49"/>
      <c r="J691" s="49"/>
      <c r="K691" s="49"/>
      <c r="L691" s="49"/>
      <c r="M691" s="49"/>
      <c r="N691" s="49"/>
      <c r="O691" s="49"/>
      <c r="P691" s="49"/>
      <c r="Q691" s="49"/>
      <c r="R691" s="49"/>
      <c r="S691" s="49"/>
    </row>
    <row r="692">
      <c r="A692" s="54"/>
      <c r="B692" s="55"/>
      <c r="C692" s="49"/>
      <c r="D692" s="54"/>
      <c r="E692" s="49"/>
      <c r="F692" s="54"/>
      <c r="G692" s="49"/>
      <c r="H692" s="49"/>
      <c r="I692" s="49"/>
      <c r="J692" s="49"/>
      <c r="K692" s="49"/>
      <c r="L692" s="49"/>
      <c r="M692" s="49"/>
      <c r="N692" s="49"/>
      <c r="O692" s="49"/>
      <c r="P692" s="49"/>
      <c r="Q692" s="49"/>
      <c r="R692" s="49"/>
      <c r="S692" s="49"/>
    </row>
    <row r="693">
      <c r="A693" s="54"/>
      <c r="B693" s="55"/>
      <c r="C693" s="49"/>
      <c r="D693" s="54"/>
      <c r="E693" s="49"/>
      <c r="F693" s="54"/>
      <c r="G693" s="49"/>
      <c r="H693" s="49"/>
      <c r="I693" s="49"/>
      <c r="J693" s="49"/>
      <c r="K693" s="49"/>
      <c r="L693" s="49"/>
      <c r="M693" s="49"/>
      <c r="N693" s="49"/>
      <c r="O693" s="49"/>
      <c r="P693" s="49"/>
      <c r="Q693" s="49"/>
      <c r="R693" s="49"/>
      <c r="S693" s="49"/>
    </row>
    <row r="694">
      <c r="A694" s="54"/>
      <c r="B694" s="55"/>
      <c r="C694" s="49"/>
      <c r="D694" s="54"/>
      <c r="E694" s="49"/>
      <c r="F694" s="54"/>
      <c r="G694" s="49"/>
      <c r="H694" s="49"/>
      <c r="I694" s="49"/>
      <c r="J694" s="49"/>
      <c r="K694" s="49"/>
      <c r="L694" s="49"/>
      <c r="M694" s="49"/>
      <c r="N694" s="49"/>
      <c r="O694" s="49"/>
      <c r="P694" s="49"/>
      <c r="Q694" s="49"/>
      <c r="R694" s="49"/>
      <c r="S694" s="49"/>
    </row>
    <row r="695">
      <c r="A695" s="54"/>
      <c r="B695" s="55"/>
      <c r="C695" s="49"/>
      <c r="D695" s="54"/>
      <c r="E695" s="49"/>
      <c r="F695" s="54"/>
      <c r="G695" s="49"/>
      <c r="H695" s="49"/>
      <c r="I695" s="49"/>
      <c r="J695" s="49"/>
      <c r="K695" s="49"/>
      <c r="L695" s="49"/>
      <c r="M695" s="49"/>
      <c r="N695" s="49"/>
      <c r="O695" s="49"/>
      <c r="P695" s="49"/>
      <c r="Q695" s="49"/>
      <c r="R695" s="49"/>
      <c r="S695" s="49"/>
    </row>
    <row r="696">
      <c r="A696" s="54"/>
      <c r="B696" s="55"/>
      <c r="C696" s="49"/>
      <c r="D696" s="54"/>
      <c r="E696" s="49"/>
      <c r="F696" s="54"/>
      <c r="G696" s="49"/>
      <c r="H696" s="49"/>
      <c r="I696" s="49"/>
      <c r="J696" s="49"/>
      <c r="K696" s="49"/>
      <c r="L696" s="49"/>
      <c r="M696" s="49"/>
      <c r="N696" s="49"/>
      <c r="O696" s="49"/>
      <c r="P696" s="49"/>
      <c r="Q696" s="49"/>
      <c r="R696" s="49"/>
      <c r="S696" s="49"/>
    </row>
    <row r="697">
      <c r="A697" s="54"/>
      <c r="B697" s="55"/>
      <c r="C697" s="49"/>
      <c r="D697" s="54"/>
      <c r="E697" s="49"/>
      <c r="F697" s="54"/>
      <c r="G697" s="49"/>
      <c r="H697" s="49"/>
      <c r="I697" s="49"/>
      <c r="J697" s="49"/>
      <c r="K697" s="49"/>
      <c r="L697" s="49"/>
      <c r="M697" s="49"/>
      <c r="N697" s="49"/>
      <c r="O697" s="49"/>
      <c r="P697" s="49"/>
      <c r="Q697" s="49"/>
      <c r="R697" s="49"/>
      <c r="S697" s="49"/>
    </row>
    <row r="698">
      <c r="A698" s="54"/>
      <c r="B698" s="55"/>
      <c r="C698" s="49"/>
      <c r="D698" s="54"/>
      <c r="E698" s="49"/>
      <c r="F698" s="54"/>
      <c r="G698" s="49"/>
      <c r="H698" s="49"/>
      <c r="I698" s="49"/>
      <c r="J698" s="49"/>
      <c r="K698" s="49"/>
      <c r="L698" s="49"/>
      <c r="M698" s="49"/>
      <c r="N698" s="49"/>
      <c r="O698" s="49"/>
      <c r="P698" s="49"/>
      <c r="Q698" s="49"/>
      <c r="R698" s="49"/>
      <c r="S698" s="49"/>
    </row>
    <row r="699">
      <c r="A699" s="54"/>
      <c r="B699" s="55"/>
      <c r="C699" s="49"/>
      <c r="D699" s="54"/>
      <c r="E699" s="49"/>
      <c r="F699" s="54"/>
      <c r="G699" s="49"/>
      <c r="H699" s="49"/>
      <c r="I699" s="49"/>
      <c r="J699" s="49"/>
      <c r="K699" s="49"/>
      <c r="L699" s="49"/>
      <c r="M699" s="49"/>
      <c r="N699" s="49"/>
      <c r="O699" s="49"/>
      <c r="P699" s="49"/>
      <c r="Q699" s="49"/>
      <c r="R699" s="49"/>
      <c r="S699" s="49"/>
    </row>
    <row r="700">
      <c r="A700" s="54"/>
      <c r="B700" s="55"/>
      <c r="C700" s="49"/>
      <c r="D700" s="54"/>
      <c r="E700" s="49"/>
      <c r="F700" s="54"/>
      <c r="G700" s="49"/>
      <c r="H700" s="49"/>
      <c r="I700" s="49"/>
      <c r="J700" s="49"/>
      <c r="K700" s="49"/>
      <c r="L700" s="49"/>
      <c r="M700" s="49"/>
      <c r="N700" s="49"/>
      <c r="O700" s="49"/>
      <c r="P700" s="49"/>
      <c r="Q700" s="49"/>
      <c r="R700" s="49"/>
      <c r="S700" s="49"/>
    </row>
    <row r="701">
      <c r="A701" s="54"/>
      <c r="B701" s="55"/>
      <c r="C701" s="49"/>
      <c r="D701" s="54"/>
      <c r="E701" s="49"/>
      <c r="F701" s="54"/>
      <c r="G701" s="49"/>
      <c r="H701" s="49"/>
      <c r="I701" s="49"/>
      <c r="J701" s="49"/>
      <c r="K701" s="49"/>
      <c r="L701" s="49"/>
      <c r="M701" s="49"/>
      <c r="N701" s="49"/>
      <c r="O701" s="49"/>
      <c r="P701" s="49"/>
      <c r="Q701" s="49"/>
      <c r="R701" s="49"/>
      <c r="S701" s="49"/>
    </row>
    <row r="702">
      <c r="A702" s="54"/>
      <c r="B702" s="55"/>
      <c r="C702" s="49"/>
      <c r="D702" s="54"/>
      <c r="E702" s="49"/>
      <c r="F702" s="54"/>
      <c r="G702" s="49"/>
      <c r="H702" s="49"/>
      <c r="I702" s="49"/>
      <c r="J702" s="49"/>
      <c r="K702" s="49"/>
      <c r="L702" s="49"/>
      <c r="M702" s="49"/>
      <c r="N702" s="49"/>
      <c r="O702" s="49"/>
      <c r="P702" s="49"/>
      <c r="Q702" s="49"/>
      <c r="R702" s="49"/>
      <c r="S702" s="49"/>
    </row>
    <row r="703">
      <c r="A703" s="54"/>
      <c r="B703" s="55"/>
      <c r="C703" s="49"/>
      <c r="D703" s="54"/>
      <c r="E703" s="49"/>
      <c r="F703" s="54"/>
      <c r="G703" s="49"/>
      <c r="H703" s="49"/>
      <c r="I703" s="49"/>
      <c r="J703" s="49"/>
      <c r="K703" s="49"/>
      <c r="L703" s="49"/>
      <c r="M703" s="49"/>
      <c r="N703" s="49"/>
      <c r="O703" s="49"/>
      <c r="P703" s="49"/>
      <c r="Q703" s="49"/>
      <c r="R703" s="49"/>
      <c r="S703" s="49"/>
    </row>
    <row r="704">
      <c r="A704" s="54"/>
      <c r="B704" s="55"/>
      <c r="C704" s="49"/>
      <c r="D704" s="54"/>
      <c r="E704" s="49"/>
      <c r="F704" s="54"/>
      <c r="G704" s="49"/>
      <c r="H704" s="49"/>
      <c r="I704" s="49"/>
      <c r="J704" s="49"/>
      <c r="K704" s="49"/>
      <c r="L704" s="49"/>
      <c r="M704" s="49"/>
      <c r="N704" s="49"/>
      <c r="O704" s="49"/>
      <c r="P704" s="49"/>
      <c r="Q704" s="49"/>
      <c r="R704" s="49"/>
      <c r="S704" s="49"/>
    </row>
    <row r="705">
      <c r="A705" s="54"/>
      <c r="B705" s="55"/>
      <c r="C705" s="49"/>
      <c r="D705" s="54"/>
      <c r="E705" s="49"/>
      <c r="F705" s="54"/>
      <c r="G705" s="49"/>
      <c r="H705" s="49"/>
      <c r="I705" s="49"/>
      <c r="J705" s="49"/>
      <c r="K705" s="49"/>
      <c r="L705" s="49"/>
      <c r="M705" s="49"/>
      <c r="N705" s="49"/>
      <c r="O705" s="49"/>
      <c r="P705" s="49"/>
      <c r="Q705" s="49"/>
      <c r="R705" s="49"/>
      <c r="S705" s="49"/>
    </row>
    <row r="706">
      <c r="A706" s="54"/>
      <c r="B706" s="55"/>
      <c r="C706" s="49"/>
      <c r="D706" s="54"/>
      <c r="E706" s="49"/>
      <c r="F706" s="54"/>
      <c r="G706" s="49"/>
      <c r="H706" s="49"/>
      <c r="I706" s="49"/>
      <c r="J706" s="49"/>
      <c r="K706" s="49"/>
      <c r="L706" s="49"/>
      <c r="M706" s="49"/>
      <c r="N706" s="49"/>
      <c r="O706" s="49"/>
      <c r="P706" s="49"/>
      <c r="Q706" s="49"/>
      <c r="R706" s="49"/>
      <c r="S706" s="49"/>
    </row>
    <row r="707">
      <c r="A707" s="54"/>
      <c r="B707" s="55"/>
      <c r="C707" s="49"/>
      <c r="D707" s="54"/>
      <c r="E707" s="49"/>
      <c r="F707" s="54"/>
      <c r="G707" s="49"/>
      <c r="H707" s="49"/>
      <c r="I707" s="49"/>
      <c r="J707" s="49"/>
      <c r="K707" s="49"/>
      <c r="L707" s="49"/>
      <c r="M707" s="49"/>
      <c r="N707" s="49"/>
      <c r="O707" s="49"/>
      <c r="P707" s="49"/>
      <c r="Q707" s="49"/>
      <c r="R707" s="49"/>
      <c r="S707" s="49"/>
    </row>
    <row r="708">
      <c r="A708" s="54"/>
      <c r="B708" s="55"/>
      <c r="C708" s="49"/>
      <c r="D708" s="54"/>
      <c r="E708" s="49"/>
      <c r="F708" s="54"/>
      <c r="G708" s="49"/>
      <c r="H708" s="49"/>
      <c r="I708" s="49"/>
      <c r="J708" s="49"/>
      <c r="K708" s="49"/>
      <c r="L708" s="49"/>
      <c r="M708" s="49"/>
      <c r="N708" s="49"/>
      <c r="O708" s="49"/>
      <c r="P708" s="49"/>
      <c r="Q708" s="49"/>
      <c r="R708" s="49"/>
      <c r="S708" s="49"/>
    </row>
    <row r="709">
      <c r="A709" s="54"/>
      <c r="B709" s="55"/>
      <c r="C709" s="49"/>
      <c r="D709" s="54"/>
      <c r="E709" s="49"/>
      <c r="F709" s="54"/>
      <c r="G709" s="49"/>
      <c r="H709" s="49"/>
      <c r="I709" s="49"/>
      <c r="J709" s="49"/>
      <c r="K709" s="49"/>
      <c r="L709" s="49"/>
      <c r="M709" s="49"/>
      <c r="N709" s="49"/>
      <c r="O709" s="49"/>
      <c r="P709" s="49"/>
      <c r="Q709" s="49"/>
      <c r="R709" s="49"/>
      <c r="S709" s="49"/>
    </row>
    <row r="710">
      <c r="A710" s="54"/>
      <c r="B710" s="55"/>
      <c r="C710" s="49"/>
      <c r="D710" s="54"/>
      <c r="E710" s="49"/>
      <c r="F710" s="54"/>
      <c r="G710" s="49"/>
      <c r="H710" s="49"/>
      <c r="I710" s="49"/>
      <c r="J710" s="49"/>
      <c r="K710" s="49"/>
      <c r="L710" s="49"/>
      <c r="M710" s="49"/>
      <c r="N710" s="49"/>
      <c r="O710" s="49"/>
      <c r="P710" s="49"/>
      <c r="Q710" s="49"/>
      <c r="R710" s="49"/>
      <c r="S710" s="49"/>
    </row>
    <row r="711">
      <c r="A711" s="54"/>
      <c r="B711" s="55"/>
      <c r="C711" s="49"/>
      <c r="D711" s="54"/>
      <c r="E711" s="49"/>
      <c r="F711" s="54"/>
      <c r="G711" s="49"/>
      <c r="H711" s="49"/>
      <c r="I711" s="49"/>
      <c r="J711" s="49"/>
      <c r="K711" s="49"/>
      <c r="L711" s="49"/>
      <c r="M711" s="49"/>
      <c r="N711" s="49"/>
      <c r="O711" s="49"/>
      <c r="P711" s="49"/>
      <c r="Q711" s="49"/>
      <c r="R711" s="49"/>
      <c r="S711" s="49"/>
    </row>
    <row r="712">
      <c r="A712" s="54"/>
      <c r="B712" s="55"/>
      <c r="C712" s="49"/>
      <c r="D712" s="54"/>
      <c r="E712" s="49"/>
      <c r="F712" s="54"/>
      <c r="G712" s="49"/>
      <c r="H712" s="49"/>
      <c r="I712" s="49"/>
      <c r="J712" s="49"/>
      <c r="K712" s="49"/>
      <c r="L712" s="49"/>
      <c r="M712" s="49"/>
      <c r="N712" s="49"/>
      <c r="O712" s="49"/>
      <c r="P712" s="49"/>
      <c r="Q712" s="49"/>
      <c r="R712" s="49"/>
      <c r="S712" s="49"/>
    </row>
    <row r="713">
      <c r="A713" s="54"/>
      <c r="B713" s="55"/>
      <c r="C713" s="49"/>
      <c r="D713" s="54"/>
      <c r="E713" s="49"/>
      <c r="F713" s="54"/>
      <c r="G713" s="49"/>
      <c r="H713" s="49"/>
      <c r="I713" s="49"/>
      <c r="J713" s="49"/>
      <c r="K713" s="49"/>
      <c r="L713" s="49"/>
      <c r="M713" s="49"/>
      <c r="N713" s="49"/>
      <c r="O713" s="49"/>
      <c r="P713" s="49"/>
      <c r="Q713" s="49"/>
      <c r="R713" s="49"/>
      <c r="S713" s="49"/>
    </row>
    <row r="714">
      <c r="A714" s="54"/>
      <c r="B714" s="55"/>
      <c r="C714" s="49"/>
      <c r="D714" s="54"/>
      <c r="E714" s="49"/>
      <c r="F714" s="54"/>
      <c r="G714" s="49"/>
      <c r="H714" s="49"/>
      <c r="I714" s="49"/>
      <c r="J714" s="49"/>
      <c r="K714" s="49"/>
      <c r="L714" s="49"/>
      <c r="M714" s="49"/>
      <c r="N714" s="49"/>
      <c r="O714" s="49"/>
      <c r="P714" s="49"/>
      <c r="Q714" s="49"/>
      <c r="R714" s="49"/>
      <c r="S714" s="49"/>
    </row>
    <row r="715">
      <c r="A715" s="54"/>
      <c r="B715" s="55"/>
      <c r="C715" s="49"/>
      <c r="D715" s="54"/>
      <c r="E715" s="49"/>
      <c r="F715" s="54"/>
      <c r="G715" s="49"/>
      <c r="H715" s="49"/>
      <c r="I715" s="49"/>
      <c r="J715" s="49"/>
      <c r="K715" s="49"/>
      <c r="L715" s="49"/>
      <c r="M715" s="49"/>
      <c r="N715" s="49"/>
      <c r="O715" s="49"/>
      <c r="P715" s="49"/>
      <c r="Q715" s="49"/>
      <c r="R715" s="49"/>
      <c r="S715" s="49"/>
    </row>
    <row r="716">
      <c r="A716" s="54"/>
      <c r="B716" s="55"/>
      <c r="C716" s="49"/>
      <c r="D716" s="54"/>
      <c r="E716" s="49"/>
      <c r="F716" s="54"/>
      <c r="G716" s="49"/>
      <c r="H716" s="49"/>
      <c r="I716" s="49"/>
      <c r="J716" s="49"/>
      <c r="K716" s="49"/>
      <c r="L716" s="49"/>
      <c r="M716" s="49"/>
      <c r="N716" s="49"/>
      <c r="O716" s="49"/>
      <c r="P716" s="49"/>
      <c r="Q716" s="49"/>
      <c r="R716" s="49"/>
      <c r="S716" s="49"/>
    </row>
    <row r="717">
      <c r="A717" s="54"/>
      <c r="B717" s="55"/>
      <c r="C717" s="49"/>
      <c r="D717" s="54"/>
      <c r="E717" s="49"/>
      <c r="F717" s="54"/>
      <c r="G717" s="49"/>
      <c r="H717" s="49"/>
      <c r="I717" s="49"/>
      <c r="J717" s="49"/>
      <c r="K717" s="49"/>
      <c r="L717" s="49"/>
      <c r="M717" s="49"/>
      <c r="N717" s="49"/>
      <c r="O717" s="49"/>
      <c r="P717" s="49"/>
      <c r="Q717" s="49"/>
      <c r="R717" s="49"/>
      <c r="S717" s="49"/>
    </row>
    <row r="718">
      <c r="A718" s="54"/>
      <c r="B718" s="55"/>
      <c r="C718" s="49"/>
      <c r="D718" s="54"/>
      <c r="E718" s="49"/>
      <c r="F718" s="54"/>
      <c r="G718" s="49"/>
      <c r="H718" s="49"/>
      <c r="I718" s="49"/>
      <c r="J718" s="49"/>
      <c r="K718" s="49"/>
      <c r="L718" s="49"/>
      <c r="M718" s="49"/>
      <c r="N718" s="49"/>
      <c r="O718" s="49"/>
      <c r="P718" s="49"/>
      <c r="Q718" s="49"/>
      <c r="R718" s="49"/>
      <c r="S718" s="49"/>
    </row>
    <row r="719">
      <c r="A719" s="54"/>
      <c r="B719" s="55"/>
      <c r="C719" s="49"/>
      <c r="D719" s="54"/>
      <c r="E719" s="49"/>
      <c r="F719" s="54"/>
      <c r="G719" s="49"/>
      <c r="H719" s="49"/>
      <c r="I719" s="49"/>
      <c r="J719" s="49"/>
      <c r="K719" s="49"/>
      <c r="L719" s="49"/>
      <c r="M719" s="49"/>
      <c r="N719" s="49"/>
      <c r="O719" s="49"/>
      <c r="P719" s="49"/>
      <c r="Q719" s="49"/>
      <c r="R719" s="49"/>
      <c r="S719" s="49"/>
    </row>
    <row r="720">
      <c r="A720" s="54"/>
      <c r="B720" s="55"/>
      <c r="C720" s="49"/>
      <c r="D720" s="54"/>
      <c r="E720" s="49"/>
      <c r="F720" s="54"/>
      <c r="G720" s="49"/>
      <c r="H720" s="49"/>
      <c r="I720" s="49"/>
      <c r="J720" s="49"/>
      <c r="K720" s="49"/>
      <c r="L720" s="49"/>
      <c r="M720" s="49"/>
      <c r="N720" s="49"/>
      <c r="O720" s="49"/>
      <c r="P720" s="49"/>
      <c r="Q720" s="49"/>
      <c r="R720" s="49"/>
      <c r="S720" s="49"/>
    </row>
    <row r="721">
      <c r="A721" s="54"/>
      <c r="B721" s="55"/>
      <c r="C721" s="49"/>
      <c r="D721" s="54"/>
      <c r="E721" s="49"/>
      <c r="F721" s="54"/>
      <c r="G721" s="49"/>
      <c r="H721" s="49"/>
      <c r="I721" s="49"/>
      <c r="J721" s="49"/>
      <c r="K721" s="49"/>
      <c r="L721" s="49"/>
      <c r="M721" s="49"/>
      <c r="N721" s="49"/>
      <c r="O721" s="49"/>
      <c r="P721" s="49"/>
      <c r="Q721" s="49"/>
      <c r="R721" s="49"/>
      <c r="S721" s="49"/>
    </row>
    <row r="722">
      <c r="A722" s="54"/>
      <c r="B722" s="55"/>
      <c r="C722" s="49"/>
      <c r="D722" s="54"/>
      <c r="E722" s="49"/>
      <c r="F722" s="54"/>
      <c r="G722" s="49"/>
      <c r="H722" s="49"/>
      <c r="I722" s="49"/>
      <c r="J722" s="49"/>
      <c r="K722" s="49"/>
      <c r="L722" s="49"/>
      <c r="M722" s="49"/>
      <c r="N722" s="49"/>
      <c r="O722" s="49"/>
      <c r="P722" s="49"/>
      <c r="Q722" s="49"/>
      <c r="R722" s="49"/>
      <c r="S722" s="49"/>
    </row>
    <row r="723">
      <c r="A723" s="54"/>
      <c r="B723" s="55"/>
      <c r="C723" s="49"/>
      <c r="D723" s="54"/>
      <c r="E723" s="49"/>
      <c r="F723" s="54"/>
      <c r="G723" s="49"/>
      <c r="H723" s="49"/>
      <c r="I723" s="49"/>
      <c r="J723" s="49"/>
      <c r="K723" s="49"/>
      <c r="L723" s="49"/>
      <c r="M723" s="49"/>
      <c r="N723" s="49"/>
      <c r="O723" s="49"/>
      <c r="P723" s="49"/>
      <c r="Q723" s="49"/>
      <c r="R723" s="49"/>
      <c r="S723" s="49"/>
    </row>
    <row r="724">
      <c r="A724" s="54"/>
      <c r="B724" s="55"/>
      <c r="C724" s="49"/>
      <c r="D724" s="54"/>
      <c r="E724" s="49"/>
      <c r="F724" s="54"/>
      <c r="G724" s="49"/>
      <c r="H724" s="49"/>
      <c r="I724" s="49"/>
      <c r="J724" s="49"/>
      <c r="K724" s="49"/>
      <c r="L724" s="49"/>
      <c r="M724" s="49"/>
      <c r="N724" s="49"/>
      <c r="O724" s="49"/>
      <c r="P724" s="49"/>
      <c r="Q724" s="49"/>
      <c r="R724" s="49"/>
      <c r="S724" s="49"/>
    </row>
    <row r="725">
      <c r="A725" s="54"/>
      <c r="B725" s="55"/>
      <c r="C725" s="49"/>
      <c r="D725" s="54"/>
      <c r="E725" s="49"/>
      <c r="F725" s="54"/>
      <c r="G725" s="49"/>
      <c r="H725" s="49"/>
      <c r="I725" s="49"/>
      <c r="J725" s="49"/>
      <c r="K725" s="49"/>
      <c r="L725" s="49"/>
      <c r="M725" s="49"/>
      <c r="N725" s="49"/>
      <c r="O725" s="49"/>
      <c r="P725" s="49"/>
      <c r="Q725" s="49"/>
      <c r="R725" s="49"/>
      <c r="S725" s="49"/>
    </row>
    <row r="726">
      <c r="A726" s="54"/>
      <c r="B726" s="55"/>
      <c r="C726" s="49"/>
      <c r="D726" s="54"/>
      <c r="E726" s="49"/>
      <c r="F726" s="54"/>
      <c r="G726" s="49"/>
      <c r="H726" s="49"/>
      <c r="I726" s="49"/>
      <c r="J726" s="49"/>
      <c r="K726" s="49"/>
      <c r="L726" s="49"/>
      <c r="M726" s="49"/>
      <c r="N726" s="49"/>
      <c r="O726" s="49"/>
      <c r="P726" s="49"/>
      <c r="Q726" s="49"/>
      <c r="R726" s="49"/>
      <c r="S726" s="49"/>
    </row>
    <row r="727">
      <c r="A727" s="54"/>
      <c r="B727" s="55"/>
      <c r="C727" s="49"/>
      <c r="D727" s="54"/>
      <c r="E727" s="49"/>
      <c r="F727" s="54"/>
      <c r="G727" s="49"/>
      <c r="H727" s="49"/>
      <c r="I727" s="49"/>
      <c r="J727" s="49"/>
      <c r="K727" s="49"/>
      <c r="L727" s="49"/>
      <c r="M727" s="49"/>
      <c r="N727" s="49"/>
      <c r="O727" s="49"/>
      <c r="P727" s="49"/>
      <c r="Q727" s="49"/>
      <c r="R727" s="49"/>
      <c r="S727" s="49"/>
    </row>
    <row r="728">
      <c r="A728" s="54"/>
      <c r="B728" s="55"/>
      <c r="C728" s="49"/>
      <c r="D728" s="54"/>
      <c r="E728" s="49"/>
      <c r="F728" s="54"/>
      <c r="G728" s="49"/>
      <c r="H728" s="49"/>
      <c r="I728" s="49"/>
      <c r="J728" s="49"/>
      <c r="K728" s="49"/>
      <c r="L728" s="49"/>
      <c r="M728" s="49"/>
      <c r="N728" s="49"/>
      <c r="O728" s="49"/>
      <c r="P728" s="49"/>
      <c r="Q728" s="49"/>
      <c r="R728" s="49"/>
      <c r="S728" s="49"/>
    </row>
    <row r="729">
      <c r="A729" s="54"/>
      <c r="B729" s="55"/>
      <c r="C729" s="49"/>
      <c r="D729" s="54"/>
      <c r="E729" s="49"/>
      <c r="F729" s="54"/>
      <c r="G729" s="49"/>
      <c r="H729" s="49"/>
      <c r="I729" s="49"/>
      <c r="J729" s="49"/>
      <c r="K729" s="49"/>
      <c r="L729" s="49"/>
      <c r="M729" s="49"/>
      <c r="N729" s="49"/>
      <c r="O729" s="49"/>
      <c r="P729" s="49"/>
      <c r="Q729" s="49"/>
      <c r="R729" s="49"/>
      <c r="S729" s="49"/>
    </row>
    <row r="730">
      <c r="A730" s="54"/>
      <c r="B730" s="55"/>
      <c r="C730" s="49"/>
      <c r="D730" s="54"/>
      <c r="E730" s="49"/>
      <c r="F730" s="54"/>
      <c r="G730" s="49"/>
      <c r="H730" s="49"/>
      <c r="I730" s="49"/>
      <c r="J730" s="49"/>
      <c r="K730" s="49"/>
      <c r="L730" s="49"/>
      <c r="M730" s="49"/>
      <c r="N730" s="49"/>
      <c r="O730" s="49"/>
      <c r="P730" s="49"/>
      <c r="Q730" s="49"/>
      <c r="R730" s="49"/>
      <c r="S730" s="49"/>
    </row>
    <row r="731">
      <c r="A731" s="54"/>
      <c r="B731" s="55"/>
      <c r="C731" s="49"/>
      <c r="D731" s="54"/>
      <c r="E731" s="49"/>
      <c r="F731" s="54"/>
      <c r="G731" s="49"/>
      <c r="H731" s="49"/>
      <c r="I731" s="49"/>
      <c r="J731" s="49"/>
      <c r="K731" s="49"/>
      <c r="L731" s="49"/>
      <c r="M731" s="49"/>
      <c r="N731" s="49"/>
      <c r="O731" s="49"/>
      <c r="P731" s="49"/>
      <c r="Q731" s="49"/>
      <c r="R731" s="49"/>
      <c r="S731" s="49"/>
    </row>
    <row r="732">
      <c r="A732" s="54"/>
      <c r="B732" s="55"/>
      <c r="C732" s="49"/>
      <c r="D732" s="54"/>
      <c r="E732" s="49"/>
      <c r="F732" s="54"/>
      <c r="G732" s="49"/>
      <c r="H732" s="49"/>
      <c r="I732" s="49"/>
      <c r="J732" s="49"/>
      <c r="K732" s="49"/>
      <c r="L732" s="49"/>
      <c r="M732" s="49"/>
      <c r="N732" s="49"/>
      <c r="O732" s="49"/>
      <c r="P732" s="49"/>
      <c r="Q732" s="49"/>
      <c r="R732" s="49"/>
      <c r="S732" s="49"/>
    </row>
    <row r="733">
      <c r="A733" s="54"/>
      <c r="B733" s="55"/>
      <c r="C733" s="49"/>
      <c r="D733" s="54"/>
      <c r="E733" s="49"/>
      <c r="F733" s="54"/>
      <c r="G733" s="49"/>
      <c r="H733" s="49"/>
      <c r="I733" s="49"/>
      <c r="J733" s="49"/>
      <c r="K733" s="49"/>
      <c r="L733" s="49"/>
      <c r="M733" s="49"/>
      <c r="N733" s="49"/>
      <c r="O733" s="49"/>
      <c r="P733" s="49"/>
      <c r="Q733" s="49"/>
      <c r="R733" s="49"/>
      <c r="S733" s="49"/>
    </row>
    <row r="734">
      <c r="A734" s="54"/>
      <c r="B734" s="55"/>
      <c r="C734" s="49"/>
      <c r="D734" s="54"/>
      <c r="E734" s="49"/>
      <c r="F734" s="54"/>
      <c r="G734" s="49"/>
      <c r="H734" s="49"/>
      <c r="I734" s="49"/>
      <c r="J734" s="49"/>
      <c r="K734" s="49"/>
      <c r="L734" s="49"/>
      <c r="M734" s="49"/>
      <c r="N734" s="49"/>
      <c r="O734" s="49"/>
      <c r="P734" s="49"/>
      <c r="Q734" s="49"/>
      <c r="R734" s="49"/>
      <c r="S734" s="49"/>
    </row>
    <row r="735">
      <c r="A735" s="54"/>
      <c r="B735" s="55"/>
      <c r="C735" s="49"/>
      <c r="D735" s="54"/>
      <c r="E735" s="49"/>
      <c r="F735" s="54"/>
      <c r="G735" s="49"/>
      <c r="H735" s="49"/>
      <c r="I735" s="49"/>
      <c r="J735" s="49"/>
      <c r="K735" s="49"/>
      <c r="L735" s="49"/>
      <c r="M735" s="49"/>
      <c r="N735" s="49"/>
      <c r="O735" s="49"/>
      <c r="P735" s="49"/>
      <c r="Q735" s="49"/>
      <c r="R735" s="49"/>
      <c r="S735" s="49"/>
    </row>
    <row r="736">
      <c r="A736" s="54"/>
      <c r="B736" s="55"/>
      <c r="C736" s="49"/>
      <c r="D736" s="54"/>
      <c r="E736" s="49"/>
      <c r="F736" s="54"/>
      <c r="G736" s="49"/>
      <c r="H736" s="49"/>
      <c r="I736" s="49"/>
      <c r="J736" s="49"/>
      <c r="K736" s="49"/>
      <c r="L736" s="49"/>
      <c r="M736" s="49"/>
      <c r="N736" s="49"/>
      <c r="O736" s="49"/>
      <c r="P736" s="49"/>
      <c r="Q736" s="49"/>
      <c r="R736" s="49"/>
      <c r="S736" s="49"/>
    </row>
    <row r="737">
      <c r="A737" s="54"/>
      <c r="B737" s="55"/>
      <c r="C737" s="49"/>
      <c r="D737" s="54"/>
      <c r="E737" s="49"/>
      <c r="F737" s="54"/>
      <c r="G737" s="49"/>
      <c r="H737" s="49"/>
      <c r="I737" s="49"/>
      <c r="J737" s="49"/>
      <c r="K737" s="49"/>
      <c r="L737" s="49"/>
      <c r="M737" s="49"/>
      <c r="N737" s="49"/>
      <c r="O737" s="49"/>
      <c r="P737" s="49"/>
      <c r="Q737" s="49"/>
      <c r="R737" s="49"/>
      <c r="S737" s="49"/>
    </row>
    <row r="738">
      <c r="A738" s="54"/>
      <c r="B738" s="55"/>
      <c r="C738" s="49"/>
      <c r="D738" s="54"/>
      <c r="E738" s="49"/>
      <c r="F738" s="54"/>
      <c r="G738" s="49"/>
      <c r="H738" s="49"/>
      <c r="I738" s="49"/>
      <c r="J738" s="49"/>
      <c r="K738" s="49"/>
      <c r="L738" s="49"/>
      <c r="M738" s="49"/>
      <c r="N738" s="49"/>
      <c r="O738" s="49"/>
      <c r="P738" s="49"/>
      <c r="Q738" s="49"/>
      <c r="R738" s="49"/>
      <c r="S738" s="49"/>
    </row>
    <row r="739">
      <c r="A739" s="54"/>
      <c r="B739" s="55"/>
      <c r="C739" s="49"/>
      <c r="D739" s="54"/>
      <c r="E739" s="49"/>
      <c r="F739" s="54"/>
      <c r="G739" s="49"/>
      <c r="H739" s="49"/>
      <c r="I739" s="49"/>
      <c r="J739" s="49"/>
      <c r="K739" s="49"/>
      <c r="L739" s="49"/>
      <c r="M739" s="49"/>
      <c r="N739" s="49"/>
      <c r="O739" s="49"/>
      <c r="P739" s="49"/>
      <c r="Q739" s="49"/>
      <c r="R739" s="49"/>
      <c r="S739" s="49"/>
    </row>
    <row r="740">
      <c r="A740" s="54"/>
      <c r="B740" s="55"/>
      <c r="C740" s="49"/>
      <c r="D740" s="54"/>
      <c r="E740" s="49"/>
      <c r="F740" s="54"/>
      <c r="G740" s="49"/>
      <c r="H740" s="49"/>
      <c r="I740" s="49"/>
      <c r="J740" s="49"/>
      <c r="K740" s="49"/>
      <c r="L740" s="49"/>
      <c r="M740" s="49"/>
      <c r="N740" s="49"/>
      <c r="O740" s="49"/>
      <c r="P740" s="49"/>
      <c r="Q740" s="49"/>
      <c r="R740" s="49"/>
      <c r="S740" s="49"/>
    </row>
    <row r="741">
      <c r="A741" s="54"/>
      <c r="B741" s="55"/>
      <c r="C741" s="49"/>
      <c r="D741" s="54"/>
      <c r="E741" s="49"/>
      <c r="F741" s="54"/>
      <c r="G741" s="49"/>
      <c r="H741" s="49"/>
      <c r="I741" s="49"/>
      <c r="J741" s="49"/>
      <c r="K741" s="49"/>
      <c r="L741" s="49"/>
      <c r="M741" s="49"/>
      <c r="N741" s="49"/>
      <c r="O741" s="49"/>
      <c r="P741" s="49"/>
      <c r="Q741" s="49"/>
      <c r="R741" s="49"/>
      <c r="S741" s="49"/>
    </row>
    <row r="742">
      <c r="A742" s="54"/>
      <c r="B742" s="55"/>
      <c r="C742" s="49"/>
      <c r="D742" s="54"/>
      <c r="E742" s="49"/>
      <c r="F742" s="54"/>
      <c r="G742" s="49"/>
      <c r="H742" s="49"/>
      <c r="I742" s="49"/>
      <c r="J742" s="49"/>
      <c r="K742" s="49"/>
      <c r="L742" s="49"/>
      <c r="M742" s="49"/>
      <c r="N742" s="49"/>
      <c r="O742" s="49"/>
      <c r="P742" s="49"/>
      <c r="Q742" s="49"/>
      <c r="R742" s="49"/>
      <c r="S742" s="49"/>
    </row>
    <row r="743">
      <c r="A743" s="54"/>
      <c r="B743" s="55"/>
      <c r="C743" s="49"/>
      <c r="D743" s="54"/>
      <c r="E743" s="49"/>
      <c r="F743" s="54"/>
      <c r="G743" s="49"/>
      <c r="H743" s="49"/>
      <c r="I743" s="49"/>
      <c r="J743" s="49"/>
      <c r="K743" s="49"/>
      <c r="L743" s="49"/>
      <c r="M743" s="49"/>
      <c r="N743" s="49"/>
      <c r="O743" s="49"/>
      <c r="P743" s="49"/>
      <c r="Q743" s="49"/>
      <c r="R743" s="49"/>
      <c r="S743" s="49"/>
    </row>
    <row r="744">
      <c r="A744" s="54"/>
      <c r="B744" s="55"/>
      <c r="C744" s="49"/>
      <c r="D744" s="54"/>
      <c r="E744" s="49"/>
      <c r="F744" s="54"/>
      <c r="G744" s="49"/>
      <c r="H744" s="49"/>
      <c r="I744" s="49"/>
      <c r="J744" s="49"/>
      <c r="K744" s="49"/>
      <c r="L744" s="49"/>
      <c r="M744" s="49"/>
      <c r="N744" s="49"/>
      <c r="O744" s="49"/>
      <c r="P744" s="49"/>
      <c r="Q744" s="49"/>
      <c r="R744" s="49"/>
      <c r="S744" s="49"/>
    </row>
    <row r="745">
      <c r="A745" s="54"/>
      <c r="B745" s="55"/>
      <c r="C745" s="49"/>
      <c r="D745" s="54"/>
      <c r="E745" s="49"/>
      <c r="F745" s="54"/>
      <c r="G745" s="49"/>
      <c r="H745" s="49"/>
      <c r="I745" s="49"/>
      <c r="J745" s="49"/>
      <c r="K745" s="49"/>
      <c r="L745" s="49"/>
      <c r="M745" s="49"/>
      <c r="N745" s="49"/>
      <c r="O745" s="49"/>
      <c r="P745" s="49"/>
      <c r="Q745" s="49"/>
      <c r="R745" s="49"/>
      <c r="S745" s="49"/>
    </row>
    <row r="746">
      <c r="A746" s="54"/>
      <c r="B746" s="55"/>
      <c r="C746" s="49"/>
      <c r="D746" s="54"/>
      <c r="E746" s="49"/>
      <c r="F746" s="54"/>
      <c r="G746" s="49"/>
      <c r="H746" s="49"/>
      <c r="I746" s="49"/>
      <c r="J746" s="49"/>
      <c r="K746" s="49"/>
      <c r="L746" s="49"/>
      <c r="M746" s="49"/>
      <c r="N746" s="49"/>
      <c r="O746" s="49"/>
      <c r="P746" s="49"/>
      <c r="Q746" s="49"/>
      <c r="R746" s="49"/>
      <c r="S746" s="49"/>
    </row>
    <row r="747">
      <c r="A747" s="54"/>
      <c r="B747" s="55"/>
      <c r="C747" s="49"/>
      <c r="D747" s="54"/>
      <c r="E747" s="49"/>
      <c r="F747" s="54"/>
      <c r="G747" s="49"/>
      <c r="H747" s="49"/>
      <c r="I747" s="49"/>
      <c r="J747" s="49"/>
      <c r="K747" s="49"/>
      <c r="L747" s="49"/>
      <c r="M747" s="49"/>
      <c r="N747" s="49"/>
      <c r="O747" s="49"/>
      <c r="P747" s="49"/>
      <c r="Q747" s="49"/>
      <c r="R747" s="49"/>
      <c r="S747" s="49"/>
    </row>
    <row r="748">
      <c r="A748" s="54"/>
      <c r="B748" s="55"/>
      <c r="C748" s="49"/>
      <c r="D748" s="54"/>
      <c r="E748" s="49"/>
      <c r="F748" s="54"/>
      <c r="G748" s="49"/>
      <c r="H748" s="49"/>
      <c r="I748" s="49"/>
      <c r="J748" s="49"/>
      <c r="K748" s="49"/>
      <c r="L748" s="49"/>
      <c r="M748" s="49"/>
      <c r="N748" s="49"/>
      <c r="O748" s="49"/>
      <c r="P748" s="49"/>
      <c r="Q748" s="49"/>
      <c r="R748" s="49"/>
      <c r="S748" s="49"/>
    </row>
    <row r="749">
      <c r="A749" s="54"/>
      <c r="B749" s="55"/>
      <c r="C749" s="49"/>
      <c r="D749" s="54"/>
      <c r="E749" s="49"/>
      <c r="F749" s="54"/>
      <c r="G749" s="49"/>
      <c r="H749" s="49"/>
      <c r="I749" s="49"/>
      <c r="J749" s="49"/>
      <c r="K749" s="49"/>
      <c r="L749" s="49"/>
      <c r="M749" s="49"/>
      <c r="N749" s="49"/>
      <c r="O749" s="49"/>
      <c r="P749" s="49"/>
      <c r="Q749" s="49"/>
      <c r="R749" s="49"/>
      <c r="S749" s="49"/>
    </row>
    <row r="750">
      <c r="A750" s="54"/>
      <c r="B750" s="55"/>
      <c r="C750" s="49"/>
      <c r="D750" s="54"/>
      <c r="E750" s="49"/>
      <c r="F750" s="54"/>
      <c r="G750" s="49"/>
      <c r="H750" s="49"/>
      <c r="I750" s="49"/>
      <c r="J750" s="49"/>
      <c r="K750" s="49"/>
      <c r="L750" s="49"/>
      <c r="M750" s="49"/>
      <c r="N750" s="49"/>
      <c r="O750" s="49"/>
      <c r="P750" s="49"/>
      <c r="Q750" s="49"/>
      <c r="R750" s="49"/>
      <c r="S750" s="49"/>
    </row>
    <row r="751">
      <c r="A751" s="54"/>
      <c r="B751" s="55"/>
      <c r="C751" s="49"/>
      <c r="D751" s="54"/>
      <c r="E751" s="49"/>
      <c r="F751" s="54"/>
      <c r="G751" s="49"/>
      <c r="H751" s="49"/>
      <c r="I751" s="49"/>
      <c r="J751" s="49"/>
      <c r="K751" s="49"/>
      <c r="L751" s="49"/>
      <c r="M751" s="49"/>
      <c r="N751" s="49"/>
      <c r="O751" s="49"/>
      <c r="P751" s="49"/>
      <c r="Q751" s="49"/>
      <c r="R751" s="49"/>
      <c r="S751" s="49"/>
    </row>
    <row r="752">
      <c r="A752" s="54"/>
      <c r="B752" s="55"/>
      <c r="C752" s="49"/>
      <c r="D752" s="54"/>
      <c r="E752" s="49"/>
      <c r="F752" s="54"/>
      <c r="G752" s="49"/>
      <c r="H752" s="49"/>
      <c r="I752" s="49"/>
      <c r="J752" s="49"/>
      <c r="K752" s="49"/>
      <c r="L752" s="49"/>
      <c r="M752" s="49"/>
      <c r="N752" s="49"/>
      <c r="O752" s="49"/>
      <c r="P752" s="49"/>
      <c r="Q752" s="49"/>
      <c r="R752" s="49"/>
      <c r="S752" s="49"/>
    </row>
    <row r="753">
      <c r="A753" s="54"/>
      <c r="B753" s="55"/>
      <c r="C753" s="49"/>
      <c r="D753" s="54"/>
      <c r="E753" s="49"/>
      <c r="F753" s="54"/>
      <c r="G753" s="49"/>
      <c r="H753" s="49"/>
      <c r="I753" s="49"/>
      <c r="J753" s="49"/>
      <c r="K753" s="49"/>
      <c r="L753" s="49"/>
      <c r="M753" s="49"/>
      <c r="N753" s="49"/>
      <c r="O753" s="49"/>
      <c r="P753" s="49"/>
      <c r="Q753" s="49"/>
      <c r="R753" s="49"/>
      <c r="S753" s="49"/>
    </row>
    <row r="754">
      <c r="A754" s="54"/>
      <c r="B754" s="55"/>
      <c r="C754" s="49"/>
      <c r="D754" s="54"/>
      <c r="E754" s="49"/>
      <c r="F754" s="54"/>
      <c r="G754" s="49"/>
      <c r="H754" s="49"/>
      <c r="I754" s="49"/>
      <c r="J754" s="49"/>
      <c r="K754" s="49"/>
      <c r="L754" s="49"/>
      <c r="M754" s="49"/>
      <c r="N754" s="49"/>
      <c r="O754" s="49"/>
      <c r="P754" s="49"/>
      <c r="Q754" s="49"/>
      <c r="R754" s="49"/>
      <c r="S754" s="49"/>
    </row>
    <row r="755">
      <c r="A755" s="54"/>
      <c r="B755" s="55"/>
      <c r="C755" s="49"/>
      <c r="D755" s="54"/>
      <c r="E755" s="49"/>
      <c r="F755" s="54"/>
      <c r="G755" s="49"/>
      <c r="H755" s="49"/>
      <c r="I755" s="49"/>
      <c r="J755" s="49"/>
      <c r="K755" s="49"/>
      <c r="L755" s="49"/>
      <c r="M755" s="49"/>
      <c r="N755" s="49"/>
      <c r="O755" s="49"/>
      <c r="P755" s="49"/>
      <c r="Q755" s="49"/>
      <c r="R755" s="49"/>
      <c r="S755" s="49"/>
    </row>
    <row r="756">
      <c r="A756" s="54"/>
      <c r="B756" s="55"/>
      <c r="C756" s="49"/>
      <c r="D756" s="54"/>
      <c r="E756" s="49"/>
      <c r="F756" s="54"/>
      <c r="G756" s="49"/>
      <c r="H756" s="49"/>
      <c r="I756" s="49"/>
      <c r="J756" s="49"/>
      <c r="K756" s="49"/>
      <c r="L756" s="49"/>
      <c r="M756" s="49"/>
      <c r="N756" s="49"/>
      <c r="O756" s="49"/>
      <c r="P756" s="49"/>
      <c r="Q756" s="49"/>
      <c r="R756" s="49"/>
      <c r="S756" s="49"/>
    </row>
    <row r="757">
      <c r="A757" s="54"/>
      <c r="B757" s="55"/>
      <c r="C757" s="49"/>
      <c r="D757" s="54"/>
      <c r="E757" s="49"/>
      <c r="F757" s="54"/>
      <c r="G757" s="49"/>
      <c r="H757" s="49"/>
      <c r="I757" s="49"/>
      <c r="J757" s="49"/>
      <c r="K757" s="49"/>
      <c r="L757" s="49"/>
      <c r="M757" s="49"/>
      <c r="N757" s="49"/>
      <c r="O757" s="49"/>
      <c r="P757" s="49"/>
      <c r="Q757" s="49"/>
      <c r="R757" s="49"/>
      <c r="S757" s="49"/>
    </row>
    <row r="758">
      <c r="A758" s="54"/>
      <c r="B758" s="55"/>
      <c r="C758" s="49"/>
      <c r="D758" s="54"/>
      <c r="E758" s="49"/>
      <c r="F758" s="54"/>
      <c r="G758" s="49"/>
      <c r="H758" s="49"/>
      <c r="I758" s="49"/>
      <c r="J758" s="49"/>
      <c r="K758" s="49"/>
      <c r="L758" s="49"/>
      <c r="M758" s="49"/>
      <c r="N758" s="49"/>
      <c r="O758" s="49"/>
      <c r="P758" s="49"/>
      <c r="Q758" s="49"/>
      <c r="R758" s="49"/>
      <c r="S758" s="49"/>
    </row>
    <row r="759">
      <c r="A759" s="54"/>
      <c r="B759" s="55"/>
      <c r="C759" s="49"/>
      <c r="D759" s="54"/>
      <c r="E759" s="49"/>
      <c r="F759" s="54"/>
      <c r="G759" s="49"/>
      <c r="H759" s="49"/>
      <c r="I759" s="49"/>
      <c r="J759" s="49"/>
      <c r="K759" s="49"/>
      <c r="L759" s="49"/>
      <c r="M759" s="49"/>
      <c r="N759" s="49"/>
      <c r="O759" s="49"/>
      <c r="P759" s="49"/>
      <c r="Q759" s="49"/>
      <c r="R759" s="49"/>
      <c r="S759" s="49"/>
    </row>
    <row r="760">
      <c r="A760" s="54"/>
      <c r="B760" s="55"/>
      <c r="C760" s="49"/>
      <c r="D760" s="54"/>
      <c r="E760" s="49"/>
      <c r="F760" s="54"/>
      <c r="G760" s="49"/>
      <c r="H760" s="49"/>
      <c r="I760" s="49"/>
      <c r="J760" s="49"/>
      <c r="K760" s="49"/>
      <c r="L760" s="49"/>
      <c r="M760" s="49"/>
      <c r="N760" s="49"/>
      <c r="O760" s="49"/>
      <c r="P760" s="49"/>
      <c r="Q760" s="49"/>
      <c r="R760" s="49"/>
      <c r="S760" s="49"/>
    </row>
    <row r="761">
      <c r="A761" s="54"/>
      <c r="B761" s="55"/>
      <c r="C761" s="49"/>
      <c r="D761" s="54"/>
      <c r="E761" s="49"/>
      <c r="F761" s="54"/>
      <c r="G761" s="49"/>
      <c r="H761" s="49"/>
      <c r="I761" s="49"/>
      <c r="J761" s="49"/>
      <c r="K761" s="49"/>
      <c r="L761" s="49"/>
      <c r="M761" s="49"/>
      <c r="N761" s="49"/>
      <c r="O761" s="49"/>
      <c r="P761" s="49"/>
      <c r="Q761" s="49"/>
      <c r="R761" s="49"/>
      <c r="S761" s="49"/>
    </row>
    <row r="762">
      <c r="A762" s="54"/>
      <c r="B762" s="55"/>
      <c r="C762" s="49"/>
      <c r="D762" s="54"/>
      <c r="E762" s="49"/>
      <c r="F762" s="54"/>
      <c r="G762" s="49"/>
      <c r="H762" s="49"/>
      <c r="I762" s="49"/>
      <c r="J762" s="49"/>
      <c r="K762" s="49"/>
      <c r="L762" s="49"/>
      <c r="M762" s="49"/>
      <c r="N762" s="49"/>
      <c r="O762" s="49"/>
      <c r="P762" s="49"/>
      <c r="Q762" s="49"/>
      <c r="R762" s="49"/>
      <c r="S762" s="49"/>
    </row>
    <row r="763">
      <c r="A763" s="54"/>
      <c r="B763" s="55"/>
      <c r="C763" s="49"/>
      <c r="D763" s="54"/>
      <c r="E763" s="49"/>
      <c r="F763" s="54"/>
      <c r="G763" s="49"/>
      <c r="H763" s="49"/>
      <c r="I763" s="49"/>
      <c r="J763" s="49"/>
      <c r="K763" s="49"/>
      <c r="L763" s="49"/>
      <c r="M763" s="49"/>
      <c r="N763" s="49"/>
      <c r="O763" s="49"/>
      <c r="P763" s="49"/>
      <c r="Q763" s="49"/>
      <c r="R763" s="49"/>
      <c r="S763" s="49"/>
    </row>
    <row r="764">
      <c r="A764" s="54"/>
      <c r="B764" s="55"/>
      <c r="C764" s="49"/>
      <c r="D764" s="54"/>
      <c r="E764" s="49"/>
      <c r="F764" s="54"/>
      <c r="G764" s="49"/>
      <c r="H764" s="49"/>
      <c r="I764" s="49"/>
      <c r="J764" s="49"/>
      <c r="K764" s="49"/>
      <c r="L764" s="49"/>
      <c r="M764" s="49"/>
      <c r="N764" s="49"/>
      <c r="O764" s="49"/>
      <c r="P764" s="49"/>
      <c r="Q764" s="49"/>
      <c r="R764" s="49"/>
      <c r="S764" s="49"/>
    </row>
    <row r="765">
      <c r="A765" s="54"/>
      <c r="B765" s="55"/>
      <c r="C765" s="49"/>
      <c r="D765" s="54"/>
      <c r="E765" s="49"/>
      <c r="F765" s="54"/>
      <c r="G765" s="49"/>
      <c r="H765" s="49"/>
      <c r="I765" s="49"/>
      <c r="J765" s="49"/>
      <c r="K765" s="49"/>
      <c r="L765" s="49"/>
      <c r="M765" s="49"/>
      <c r="N765" s="49"/>
      <c r="O765" s="49"/>
      <c r="P765" s="49"/>
      <c r="Q765" s="49"/>
      <c r="R765" s="49"/>
      <c r="S765" s="49"/>
    </row>
    <row r="766">
      <c r="A766" s="54"/>
      <c r="B766" s="55"/>
      <c r="C766" s="49"/>
      <c r="D766" s="54"/>
      <c r="E766" s="49"/>
      <c r="F766" s="54"/>
      <c r="G766" s="49"/>
      <c r="H766" s="49"/>
      <c r="I766" s="49"/>
      <c r="J766" s="49"/>
      <c r="K766" s="49"/>
      <c r="L766" s="49"/>
      <c r="M766" s="49"/>
      <c r="N766" s="49"/>
      <c r="O766" s="49"/>
      <c r="P766" s="49"/>
      <c r="Q766" s="49"/>
      <c r="R766" s="49"/>
      <c r="S766" s="49"/>
    </row>
    <row r="767">
      <c r="A767" s="54"/>
      <c r="B767" s="55"/>
      <c r="C767" s="49"/>
      <c r="D767" s="54"/>
      <c r="E767" s="49"/>
      <c r="F767" s="54"/>
      <c r="G767" s="49"/>
      <c r="H767" s="49"/>
      <c r="I767" s="49"/>
      <c r="J767" s="49"/>
      <c r="K767" s="49"/>
      <c r="L767" s="49"/>
      <c r="M767" s="49"/>
      <c r="N767" s="49"/>
      <c r="O767" s="49"/>
      <c r="P767" s="49"/>
      <c r="Q767" s="49"/>
      <c r="R767" s="49"/>
      <c r="S767" s="49"/>
    </row>
    <row r="768">
      <c r="A768" s="54"/>
      <c r="B768" s="55"/>
      <c r="C768" s="49"/>
      <c r="D768" s="54"/>
      <c r="E768" s="49"/>
      <c r="F768" s="54"/>
      <c r="G768" s="49"/>
      <c r="H768" s="49"/>
      <c r="I768" s="49"/>
      <c r="J768" s="49"/>
      <c r="K768" s="49"/>
      <c r="L768" s="49"/>
      <c r="M768" s="49"/>
      <c r="N768" s="49"/>
      <c r="O768" s="49"/>
      <c r="P768" s="49"/>
      <c r="Q768" s="49"/>
      <c r="R768" s="49"/>
      <c r="S768" s="49"/>
    </row>
    <row r="769">
      <c r="A769" s="54"/>
      <c r="B769" s="55"/>
      <c r="C769" s="49"/>
      <c r="D769" s="54"/>
      <c r="E769" s="49"/>
      <c r="F769" s="54"/>
      <c r="G769" s="49"/>
      <c r="H769" s="49"/>
      <c r="I769" s="49"/>
      <c r="J769" s="49"/>
      <c r="K769" s="49"/>
      <c r="L769" s="49"/>
      <c r="M769" s="49"/>
      <c r="N769" s="49"/>
      <c r="O769" s="49"/>
      <c r="P769" s="49"/>
      <c r="Q769" s="49"/>
      <c r="R769" s="49"/>
      <c r="S769" s="49"/>
    </row>
    <row r="770">
      <c r="A770" s="54"/>
      <c r="B770" s="55"/>
      <c r="C770" s="49"/>
      <c r="D770" s="54"/>
      <c r="E770" s="49"/>
      <c r="F770" s="54"/>
      <c r="G770" s="49"/>
      <c r="H770" s="49"/>
      <c r="I770" s="49"/>
      <c r="J770" s="49"/>
      <c r="K770" s="49"/>
      <c r="L770" s="49"/>
      <c r="M770" s="49"/>
      <c r="N770" s="49"/>
      <c r="O770" s="49"/>
      <c r="P770" s="49"/>
      <c r="Q770" s="49"/>
      <c r="R770" s="49"/>
      <c r="S770" s="49"/>
    </row>
    <row r="771">
      <c r="A771" s="54"/>
      <c r="B771" s="55"/>
      <c r="C771" s="49"/>
      <c r="D771" s="54"/>
      <c r="E771" s="49"/>
      <c r="F771" s="54"/>
      <c r="G771" s="49"/>
      <c r="H771" s="49"/>
      <c r="I771" s="49"/>
      <c r="J771" s="49"/>
      <c r="K771" s="49"/>
      <c r="L771" s="49"/>
      <c r="M771" s="49"/>
      <c r="N771" s="49"/>
      <c r="O771" s="49"/>
      <c r="P771" s="49"/>
      <c r="Q771" s="49"/>
      <c r="R771" s="49"/>
      <c r="S771" s="49"/>
    </row>
    <row r="772">
      <c r="A772" s="54"/>
      <c r="B772" s="55"/>
      <c r="C772" s="49"/>
      <c r="D772" s="54"/>
      <c r="E772" s="49"/>
      <c r="F772" s="54"/>
      <c r="G772" s="49"/>
      <c r="H772" s="49"/>
      <c r="I772" s="49"/>
      <c r="J772" s="49"/>
      <c r="K772" s="49"/>
      <c r="L772" s="49"/>
      <c r="M772" s="49"/>
      <c r="N772" s="49"/>
      <c r="O772" s="49"/>
      <c r="P772" s="49"/>
      <c r="Q772" s="49"/>
      <c r="R772" s="49"/>
      <c r="S772" s="49"/>
    </row>
    <row r="773">
      <c r="A773" s="54"/>
      <c r="B773" s="55"/>
      <c r="C773" s="49"/>
      <c r="D773" s="54"/>
      <c r="E773" s="49"/>
      <c r="F773" s="54"/>
      <c r="G773" s="49"/>
      <c r="H773" s="49"/>
      <c r="I773" s="49"/>
      <c r="J773" s="49"/>
      <c r="K773" s="49"/>
      <c r="L773" s="49"/>
      <c r="M773" s="49"/>
      <c r="N773" s="49"/>
      <c r="O773" s="49"/>
      <c r="P773" s="49"/>
      <c r="Q773" s="49"/>
      <c r="R773" s="49"/>
      <c r="S773" s="49"/>
    </row>
    <row r="774">
      <c r="A774" s="54"/>
      <c r="B774" s="55"/>
      <c r="C774" s="49"/>
      <c r="D774" s="54"/>
      <c r="E774" s="49"/>
      <c r="F774" s="54"/>
      <c r="G774" s="49"/>
      <c r="H774" s="49"/>
      <c r="I774" s="49"/>
      <c r="J774" s="49"/>
      <c r="K774" s="49"/>
      <c r="L774" s="49"/>
      <c r="M774" s="49"/>
      <c r="N774" s="49"/>
      <c r="O774" s="49"/>
      <c r="P774" s="49"/>
      <c r="Q774" s="49"/>
      <c r="R774" s="49"/>
      <c r="S774" s="49"/>
    </row>
    <row r="775">
      <c r="A775" s="54"/>
      <c r="B775" s="55"/>
      <c r="C775" s="49"/>
      <c r="D775" s="54"/>
      <c r="E775" s="49"/>
      <c r="F775" s="54"/>
      <c r="G775" s="49"/>
      <c r="H775" s="49"/>
      <c r="I775" s="49"/>
      <c r="J775" s="49"/>
      <c r="K775" s="49"/>
      <c r="L775" s="49"/>
      <c r="M775" s="49"/>
      <c r="N775" s="49"/>
      <c r="O775" s="49"/>
      <c r="P775" s="49"/>
      <c r="Q775" s="49"/>
      <c r="R775" s="49"/>
      <c r="S775" s="49"/>
    </row>
    <row r="776">
      <c r="A776" s="54"/>
      <c r="B776" s="55"/>
      <c r="C776" s="49"/>
      <c r="D776" s="54"/>
      <c r="E776" s="49"/>
      <c r="F776" s="54"/>
      <c r="G776" s="49"/>
      <c r="H776" s="49"/>
      <c r="I776" s="49"/>
      <c r="J776" s="49"/>
      <c r="K776" s="49"/>
      <c r="L776" s="49"/>
      <c r="M776" s="49"/>
      <c r="N776" s="49"/>
      <c r="O776" s="49"/>
      <c r="P776" s="49"/>
      <c r="Q776" s="49"/>
      <c r="R776" s="49"/>
      <c r="S776" s="49"/>
    </row>
    <row r="777">
      <c r="A777" s="54"/>
      <c r="B777" s="55"/>
      <c r="C777" s="49"/>
      <c r="D777" s="54"/>
      <c r="E777" s="49"/>
      <c r="F777" s="54"/>
      <c r="G777" s="49"/>
      <c r="H777" s="49"/>
      <c r="I777" s="49"/>
      <c r="J777" s="49"/>
      <c r="K777" s="49"/>
      <c r="L777" s="49"/>
      <c r="M777" s="49"/>
      <c r="N777" s="49"/>
      <c r="O777" s="49"/>
      <c r="P777" s="49"/>
      <c r="Q777" s="49"/>
      <c r="R777" s="49"/>
      <c r="S777" s="49"/>
    </row>
    <row r="778">
      <c r="A778" s="54"/>
      <c r="B778" s="55"/>
      <c r="C778" s="49"/>
      <c r="D778" s="54"/>
      <c r="E778" s="49"/>
      <c r="F778" s="54"/>
      <c r="G778" s="49"/>
      <c r="H778" s="49"/>
      <c r="I778" s="49"/>
      <c r="J778" s="49"/>
      <c r="K778" s="49"/>
      <c r="L778" s="49"/>
      <c r="M778" s="49"/>
      <c r="N778" s="49"/>
      <c r="O778" s="49"/>
      <c r="P778" s="49"/>
      <c r="Q778" s="49"/>
      <c r="R778" s="49"/>
      <c r="S778" s="49"/>
    </row>
    <row r="779">
      <c r="A779" s="54"/>
      <c r="B779" s="55"/>
      <c r="C779" s="49"/>
      <c r="D779" s="54"/>
      <c r="E779" s="49"/>
      <c r="F779" s="54"/>
      <c r="G779" s="49"/>
      <c r="H779" s="49"/>
      <c r="I779" s="49"/>
      <c r="J779" s="49"/>
      <c r="K779" s="49"/>
      <c r="L779" s="49"/>
      <c r="M779" s="49"/>
      <c r="N779" s="49"/>
      <c r="O779" s="49"/>
      <c r="P779" s="49"/>
      <c r="Q779" s="49"/>
      <c r="R779" s="49"/>
      <c r="S779" s="49"/>
    </row>
    <row r="780">
      <c r="A780" s="54"/>
      <c r="B780" s="55"/>
      <c r="C780" s="49"/>
      <c r="D780" s="54"/>
      <c r="E780" s="49"/>
      <c r="F780" s="54"/>
      <c r="G780" s="49"/>
      <c r="H780" s="49"/>
      <c r="I780" s="49"/>
      <c r="J780" s="49"/>
      <c r="K780" s="49"/>
      <c r="L780" s="49"/>
      <c r="M780" s="49"/>
      <c r="N780" s="49"/>
      <c r="O780" s="49"/>
      <c r="P780" s="49"/>
      <c r="Q780" s="49"/>
      <c r="R780" s="49"/>
      <c r="S780" s="49"/>
    </row>
    <row r="781">
      <c r="A781" s="54"/>
      <c r="B781" s="55"/>
      <c r="C781" s="49"/>
      <c r="D781" s="54"/>
      <c r="E781" s="49"/>
      <c r="F781" s="54"/>
      <c r="G781" s="49"/>
      <c r="H781" s="49"/>
      <c r="I781" s="49"/>
      <c r="J781" s="49"/>
      <c r="K781" s="49"/>
      <c r="L781" s="49"/>
      <c r="M781" s="49"/>
      <c r="N781" s="49"/>
      <c r="O781" s="49"/>
      <c r="P781" s="49"/>
      <c r="Q781" s="49"/>
      <c r="R781" s="49"/>
      <c r="S781" s="49"/>
    </row>
    <row r="782">
      <c r="A782" s="54"/>
      <c r="B782" s="55"/>
      <c r="C782" s="49"/>
      <c r="D782" s="54"/>
      <c r="E782" s="49"/>
      <c r="F782" s="54"/>
      <c r="G782" s="49"/>
      <c r="H782" s="49"/>
      <c r="I782" s="49"/>
      <c r="J782" s="49"/>
      <c r="K782" s="49"/>
      <c r="L782" s="49"/>
      <c r="M782" s="49"/>
      <c r="N782" s="49"/>
      <c r="O782" s="49"/>
      <c r="P782" s="49"/>
      <c r="Q782" s="49"/>
      <c r="R782" s="49"/>
      <c r="S782" s="49"/>
    </row>
    <row r="783">
      <c r="A783" s="54"/>
      <c r="B783" s="55"/>
      <c r="C783" s="49"/>
      <c r="D783" s="54"/>
      <c r="E783" s="49"/>
      <c r="F783" s="54"/>
      <c r="G783" s="49"/>
      <c r="H783" s="49"/>
      <c r="I783" s="49"/>
      <c r="J783" s="49"/>
      <c r="K783" s="49"/>
      <c r="L783" s="49"/>
      <c r="M783" s="49"/>
      <c r="N783" s="49"/>
      <c r="O783" s="49"/>
      <c r="P783" s="49"/>
      <c r="Q783" s="49"/>
      <c r="R783" s="49"/>
      <c r="S783" s="49"/>
    </row>
    <row r="784">
      <c r="A784" s="54"/>
      <c r="B784" s="55"/>
      <c r="C784" s="49"/>
      <c r="D784" s="54"/>
      <c r="E784" s="49"/>
      <c r="F784" s="54"/>
      <c r="G784" s="49"/>
      <c r="H784" s="49"/>
      <c r="I784" s="49"/>
      <c r="J784" s="49"/>
      <c r="K784" s="49"/>
      <c r="L784" s="49"/>
      <c r="M784" s="49"/>
      <c r="N784" s="49"/>
      <c r="O784" s="49"/>
      <c r="P784" s="49"/>
      <c r="Q784" s="49"/>
      <c r="R784" s="49"/>
      <c r="S784" s="49"/>
    </row>
    <row r="785">
      <c r="A785" s="54"/>
      <c r="B785" s="55"/>
      <c r="C785" s="49"/>
      <c r="D785" s="54"/>
      <c r="E785" s="49"/>
      <c r="F785" s="54"/>
      <c r="G785" s="49"/>
      <c r="H785" s="49"/>
      <c r="I785" s="49"/>
      <c r="J785" s="49"/>
      <c r="K785" s="49"/>
      <c r="L785" s="49"/>
      <c r="M785" s="49"/>
      <c r="N785" s="49"/>
      <c r="O785" s="49"/>
      <c r="P785" s="49"/>
      <c r="Q785" s="49"/>
      <c r="R785" s="49"/>
      <c r="S785" s="49"/>
    </row>
    <row r="786">
      <c r="A786" s="54"/>
      <c r="B786" s="55"/>
      <c r="C786" s="49"/>
      <c r="D786" s="54"/>
      <c r="E786" s="49"/>
      <c r="F786" s="54"/>
      <c r="G786" s="49"/>
      <c r="H786" s="49"/>
      <c r="I786" s="49"/>
      <c r="J786" s="49"/>
      <c r="K786" s="49"/>
      <c r="L786" s="49"/>
      <c r="M786" s="49"/>
      <c r="N786" s="49"/>
      <c r="O786" s="49"/>
      <c r="P786" s="49"/>
      <c r="Q786" s="49"/>
      <c r="R786" s="49"/>
      <c r="S786" s="49"/>
    </row>
    <row r="787">
      <c r="A787" s="54"/>
      <c r="B787" s="55"/>
      <c r="C787" s="49"/>
      <c r="D787" s="54"/>
      <c r="E787" s="49"/>
      <c r="F787" s="54"/>
      <c r="G787" s="49"/>
      <c r="H787" s="49"/>
      <c r="I787" s="49"/>
      <c r="J787" s="49"/>
      <c r="K787" s="49"/>
      <c r="L787" s="49"/>
      <c r="M787" s="49"/>
      <c r="N787" s="49"/>
      <c r="O787" s="49"/>
      <c r="P787" s="49"/>
      <c r="Q787" s="49"/>
      <c r="R787" s="49"/>
      <c r="S787" s="49"/>
    </row>
    <row r="788">
      <c r="A788" s="54"/>
      <c r="B788" s="55"/>
      <c r="C788" s="49"/>
      <c r="D788" s="54"/>
      <c r="E788" s="49"/>
      <c r="F788" s="54"/>
      <c r="G788" s="49"/>
      <c r="H788" s="49"/>
      <c r="I788" s="49"/>
      <c r="J788" s="49"/>
      <c r="K788" s="49"/>
      <c r="L788" s="49"/>
      <c r="M788" s="49"/>
      <c r="N788" s="49"/>
      <c r="O788" s="49"/>
      <c r="P788" s="49"/>
      <c r="Q788" s="49"/>
      <c r="R788" s="49"/>
      <c r="S788" s="49"/>
    </row>
    <row r="789">
      <c r="A789" s="54"/>
      <c r="B789" s="55"/>
      <c r="C789" s="49"/>
      <c r="D789" s="54"/>
      <c r="E789" s="49"/>
      <c r="F789" s="54"/>
      <c r="G789" s="49"/>
      <c r="H789" s="49"/>
      <c r="I789" s="49"/>
      <c r="J789" s="49"/>
      <c r="K789" s="49"/>
      <c r="L789" s="49"/>
      <c r="M789" s="49"/>
      <c r="N789" s="49"/>
      <c r="O789" s="49"/>
      <c r="P789" s="49"/>
      <c r="Q789" s="49"/>
      <c r="R789" s="49"/>
      <c r="S789" s="49"/>
    </row>
    <row r="790">
      <c r="A790" s="54"/>
      <c r="B790" s="55"/>
      <c r="C790" s="49"/>
      <c r="D790" s="54"/>
      <c r="E790" s="49"/>
      <c r="F790" s="54"/>
      <c r="G790" s="49"/>
      <c r="H790" s="49"/>
      <c r="I790" s="49"/>
      <c r="J790" s="49"/>
      <c r="K790" s="49"/>
      <c r="L790" s="49"/>
      <c r="M790" s="49"/>
      <c r="N790" s="49"/>
      <c r="O790" s="49"/>
      <c r="P790" s="49"/>
      <c r="Q790" s="49"/>
      <c r="R790" s="49"/>
      <c r="S790" s="49"/>
    </row>
    <row r="791">
      <c r="A791" s="54"/>
      <c r="B791" s="55"/>
      <c r="C791" s="49"/>
      <c r="D791" s="54"/>
      <c r="E791" s="49"/>
      <c r="F791" s="54"/>
      <c r="G791" s="49"/>
      <c r="H791" s="49"/>
      <c r="I791" s="49"/>
      <c r="J791" s="49"/>
      <c r="K791" s="49"/>
      <c r="L791" s="49"/>
      <c r="M791" s="49"/>
      <c r="N791" s="49"/>
      <c r="O791" s="49"/>
      <c r="P791" s="49"/>
      <c r="Q791" s="49"/>
      <c r="R791" s="49"/>
      <c r="S791" s="49"/>
    </row>
    <row r="792">
      <c r="A792" s="54"/>
      <c r="B792" s="55"/>
      <c r="C792" s="49"/>
      <c r="D792" s="54"/>
      <c r="E792" s="49"/>
      <c r="F792" s="54"/>
      <c r="G792" s="49"/>
      <c r="H792" s="49"/>
      <c r="I792" s="49"/>
      <c r="J792" s="49"/>
      <c r="K792" s="49"/>
      <c r="L792" s="49"/>
      <c r="M792" s="49"/>
      <c r="N792" s="49"/>
      <c r="O792" s="49"/>
      <c r="P792" s="49"/>
      <c r="Q792" s="49"/>
      <c r="R792" s="49"/>
      <c r="S792" s="49"/>
    </row>
    <row r="793">
      <c r="A793" s="54"/>
      <c r="B793" s="55"/>
      <c r="C793" s="49"/>
      <c r="D793" s="54"/>
      <c r="E793" s="49"/>
      <c r="F793" s="54"/>
      <c r="G793" s="49"/>
      <c r="H793" s="49"/>
      <c r="I793" s="49"/>
      <c r="J793" s="49"/>
      <c r="K793" s="49"/>
      <c r="L793" s="49"/>
      <c r="M793" s="49"/>
      <c r="N793" s="49"/>
      <c r="O793" s="49"/>
      <c r="P793" s="49"/>
      <c r="Q793" s="49"/>
      <c r="R793" s="49"/>
      <c r="S793" s="49"/>
    </row>
    <row r="794">
      <c r="A794" s="54"/>
      <c r="B794" s="55"/>
      <c r="C794" s="49"/>
      <c r="D794" s="54"/>
      <c r="E794" s="49"/>
      <c r="F794" s="54"/>
      <c r="G794" s="49"/>
      <c r="H794" s="49"/>
      <c r="I794" s="49"/>
      <c r="J794" s="49"/>
      <c r="K794" s="49"/>
      <c r="L794" s="49"/>
      <c r="M794" s="49"/>
      <c r="N794" s="49"/>
      <c r="O794" s="49"/>
      <c r="P794" s="49"/>
      <c r="Q794" s="49"/>
      <c r="R794" s="49"/>
      <c r="S794" s="49"/>
    </row>
    <row r="795">
      <c r="A795" s="54"/>
      <c r="B795" s="55"/>
      <c r="C795" s="49"/>
      <c r="D795" s="54"/>
      <c r="E795" s="49"/>
      <c r="F795" s="54"/>
      <c r="G795" s="49"/>
      <c r="H795" s="49"/>
      <c r="I795" s="49"/>
      <c r="J795" s="49"/>
      <c r="K795" s="49"/>
      <c r="L795" s="49"/>
      <c r="M795" s="49"/>
      <c r="N795" s="49"/>
      <c r="O795" s="49"/>
      <c r="P795" s="49"/>
      <c r="Q795" s="49"/>
      <c r="R795" s="49"/>
      <c r="S795" s="49"/>
    </row>
    <row r="796">
      <c r="A796" s="54"/>
      <c r="B796" s="55"/>
      <c r="C796" s="49"/>
      <c r="D796" s="54"/>
      <c r="E796" s="49"/>
      <c r="F796" s="54"/>
      <c r="G796" s="49"/>
      <c r="H796" s="49"/>
      <c r="I796" s="49"/>
      <c r="J796" s="49"/>
      <c r="K796" s="49"/>
      <c r="L796" s="49"/>
      <c r="M796" s="49"/>
      <c r="N796" s="49"/>
      <c r="O796" s="49"/>
      <c r="P796" s="49"/>
      <c r="Q796" s="49"/>
      <c r="R796" s="49"/>
      <c r="S796" s="49"/>
    </row>
    <row r="797">
      <c r="A797" s="54"/>
      <c r="B797" s="55"/>
      <c r="C797" s="49"/>
      <c r="D797" s="54"/>
      <c r="E797" s="49"/>
      <c r="F797" s="54"/>
      <c r="G797" s="49"/>
      <c r="H797" s="49"/>
      <c r="I797" s="49"/>
      <c r="J797" s="49"/>
      <c r="K797" s="49"/>
      <c r="L797" s="49"/>
      <c r="M797" s="49"/>
      <c r="N797" s="49"/>
      <c r="O797" s="49"/>
      <c r="P797" s="49"/>
      <c r="Q797" s="49"/>
      <c r="R797" s="49"/>
      <c r="S797" s="49"/>
    </row>
    <row r="798">
      <c r="A798" s="54"/>
      <c r="B798" s="55"/>
      <c r="C798" s="49"/>
      <c r="D798" s="54"/>
      <c r="E798" s="49"/>
      <c r="F798" s="54"/>
      <c r="G798" s="49"/>
      <c r="H798" s="49"/>
      <c r="I798" s="49"/>
      <c r="J798" s="49"/>
      <c r="K798" s="49"/>
      <c r="L798" s="49"/>
      <c r="M798" s="49"/>
      <c r="N798" s="49"/>
      <c r="O798" s="49"/>
      <c r="P798" s="49"/>
      <c r="Q798" s="49"/>
      <c r="R798" s="49"/>
      <c r="S798" s="49"/>
    </row>
    <row r="799">
      <c r="A799" s="54"/>
      <c r="B799" s="55"/>
      <c r="C799" s="49"/>
      <c r="D799" s="54"/>
      <c r="E799" s="49"/>
      <c r="F799" s="54"/>
      <c r="G799" s="49"/>
      <c r="H799" s="49"/>
      <c r="I799" s="49"/>
      <c r="J799" s="49"/>
      <c r="K799" s="49"/>
      <c r="L799" s="49"/>
      <c r="M799" s="49"/>
      <c r="N799" s="49"/>
      <c r="O799" s="49"/>
      <c r="P799" s="49"/>
      <c r="Q799" s="49"/>
      <c r="R799" s="49"/>
      <c r="S799" s="49"/>
    </row>
    <row r="800">
      <c r="A800" s="54"/>
      <c r="B800" s="55"/>
      <c r="C800" s="49"/>
      <c r="D800" s="54"/>
      <c r="E800" s="49"/>
      <c r="F800" s="54"/>
      <c r="G800" s="49"/>
      <c r="H800" s="49"/>
      <c r="I800" s="49"/>
      <c r="J800" s="49"/>
      <c r="K800" s="49"/>
      <c r="L800" s="49"/>
      <c r="M800" s="49"/>
      <c r="N800" s="49"/>
      <c r="O800" s="49"/>
      <c r="P800" s="49"/>
      <c r="Q800" s="49"/>
      <c r="R800" s="49"/>
      <c r="S800" s="49"/>
    </row>
    <row r="801">
      <c r="A801" s="54"/>
      <c r="B801" s="55"/>
      <c r="C801" s="49"/>
      <c r="D801" s="54"/>
      <c r="E801" s="49"/>
      <c r="F801" s="54"/>
      <c r="G801" s="49"/>
      <c r="H801" s="49"/>
      <c r="I801" s="49"/>
      <c r="J801" s="49"/>
      <c r="K801" s="49"/>
      <c r="L801" s="49"/>
      <c r="M801" s="49"/>
      <c r="N801" s="49"/>
      <c r="O801" s="49"/>
      <c r="P801" s="49"/>
      <c r="Q801" s="49"/>
      <c r="R801" s="49"/>
      <c r="S801" s="49"/>
    </row>
    <row r="802">
      <c r="A802" s="54"/>
      <c r="B802" s="55"/>
      <c r="C802" s="49"/>
      <c r="D802" s="54"/>
      <c r="E802" s="49"/>
      <c r="F802" s="54"/>
      <c r="G802" s="49"/>
      <c r="H802" s="49"/>
      <c r="I802" s="49"/>
      <c r="J802" s="49"/>
      <c r="K802" s="49"/>
      <c r="L802" s="49"/>
      <c r="M802" s="49"/>
      <c r="N802" s="49"/>
      <c r="O802" s="49"/>
      <c r="P802" s="49"/>
      <c r="Q802" s="49"/>
      <c r="R802" s="49"/>
      <c r="S802" s="49"/>
    </row>
    <row r="803">
      <c r="A803" s="54"/>
      <c r="B803" s="55"/>
      <c r="C803" s="49"/>
      <c r="D803" s="54"/>
      <c r="E803" s="49"/>
      <c r="F803" s="54"/>
      <c r="G803" s="49"/>
      <c r="H803" s="49"/>
      <c r="I803" s="49"/>
      <c r="J803" s="49"/>
      <c r="K803" s="49"/>
      <c r="L803" s="49"/>
      <c r="M803" s="49"/>
      <c r="N803" s="49"/>
      <c r="O803" s="49"/>
      <c r="P803" s="49"/>
      <c r="Q803" s="49"/>
      <c r="R803" s="49"/>
      <c r="S803" s="49"/>
    </row>
    <row r="804">
      <c r="A804" s="54"/>
      <c r="B804" s="55"/>
      <c r="C804" s="49"/>
      <c r="D804" s="54"/>
      <c r="E804" s="49"/>
      <c r="F804" s="54"/>
      <c r="G804" s="49"/>
      <c r="H804" s="49"/>
      <c r="I804" s="49"/>
      <c r="J804" s="49"/>
      <c r="K804" s="49"/>
      <c r="L804" s="49"/>
      <c r="M804" s="49"/>
      <c r="N804" s="49"/>
      <c r="O804" s="49"/>
      <c r="P804" s="49"/>
      <c r="Q804" s="49"/>
      <c r="R804" s="49"/>
      <c r="S804" s="49"/>
    </row>
    <row r="805">
      <c r="A805" s="54"/>
      <c r="B805" s="55"/>
      <c r="C805" s="49"/>
      <c r="D805" s="54"/>
      <c r="E805" s="49"/>
      <c r="F805" s="54"/>
      <c r="G805" s="49"/>
      <c r="H805" s="49"/>
      <c r="I805" s="49"/>
      <c r="J805" s="49"/>
      <c r="K805" s="49"/>
      <c r="L805" s="49"/>
      <c r="M805" s="49"/>
      <c r="N805" s="49"/>
      <c r="O805" s="49"/>
      <c r="P805" s="49"/>
      <c r="Q805" s="49"/>
      <c r="R805" s="49"/>
      <c r="S805" s="49"/>
    </row>
    <row r="806">
      <c r="A806" s="54"/>
      <c r="B806" s="55"/>
      <c r="C806" s="49"/>
      <c r="D806" s="54"/>
      <c r="E806" s="49"/>
      <c r="F806" s="54"/>
      <c r="G806" s="49"/>
      <c r="H806" s="49"/>
      <c r="I806" s="49"/>
      <c r="J806" s="49"/>
      <c r="K806" s="49"/>
      <c r="L806" s="49"/>
      <c r="M806" s="49"/>
      <c r="N806" s="49"/>
      <c r="O806" s="49"/>
      <c r="P806" s="49"/>
      <c r="Q806" s="49"/>
      <c r="R806" s="49"/>
      <c r="S806" s="49"/>
    </row>
    <row r="807">
      <c r="A807" s="54"/>
      <c r="B807" s="55"/>
      <c r="C807" s="49"/>
      <c r="D807" s="54"/>
      <c r="E807" s="49"/>
      <c r="F807" s="54"/>
      <c r="G807" s="49"/>
      <c r="H807" s="49"/>
      <c r="I807" s="49"/>
      <c r="J807" s="49"/>
      <c r="K807" s="49"/>
      <c r="L807" s="49"/>
      <c r="M807" s="49"/>
      <c r="N807" s="49"/>
      <c r="O807" s="49"/>
      <c r="P807" s="49"/>
      <c r="Q807" s="49"/>
      <c r="R807" s="49"/>
      <c r="S807" s="49"/>
    </row>
    <row r="808">
      <c r="A808" s="54"/>
      <c r="B808" s="55"/>
      <c r="C808" s="49"/>
      <c r="D808" s="54"/>
      <c r="E808" s="49"/>
      <c r="F808" s="54"/>
      <c r="G808" s="49"/>
      <c r="H808" s="49"/>
      <c r="I808" s="49"/>
      <c r="J808" s="49"/>
      <c r="K808" s="49"/>
      <c r="L808" s="49"/>
      <c r="M808" s="49"/>
      <c r="N808" s="49"/>
      <c r="O808" s="49"/>
      <c r="P808" s="49"/>
      <c r="Q808" s="49"/>
      <c r="R808" s="49"/>
      <c r="S808" s="49"/>
    </row>
    <row r="809">
      <c r="A809" s="54"/>
      <c r="B809" s="55"/>
      <c r="C809" s="49"/>
      <c r="D809" s="54"/>
      <c r="E809" s="49"/>
      <c r="F809" s="54"/>
      <c r="G809" s="49"/>
      <c r="H809" s="49"/>
      <c r="I809" s="49"/>
      <c r="J809" s="49"/>
      <c r="K809" s="49"/>
      <c r="L809" s="49"/>
      <c r="M809" s="49"/>
      <c r="N809" s="49"/>
      <c r="O809" s="49"/>
      <c r="P809" s="49"/>
      <c r="Q809" s="49"/>
      <c r="R809" s="49"/>
      <c r="S809" s="49"/>
    </row>
    <row r="810">
      <c r="A810" s="54"/>
      <c r="B810" s="55"/>
      <c r="C810" s="49"/>
      <c r="D810" s="54"/>
      <c r="E810" s="49"/>
      <c r="F810" s="54"/>
      <c r="G810" s="49"/>
      <c r="H810" s="49"/>
      <c r="I810" s="49"/>
      <c r="J810" s="49"/>
      <c r="K810" s="49"/>
      <c r="L810" s="49"/>
      <c r="M810" s="49"/>
      <c r="N810" s="49"/>
      <c r="O810" s="49"/>
      <c r="P810" s="49"/>
      <c r="Q810" s="49"/>
      <c r="R810" s="49"/>
      <c r="S810" s="49"/>
    </row>
    <row r="811">
      <c r="A811" s="54"/>
      <c r="B811" s="55"/>
      <c r="C811" s="49"/>
      <c r="D811" s="54"/>
      <c r="E811" s="49"/>
      <c r="F811" s="54"/>
      <c r="G811" s="49"/>
      <c r="H811" s="49"/>
      <c r="I811" s="49"/>
      <c r="J811" s="49"/>
      <c r="K811" s="49"/>
      <c r="L811" s="49"/>
      <c r="M811" s="49"/>
      <c r="N811" s="49"/>
      <c r="O811" s="49"/>
      <c r="P811" s="49"/>
      <c r="Q811" s="49"/>
      <c r="R811" s="49"/>
      <c r="S811" s="49"/>
    </row>
    <row r="812">
      <c r="A812" s="54"/>
      <c r="B812" s="55"/>
      <c r="C812" s="49"/>
      <c r="D812" s="54"/>
      <c r="E812" s="49"/>
      <c r="F812" s="54"/>
      <c r="G812" s="49"/>
      <c r="H812" s="49"/>
      <c r="I812" s="49"/>
      <c r="J812" s="49"/>
      <c r="K812" s="49"/>
      <c r="L812" s="49"/>
      <c r="M812" s="49"/>
      <c r="N812" s="49"/>
      <c r="O812" s="49"/>
      <c r="P812" s="49"/>
      <c r="Q812" s="49"/>
      <c r="R812" s="49"/>
      <c r="S812" s="49"/>
    </row>
    <row r="813">
      <c r="A813" s="54"/>
      <c r="B813" s="55"/>
      <c r="C813" s="49"/>
      <c r="D813" s="54"/>
      <c r="E813" s="49"/>
      <c r="F813" s="54"/>
      <c r="G813" s="49"/>
      <c r="H813" s="49"/>
      <c r="I813" s="49"/>
      <c r="J813" s="49"/>
      <c r="K813" s="49"/>
      <c r="L813" s="49"/>
      <c r="M813" s="49"/>
      <c r="N813" s="49"/>
      <c r="O813" s="49"/>
      <c r="P813" s="49"/>
      <c r="Q813" s="49"/>
      <c r="R813" s="49"/>
      <c r="S813" s="49"/>
    </row>
    <row r="814">
      <c r="A814" s="54"/>
      <c r="B814" s="55"/>
      <c r="C814" s="49"/>
      <c r="D814" s="54"/>
      <c r="E814" s="49"/>
      <c r="F814" s="54"/>
      <c r="G814" s="49"/>
      <c r="H814" s="49"/>
      <c r="I814" s="49"/>
      <c r="J814" s="49"/>
      <c r="K814" s="49"/>
      <c r="L814" s="49"/>
      <c r="M814" s="49"/>
      <c r="N814" s="49"/>
      <c r="O814" s="49"/>
      <c r="P814" s="49"/>
      <c r="Q814" s="49"/>
      <c r="R814" s="49"/>
      <c r="S814" s="49"/>
    </row>
    <row r="815">
      <c r="A815" s="54"/>
      <c r="B815" s="55"/>
      <c r="C815" s="49"/>
      <c r="D815" s="54"/>
      <c r="E815" s="49"/>
      <c r="F815" s="54"/>
      <c r="G815" s="49"/>
      <c r="H815" s="49"/>
      <c r="I815" s="49"/>
      <c r="J815" s="49"/>
      <c r="K815" s="49"/>
      <c r="L815" s="49"/>
      <c r="M815" s="49"/>
      <c r="N815" s="49"/>
      <c r="O815" s="49"/>
      <c r="P815" s="49"/>
      <c r="Q815" s="49"/>
      <c r="R815" s="49"/>
      <c r="S815" s="49"/>
    </row>
    <row r="816">
      <c r="A816" s="54"/>
      <c r="B816" s="55"/>
      <c r="C816" s="49"/>
      <c r="D816" s="54"/>
      <c r="E816" s="49"/>
      <c r="F816" s="54"/>
      <c r="G816" s="49"/>
      <c r="H816" s="49"/>
      <c r="I816" s="49"/>
      <c r="J816" s="49"/>
      <c r="K816" s="49"/>
      <c r="L816" s="49"/>
      <c r="M816" s="49"/>
      <c r="N816" s="49"/>
      <c r="O816" s="49"/>
      <c r="P816" s="49"/>
      <c r="Q816" s="49"/>
      <c r="R816" s="49"/>
      <c r="S816" s="49"/>
    </row>
    <row r="817">
      <c r="A817" s="54"/>
      <c r="B817" s="55"/>
      <c r="C817" s="49"/>
      <c r="D817" s="54"/>
      <c r="E817" s="49"/>
      <c r="F817" s="54"/>
      <c r="G817" s="49"/>
      <c r="H817" s="49"/>
      <c r="I817" s="49"/>
      <c r="J817" s="49"/>
      <c r="K817" s="49"/>
      <c r="L817" s="49"/>
      <c r="M817" s="49"/>
      <c r="N817" s="49"/>
      <c r="O817" s="49"/>
      <c r="P817" s="49"/>
      <c r="Q817" s="49"/>
      <c r="R817" s="49"/>
      <c r="S817" s="49"/>
    </row>
    <row r="818">
      <c r="A818" s="54"/>
      <c r="B818" s="55"/>
      <c r="C818" s="49"/>
      <c r="D818" s="54"/>
      <c r="E818" s="49"/>
      <c r="F818" s="54"/>
      <c r="G818" s="49"/>
      <c r="H818" s="49"/>
      <c r="I818" s="49"/>
      <c r="J818" s="49"/>
      <c r="K818" s="49"/>
      <c r="L818" s="49"/>
      <c r="M818" s="49"/>
      <c r="N818" s="49"/>
      <c r="O818" s="49"/>
      <c r="P818" s="49"/>
      <c r="Q818" s="49"/>
      <c r="R818" s="49"/>
      <c r="S818" s="49"/>
    </row>
    <row r="819">
      <c r="A819" s="54"/>
      <c r="B819" s="55"/>
      <c r="C819" s="49"/>
      <c r="D819" s="54"/>
      <c r="E819" s="49"/>
      <c r="F819" s="54"/>
      <c r="G819" s="49"/>
      <c r="H819" s="49"/>
      <c r="I819" s="49"/>
      <c r="J819" s="49"/>
      <c r="K819" s="49"/>
      <c r="L819" s="49"/>
      <c r="M819" s="49"/>
      <c r="N819" s="49"/>
      <c r="O819" s="49"/>
      <c r="P819" s="49"/>
      <c r="Q819" s="49"/>
      <c r="R819" s="49"/>
      <c r="S819" s="49"/>
    </row>
    <row r="820">
      <c r="A820" s="54"/>
      <c r="B820" s="55"/>
      <c r="C820" s="49"/>
      <c r="D820" s="54"/>
      <c r="E820" s="49"/>
      <c r="F820" s="54"/>
      <c r="G820" s="49"/>
      <c r="H820" s="49"/>
      <c r="I820" s="49"/>
      <c r="J820" s="49"/>
      <c r="K820" s="49"/>
      <c r="L820" s="49"/>
      <c r="M820" s="49"/>
      <c r="N820" s="49"/>
      <c r="O820" s="49"/>
      <c r="P820" s="49"/>
      <c r="Q820" s="49"/>
      <c r="R820" s="49"/>
      <c r="S820" s="49"/>
    </row>
    <row r="821">
      <c r="A821" s="54"/>
      <c r="B821" s="55"/>
      <c r="C821" s="49"/>
      <c r="D821" s="54"/>
      <c r="E821" s="49"/>
      <c r="F821" s="54"/>
      <c r="G821" s="49"/>
      <c r="H821" s="49"/>
      <c r="I821" s="49"/>
      <c r="J821" s="49"/>
      <c r="K821" s="49"/>
      <c r="L821" s="49"/>
      <c r="M821" s="49"/>
      <c r="N821" s="49"/>
      <c r="O821" s="49"/>
      <c r="P821" s="49"/>
      <c r="Q821" s="49"/>
      <c r="R821" s="49"/>
      <c r="S821" s="49"/>
    </row>
    <row r="822">
      <c r="A822" s="54"/>
      <c r="B822" s="55"/>
      <c r="C822" s="49"/>
      <c r="D822" s="54"/>
      <c r="E822" s="49"/>
      <c r="F822" s="54"/>
      <c r="G822" s="49"/>
      <c r="H822" s="49"/>
      <c r="I822" s="49"/>
      <c r="J822" s="49"/>
      <c r="K822" s="49"/>
      <c r="L822" s="49"/>
      <c r="M822" s="49"/>
      <c r="N822" s="49"/>
      <c r="O822" s="49"/>
      <c r="P822" s="49"/>
      <c r="Q822" s="49"/>
      <c r="R822" s="49"/>
      <c r="S822" s="49"/>
    </row>
    <row r="823">
      <c r="A823" s="54"/>
      <c r="B823" s="55"/>
      <c r="C823" s="49"/>
      <c r="D823" s="54"/>
      <c r="E823" s="49"/>
      <c r="F823" s="54"/>
      <c r="G823" s="49"/>
      <c r="H823" s="49"/>
      <c r="I823" s="49"/>
      <c r="J823" s="49"/>
      <c r="K823" s="49"/>
      <c r="L823" s="49"/>
      <c r="M823" s="49"/>
      <c r="N823" s="49"/>
      <c r="O823" s="49"/>
      <c r="P823" s="49"/>
      <c r="Q823" s="49"/>
      <c r="R823" s="49"/>
      <c r="S823" s="49"/>
    </row>
    <row r="824">
      <c r="A824" s="54"/>
      <c r="B824" s="55"/>
      <c r="C824" s="49"/>
      <c r="D824" s="54"/>
      <c r="E824" s="49"/>
      <c r="F824" s="54"/>
      <c r="G824" s="49"/>
      <c r="H824" s="49"/>
      <c r="I824" s="49"/>
      <c r="J824" s="49"/>
      <c r="K824" s="49"/>
      <c r="L824" s="49"/>
      <c r="M824" s="49"/>
      <c r="N824" s="49"/>
      <c r="O824" s="49"/>
      <c r="P824" s="49"/>
      <c r="Q824" s="49"/>
      <c r="R824" s="49"/>
      <c r="S824" s="49"/>
    </row>
    <row r="825">
      <c r="A825" s="54"/>
      <c r="B825" s="55"/>
      <c r="C825" s="49"/>
      <c r="D825" s="54"/>
      <c r="E825" s="49"/>
      <c r="F825" s="54"/>
      <c r="G825" s="49"/>
      <c r="H825" s="49"/>
      <c r="I825" s="49"/>
      <c r="J825" s="49"/>
      <c r="K825" s="49"/>
      <c r="L825" s="49"/>
      <c r="M825" s="49"/>
      <c r="N825" s="49"/>
      <c r="O825" s="49"/>
      <c r="P825" s="49"/>
      <c r="Q825" s="49"/>
      <c r="R825" s="49"/>
      <c r="S825" s="49"/>
    </row>
    <row r="826">
      <c r="A826" s="54"/>
      <c r="B826" s="55"/>
      <c r="C826" s="49"/>
      <c r="D826" s="54"/>
      <c r="E826" s="49"/>
      <c r="F826" s="54"/>
      <c r="G826" s="49"/>
      <c r="H826" s="49"/>
      <c r="I826" s="49"/>
      <c r="J826" s="49"/>
      <c r="K826" s="49"/>
      <c r="L826" s="49"/>
      <c r="M826" s="49"/>
      <c r="N826" s="49"/>
      <c r="O826" s="49"/>
      <c r="P826" s="49"/>
      <c r="Q826" s="49"/>
      <c r="R826" s="49"/>
      <c r="S826" s="49"/>
    </row>
    <row r="827">
      <c r="A827" s="54"/>
      <c r="B827" s="55"/>
      <c r="C827" s="49"/>
      <c r="D827" s="54"/>
      <c r="E827" s="49"/>
      <c r="F827" s="54"/>
      <c r="G827" s="49"/>
      <c r="H827" s="49"/>
      <c r="I827" s="49"/>
      <c r="J827" s="49"/>
      <c r="K827" s="49"/>
      <c r="L827" s="49"/>
      <c r="M827" s="49"/>
      <c r="N827" s="49"/>
      <c r="O827" s="49"/>
      <c r="P827" s="49"/>
      <c r="Q827" s="49"/>
      <c r="R827" s="49"/>
      <c r="S827" s="49"/>
    </row>
    <row r="828">
      <c r="A828" s="54"/>
      <c r="B828" s="55"/>
      <c r="C828" s="49"/>
      <c r="D828" s="54"/>
      <c r="E828" s="49"/>
      <c r="F828" s="54"/>
      <c r="G828" s="49"/>
      <c r="H828" s="49"/>
      <c r="I828" s="49"/>
      <c r="J828" s="49"/>
      <c r="K828" s="49"/>
      <c r="L828" s="49"/>
      <c r="M828" s="49"/>
      <c r="N828" s="49"/>
      <c r="O828" s="49"/>
      <c r="P828" s="49"/>
      <c r="Q828" s="49"/>
      <c r="R828" s="49"/>
      <c r="S828" s="49"/>
    </row>
    <row r="829">
      <c r="A829" s="54"/>
      <c r="B829" s="55"/>
      <c r="C829" s="49"/>
      <c r="D829" s="54"/>
      <c r="E829" s="49"/>
      <c r="F829" s="54"/>
      <c r="G829" s="49"/>
      <c r="H829" s="49"/>
      <c r="I829" s="49"/>
      <c r="J829" s="49"/>
      <c r="K829" s="49"/>
      <c r="L829" s="49"/>
      <c r="M829" s="49"/>
      <c r="N829" s="49"/>
      <c r="O829" s="49"/>
      <c r="P829" s="49"/>
      <c r="Q829" s="49"/>
      <c r="R829" s="49"/>
      <c r="S829" s="49"/>
    </row>
    <row r="830">
      <c r="A830" s="54"/>
      <c r="B830" s="55"/>
      <c r="C830" s="49"/>
      <c r="D830" s="54"/>
      <c r="E830" s="49"/>
      <c r="F830" s="54"/>
      <c r="G830" s="49"/>
      <c r="H830" s="49"/>
      <c r="I830" s="49"/>
      <c r="J830" s="49"/>
      <c r="K830" s="49"/>
      <c r="L830" s="49"/>
      <c r="M830" s="49"/>
      <c r="N830" s="49"/>
      <c r="O830" s="49"/>
      <c r="P830" s="49"/>
      <c r="Q830" s="49"/>
      <c r="R830" s="49"/>
      <c r="S830" s="49"/>
    </row>
    <row r="831">
      <c r="A831" s="54"/>
      <c r="B831" s="55"/>
      <c r="C831" s="49"/>
      <c r="D831" s="54"/>
      <c r="E831" s="49"/>
      <c r="F831" s="54"/>
      <c r="G831" s="49"/>
      <c r="H831" s="49"/>
      <c r="I831" s="49"/>
      <c r="J831" s="49"/>
      <c r="K831" s="49"/>
      <c r="L831" s="49"/>
      <c r="M831" s="49"/>
      <c r="N831" s="49"/>
      <c r="O831" s="49"/>
      <c r="P831" s="49"/>
      <c r="Q831" s="49"/>
      <c r="R831" s="49"/>
      <c r="S831" s="49"/>
    </row>
    <row r="832">
      <c r="A832" s="54"/>
      <c r="B832" s="55"/>
      <c r="C832" s="49"/>
      <c r="D832" s="54"/>
      <c r="E832" s="49"/>
      <c r="F832" s="54"/>
      <c r="G832" s="49"/>
      <c r="H832" s="49"/>
      <c r="I832" s="49"/>
      <c r="J832" s="49"/>
      <c r="K832" s="49"/>
      <c r="L832" s="49"/>
      <c r="M832" s="49"/>
      <c r="N832" s="49"/>
      <c r="O832" s="49"/>
      <c r="P832" s="49"/>
      <c r="Q832" s="49"/>
      <c r="R832" s="49"/>
      <c r="S832" s="49"/>
    </row>
    <row r="833">
      <c r="A833" s="54"/>
      <c r="B833" s="55"/>
      <c r="C833" s="49"/>
      <c r="D833" s="54"/>
      <c r="E833" s="49"/>
      <c r="F833" s="54"/>
      <c r="G833" s="49"/>
      <c r="H833" s="49"/>
      <c r="I833" s="49"/>
      <c r="J833" s="49"/>
      <c r="K833" s="49"/>
      <c r="L833" s="49"/>
      <c r="M833" s="49"/>
      <c r="N833" s="49"/>
      <c r="O833" s="49"/>
      <c r="P833" s="49"/>
      <c r="Q833" s="49"/>
      <c r="R833" s="49"/>
      <c r="S833" s="49"/>
    </row>
    <row r="834">
      <c r="A834" s="54"/>
      <c r="B834" s="55"/>
      <c r="C834" s="49"/>
      <c r="D834" s="54"/>
      <c r="E834" s="49"/>
      <c r="F834" s="54"/>
      <c r="G834" s="49"/>
      <c r="H834" s="49"/>
      <c r="I834" s="49"/>
      <c r="J834" s="49"/>
      <c r="K834" s="49"/>
      <c r="L834" s="49"/>
      <c r="M834" s="49"/>
      <c r="N834" s="49"/>
      <c r="O834" s="49"/>
      <c r="P834" s="49"/>
      <c r="Q834" s="49"/>
      <c r="R834" s="49"/>
      <c r="S834" s="49"/>
    </row>
    <row r="835">
      <c r="A835" s="54"/>
      <c r="B835" s="55"/>
      <c r="C835" s="49"/>
      <c r="D835" s="54"/>
      <c r="E835" s="49"/>
      <c r="F835" s="54"/>
      <c r="G835" s="49"/>
      <c r="H835" s="49"/>
      <c r="I835" s="49"/>
      <c r="J835" s="49"/>
      <c r="K835" s="49"/>
      <c r="L835" s="49"/>
      <c r="M835" s="49"/>
      <c r="N835" s="49"/>
      <c r="O835" s="49"/>
      <c r="P835" s="49"/>
      <c r="Q835" s="49"/>
      <c r="R835" s="49"/>
      <c r="S835" s="49"/>
    </row>
    <row r="836">
      <c r="A836" s="54"/>
      <c r="B836" s="55"/>
      <c r="C836" s="49"/>
      <c r="D836" s="54"/>
      <c r="E836" s="49"/>
      <c r="F836" s="54"/>
      <c r="G836" s="49"/>
      <c r="H836" s="49"/>
      <c r="I836" s="49"/>
      <c r="J836" s="49"/>
      <c r="K836" s="49"/>
      <c r="L836" s="49"/>
      <c r="M836" s="49"/>
      <c r="N836" s="49"/>
      <c r="O836" s="49"/>
      <c r="P836" s="49"/>
      <c r="Q836" s="49"/>
      <c r="R836" s="49"/>
      <c r="S836" s="49"/>
    </row>
    <row r="837">
      <c r="A837" s="54"/>
      <c r="B837" s="55"/>
      <c r="C837" s="49"/>
      <c r="D837" s="54"/>
      <c r="E837" s="49"/>
      <c r="F837" s="54"/>
      <c r="G837" s="49"/>
      <c r="H837" s="49"/>
      <c r="I837" s="49"/>
      <c r="J837" s="49"/>
      <c r="K837" s="49"/>
      <c r="L837" s="49"/>
      <c r="M837" s="49"/>
      <c r="N837" s="49"/>
      <c r="O837" s="49"/>
      <c r="P837" s="49"/>
      <c r="Q837" s="49"/>
      <c r="R837" s="49"/>
      <c r="S837" s="49"/>
    </row>
    <row r="838">
      <c r="A838" s="54"/>
      <c r="B838" s="55"/>
      <c r="C838" s="49"/>
      <c r="D838" s="54"/>
      <c r="E838" s="49"/>
      <c r="F838" s="54"/>
      <c r="G838" s="49"/>
      <c r="H838" s="49"/>
      <c r="I838" s="49"/>
      <c r="J838" s="49"/>
      <c r="K838" s="49"/>
      <c r="L838" s="49"/>
      <c r="M838" s="49"/>
      <c r="N838" s="49"/>
      <c r="O838" s="49"/>
      <c r="P838" s="49"/>
      <c r="Q838" s="49"/>
      <c r="R838" s="49"/>
      <c r="S838" s="49"/>
    </row>
    <row r="839">
      <c r="A839" s="54"/>
      <c r="B839" s="55"/>
      <c r="C839" s="49"/>
      <c r="D839" s="54"/>
      <c r="E839" s="49"/>
      <c r="F839" s="54"/>
      <c r="G839" s="49"/>
      <c r="H839" s="49"/>
      <c r="I839" s="49"/>
      <c r="J839" s="49"/>
      <c r="K839" s="49"/>
      <c r="L839" s="49"/>
      <c r="M839" s="49"/>
      <c r="N839" s="49"/>
      <c r="O839" s="49"/>
      <c r="P839" s="49"/>
      <c r="Q839" s="49"/>
      <c r="R839" s="49"/>
      <c r="S839" s="49"/>
    </row>
    <row r="840">
      <c r="A840" s="54"/>
      <c r="B840" s="55"/>
      <c r="C840" s="49"/>
      <c r="D840" s="54"/>
      <c r="E840" s="49"/>
      <c r="F840" s="54"/>
      <c r="G840" s="49"/>
      <c r="H840" s="49"/>
      <c r="I840" s="49"/>
      <c r="J840" s="49"/>
      <c r="K840" s="49"/>
      <c r="L840" s="49"/>
      <c r="M840" s="49"/>
      <c r="N840" s="49"/>
      <c r="O840" s="49"/>
      <c r="P840" s="49"/>
      <c r="Q840" s="49"/>
      <c r="R840" s="49"/>
      <c r="S840" s="49"/>
    </row>
    <row r="841">
      <c r="A841" s="54"/>
      <c r="B841" s="55"/>
      <c r="C841" s="49"/>
      <c r="D841" s="54"/>
      <c r="E841" s="49"/>
      <c r="F841" s="54"/>
      <c r="G841" s="49"/>
      <c r="H841" s="49"/>
      <c r="I841" s="49"/>
      <c r="J841" s="49"/>
      <c r="K841" s="49"/>
      <c r="L841" s="49"/>
      <c r="M841" s="49"/>
      <c r="N841" s="49"/>
      <c r="O841" s="49"/>
      <c r="P841" s="49"/>
      <c r="Q841" s="49"/>
      <c r="R841" s="49"/>
      <c r="S841" s="49"/>
    </row>
    <row r="842">
      <c r="A842" s="54"/>
      <c r="B842" s="55"/>
      <c r="C842" s="49"/>
      <c r="D842" s="54"/>
      <c r="E842" s="49"/>
      <c r="F842" s="54"/>
      <c r="G842" s="49"/>
      <c r="H842" s="49"/>
      <c r="I842" s="49"/>
      <c r="J842" s="49"/>
      <c r="K842" s="49"/>
      <c r="L842" s="49"/>
      <c r="M842" s="49"/>
      <c r="N842" s="49"/>
      <c r="O842" s="49"/>
      <c r="P842" s="49"/>
      <c r="Q842" s="49"/>
      <c r="R842" s="49"/>
      <c r="S842" s="49"/>
    </row>
    <row r="843">
      <c r="A843" s="54"/>
      <c r="B843" s="55"/>
      <c r="C843" s="49"/>
      <c r="D843" s="54"/>
      <c r="E843" s="49"/>
      <c r="F843" s="54"/>
      <c r="G843" s="49"/>
      <c r="H843" s="49"/>
      <c r="I843" s="49"/>
      <c r="J843" s="49"/>
      <c r="K843" s="49"/>
      <c r="L843" s="49"/>
      <c r="M843" s="49"/>
      <c r="N843" s="49"/>
      <c r="O843" s="49"/>
      <c r="P843" s="49"/>
      <c r="Q843" s="49"/>
      <c r="R843" s="49"/>
      <c r="S843" s="49"/>
    </row>
    <row r="844">
      <c r="A844" s="54"/>
      <c r="B844" s="55"/>
      <c r="C844" s="49"/>
      <c r="D844" s="54"/>
      <c r="E844" s="49"/>
      <c r="F844" s="54"/>
      <c r="G844" s="49"/>
      <c r="H844" s="49"/>
      <c r="I844" s="49"/>
      <c r="J844" s="49"/>
      <c r="K844" s="49"/>
      <c r="L844" s="49"/>
      <c r="M844" s="49"/>
      <c r="N844" s="49"/>
      <c r="O844" s="49"/>
      <c r="P844" s="49"/>
      <c r="Q844" s="49"/>
      <c r="R844" s="49"/>
      <c r="S844" s="49"/>
    </row>
    <row r="845">
      <c r="A845" s="54"/>
      <c r="B845" s="55"/>
      <c r="C845" s="49"/>
      <c r="D845" s="54"/>
      <c r="E845" s="49"/>
      <c r="F845" s="54"/>
      <c r="G845" s="49"/>
      <c r="H845" s="49"/>
      <c r="I845" s="49"/>
      <c r="J845" s="49"/>
      <c r="K845" s="49"/>
      <c r="L845" s="49"/>
      <c r="M845" s="49"/>
      <c r="N845" s="49"/>
      <c r="O845" s="49"/>
      <c r="P845" s="49"/>
      <c r="Q845" s="49"/>
      <c r="R845" s="49"/>
      <c r="S845" s="49"/>
    </row>
    <row r="846">
      <c r="A846" s="54"/>
      <c r="B846" s="55"/>
      <c r="C846" s="49"/>
      <c r="D846" s="54"/>
      <c r="E846" s="49"/>
      <c r="F846" s="54"/>
      <c r="G846" s="49"/>
      <c r="H846" s="49"/>
      <c r="I846" s="49"/>
      <c r="J846" s="49"/>
      <c r="K846" s="49"/>
      <c r="L846" s="49"/>
      <c r="M846" s="49"/>
      <c r="N846" s="49"/>
      <c r="O846" s="49"/>
      <c r="P846" s="49"/>
      <c r="Q846" s="49"/>
      <c r="R846" s="49"/>
      <c r="S846" s="49"/>
    </row>
    <row r="847">
      <c r="A847" s="54"/>
      <c r="B847" s="55"/>
      <c r="C847" s="49"/>
      <c r="D847" s="54"/>
      <c r="E847" s="49"/>
      <c r="F847" s="54"/>
      <c r="G847" s="49"/>
      <c r="H847" s="49"/>
      <c r="I847" s="49"/>
      <c r="J847" s="49"/>
      <c r="K847" s="49"/>
      <c r="L847" s="49"/>
      <c r="M847" s="49"/>
      <c r="N847" s="49"/>
      <c r="O847" s="49"/>
      <c r="P847" s="49"/>
      <c r="Q847" s="49"/>
      <c r="R847" s="49"/>
      <c r="S847" s="49"/>
    </row>
    <row r="848">
      <c r="A848" s="54"/>
      <c r="B848" s="55"/>
      <c r="C848" s="49"/>
      <c r="D848" s="54"/>
      <c r="E848" s="49"/>
      <c r="F848" s="54"/>
      <c r="G848" s="49"/>
      <c r="H848" s="49"/>
      <c r="I848" s="49"/>
      <c r="J848" s="49"/>
      <c r="K848" s="49"/>
      <c r="L848" s="49"/>
      <c r="M848" s="49"/>
      <c r="N848" s="49"/>
      <c r="O848" s="49"/>
      <c r="P848" s="49"/>
      <c r="Q848" s="49"/>
      <c r="R848" s="49"/>
      <c r="S848" s="49"/>
    </row>
    <row r="849">
      <c r="A849" s="54"/>
      <c r="B849" s="55"/>
      <c r="C849" s="49"/>
      <c r="D849" s="54"/>
      <c r="E849" s="49"/>
      <c r="F849" s="54"/>
      <c r="G849" s="49"/>
      <c r="H849" s="49"/>
      <c r="I849" s="49"/>
      <c r="J849" s="49"/>
      <c r="K849" s="49"/>
      <c r="L849" s="49"/>
      <c r="M849" s="49"/>
      <c r="N849" s="49"/>
      <c r="O849" s="49"/>
      <c r="P849" s="49"/>
      <c r="Q849" s="49"/>
      <c r="R849" s="49"/>
      <c r="S849" s="49"/>
    </row>
    <row r="850">
      <c r="A850" s="54"/>
      <c r="B850" s="55"/>
      <c r="C850" s="49"/>
      <c r="D850" s="54"/>
      <c r="E850" s="49"/>
      <c r="F850" s="54"/>
      <c r="G850" s="49"/>
      <c r="H850" s="49"/>
      <c r="I850" s="49"/>
      <c r="J850" s="49"/>
      <c r="K850" s="49"/>
      <c r="L850" s="49"/>
      <c r="M850" s="49"/>
      <c r="N850" s="49"/>
      <c r="O850" s="49"/>
      <c r="P850" s="49"/>
      <c r="Q850" s="49"/>
      <c r="R850" s="49"/>
      <c r="S850" s="49"/>
    </row>
    <row r="851">
      <c r="A851" s="54"/>
      <c r="B851" s="55"/>
      <c r="C851" s="49"/>
      <c r="D851" s="54"/>
      <c r="E851" s="49"/>
      <c r="F851" s="54"/>
      <c r="G851" s="49"/>
      <c r="H851" s="49"/>
      <c r="I851" s="49"/>
      <c r="J851" s="49"/>
      <c r="K851" s="49"/>
      <c r="L851" s="49"/>
      <c r="M851" s="49"/>
      <c r="N851" s="49"/>
      <c r="O851" s="49"/>
      <c r="P851" s="49"/>
      <c r="Q851" s="49"/>
      <c r="R851" s="49"/>
      <c r="S851" s="49"/>
    </row>
    <row r="852">
      <c r="A852" s="54"/>
      <c r="B852" s="55"/>
      <c r="C852" s="49"/>
      <c r="D852" s="54"/>
      <c r="E852" s="49"/>
      <c r="F852" s="54"/>
      <c r="G852" s="49"/>
      <c r="H852" s="49"/>
      <c r="I852" s="49"/>
      <c r="J852" s="49"/>
      <c r="K852" s="49"/>
      <c r="L852" s="49"/>
      <c r="M852" s="49"/>
      <c r="N852" s="49"/>
      <c r="O852" s="49"/>
      <c r="P852" s="49"/>
      <c r="Q852" s="49"/>
      <c r="R852" s="49"/>
      <c r="S852" s="49"/>
    </row>
    <row r="853">
      <c r="A853" s="54"/>
      <c r="B853" s="55"/>
      <c r="C853" s="49"/>
      <c r="D853" s="54"/>
      <c r="E853" s="49"/>
      <c r="F853" s="54"/>
      <c r="G853" s="49"/>
      <c r="H853" s="49"/>
      <c r="I853" s="49"/>
      <c r="J853" s="49"/>
      <c r="K853" s="49"/>
      <c r="L853" s="49"/>
      <c r="M853" s="49"/>
      <c r="N853" s="49"/>
      <c r="O853" s="49"/>
      <c r="P853" s="49"/>
      <c r="Q853" s="49"/>
      <c r="R853" s="49"/>
      <c r="S853" s="49"/>
    </row>
    <row r="854">
      <c r="A854" s="54"/>
      <c r="B854" s="55"/>
      <c r="C854" s="49"/>
      <c r="D854" s="54"/>
      <c r="E854" s="49"/>
      <c r="F854" s="54"/>
      <c r="G854" s="49"/>
      <c r="H854" s="49"/>
      <c r="I854" s="49"/>
      <c r="J854" s="49"/>
      <c r="K854" s="49"/>
      <c r="L854" s="49"/>
      <c r="M854" s="49"/>
      <c r="N854" s="49"/>
      <c r="O854" s="49"/>
      <c r="P854" s="49"/>
      <c r="Q854" s="49"/>
      <c r="R854" s="49"/>
      <c r="S854" s="49"/>
    </row>
    <row r="855">
      <c r="A855" s="54"/>
      <c r="B855" s="55"/>
      <c r="C855" s="49"/>
      <c r="D855" s="54"/>
      <c r="E855" s="49"/>
      <c r="F855" s="54"/>
      <c r="G855" s="49"/>
      <c r="H855" s="49"/>
      <c r="I855" s="49"/>
      <c r="J855" s="49"/>
      <c r="K855" s="49"/>
      <c r="L855" s="49"/>
      <c r="M855" s="49"/>
      <c r="N855" s="49"/>
      <c r="O855" s="49"/>
      <c r="P855" s="49"/>
      <c r="Q855" s="49"/>
      <c r="R855" s="49"/>
      <c r="S855" s="49"/>
    </row>
    <row r="856">
      <c r="A856" s="54"/>
      <c r="B856" s="55"/>
      <c r="C856" s="49"/>
      <c r="D856" s="54"/>
      <c r="E856" s="49"/>
      <c r="F856" s="54"/>
      <c r="G856" s="49"/>
      <c r="H856" s="49"/>
      <c r="I856" s="49"/>
      <c r="J856" s="49"/>
      <c r="K856" s="49"/>
      <c r="L856" s="49"/>
      <c r="M856" s="49"/>
      <c r="N856" s="49"/>
      <c r="O856" s="49"/>
      <c r="P856" s="49"/>
      <c r="Q856" s="49"/>
      <c r="R856" s="49"/>
      <c r="S856" s="49"/>
    </row>
    <row r="857">
      <c r="A857" s="54"/>
      <c r="B857" s="55"/>
      <c r="C857" s="49"/>
      <c r="D857" s="54"/>
      <c r="E857" s="49"/>
      <c r="F857" s="54"/>
      <c r="G857" s="49"/>
      <c r="H857" s="49"/>
      <c r="I857" s="49"/>
      <c r="J857" s="49"/>
      <c r="K857" s="49"/>
      <c r="L857" s="49"/>
      <c r="M857" s="49"/>
      <c r="N857" s="49"/>
      <c r="O857" s="49"/>
      <c r="P857" s="49"/>
      <c r="Q857" s="49"/>
      <c r="R857" s="49"/>
      <c r="S857" s="49"/>
    </row>
    <row r="858">
      <c r="A858" s="54"/>
      <c r="B858" s="55"/>
      <c r="C858" s="49"/>
      <c r="D858" s="54"/>
      <c r="E858" s="49"/>
      <c r="F858" s="54"/>
      <c r="G858" s="49"/>
      <c r="H858" s="49"/>
      <c r="I858" s="49"/>
      <c r="J858" s="49"/>
      <c r="K858" s="49"/>
      <c r="L858" s="49"/>
      <c r="M858" s="49"/>
      <c r="N858" s="49"/>
      <c r="O858" s="49"/>
      <c r="P858" s="49"/>
      <c r="Q858" s="49"/>
      <c r="R858" s="49"/>
      <c r="S858" s="49"/>
    </row>
    <row r="859">
      <c r="A859" s="54"/>
      <c r="B859" s="55"/>
      <c r="C859" s="49"/>
      <c r="D859" s="54"/>
      <c r="E859" s="49"/>
      <c r="F859" s="54"/>
      <c r="G859" s="49"/>
      <c r="H859" s="49"/>
      <c r="I859" s="49"/>
      <c r="J859" s="49"/>
      <c r="K859" s="49"/>
      <c r="L859" s="49"/>
      <c r="M859" s="49"/>
      <c r="N859" s="49"/>
      <c r="O859" s="49"/>
      <c r="P859" s="49"/>
      <c r="Q859" s="49"/>
      <c r="R859" s="49"/>
      <c r="S859" s="49"/>
    </row>
    <row r="860">
      <c r="A860" s="54"/>
      <c r="B860" s="55"/>
      <c r="C860" s="49"/>
      <c r="D860" s="54"/>
      <c r="E860" s="49"/>
      <c r="F860" s="54"/>
      <c r="G860" s="49"/>
      <c r="H860" s="49"/>
      <c r="I860" s="49"/>
      <c r="J860" s="49"/>
      <c r="K860" s="49"/>
      <c r="L860" s="49"/>
      <c r="M860" s="49"/>
      <c r="N860" s="49"/>
      <c r="O860" s="49"/>
      <c r="P860" s="49"/>
      <c r="Q860" s="49"/>
      <c r="R860" s="49"/>
      <c r="S860" s="49"/>
    </row>
    <row r="861">
      <c r="A861" s="54"/>
      <c r="B861" s="55"/>
      <c r="C861" s="49"/>
      <c r="D861" s="54"/>
      <c r="E861" s="49"/>
      <c r="F861" s="54"/>
      <c r="G861" s="49"/>
      <c r="H861" s="49"/>
      <c r="I861" s="49"/>
      <c r="J861" s="49"/>
      <c r="K861" s="49"/>
      <c r="L861" s="49"/>
      <c r="M861" s="49"/>
      <c r="N861" s="49"/>
      <c r="O861" s="49"/>
      <c r="P861" s="49"/>
      <c r="Q861" s="49"/>
      <c r="R861" s="49"/>
      <c r="S861" s="49"/>
    </row>
    <row r="862">
      <c r="A862" s="54"/>
      <c r="B862" s="55"/>
      <c r="C862" s="49"/>
      <c r="D862" s="54"/>
      <c r="E862" s="49"/>
      <c r="F862" s="54"/>
      <c r="G862" s="49"/>
      <c r="H862" s="49"/>
      <c r="I862" s="49"/>
      <c r="J862" s="49"/>
      <c r="K862" s="49"/>
      <c r="L862" s="49"/>
      <c r="M862" s="49"/>
      <c r="N862" s="49"/>
      <c r="O862" s="49"/>
      <c r="P862" s="49"/>
      <c r="Q862" s="49"/>
      <c r="R862" s="49"/>
      <c r="S862" s="49"/>
    </row>
    <row r="863">
      <c r="A863" s="54"/>
      <c r="B863" s="55"/>
      <c r="C863" s="49"/>
      <c r="D863" s="54"/>
      <c r="E863" s="49"/>
      <c r="F863" s="54"/>
      <c r="G863" s="49"/>
      <c r="H863" s="49"/>
      <c r="I863" s="49"/>
      <c r="J863" s="49"/>
      <c r="K863" s="49"/>
      <c r="L863" s="49"/>
      <c r="M863" s="49"/>
      <c r="N863" s="49"/>
      <c r="O863" s="49"/>
      <c r="P863" s="49"/>
      <c r="Q863" s="49"/>
      <c r="R863" s="49"/>
      <c r="S863" s="49"/>
    </row>
    <row r="864">
      <c r="A864" s="54"/>
      <c r="B864" s="55"/>
      <c r="C864" s="49"/>
      <c r="D864" s="54"/>
      <c r="E864" s="49"/>
      <c r="F864" s="54"/>
      <c r="G864" s="49"/>
      <c r="H864" s="49"/>
      <c r="I864" s="49"/>
      <c r="J864" s="49"/>
      <c r="K864" s="49"/>
      <c r="L864" s="49"/>
      <c r="M864" s="49"/>
      <c r="N864" s="49"/>
      <c r="O864" s="49"/>
      <c r="P864" s="49"/>
      <c r="Q864" s="49"/>
      <c r="R864" s="49"/>
      <c r="S864" s="49"/>
    </row>
    <row r="865">
      <c r="A865" s="54"/>
      <c r="B865" s="55"/>
      <c r="C865" s="49"/>
      <c r="D865" s="54"/>
      <c r="E865" s="49"/>
      <c r="F865" s="54"/>
      <c r="G865" s="49"/>
      <c r="H865" s="49"/>
      <c r="I865" s="49"/>
      <c r="J865" s="49"/>
      <c r="K865" s="49"/>
      <c r="L865" s="49"/>
      <c r="M865" s="49"/>
      <c r="N865" s="49"/>
      <c r="O865" s="49"/>
      <c r="P865" s="49"/>
      <c r="Q865" s="49"/>
      <c r="R865" s="49"/>
      <c r="S865" s="49"/>
    </row>
    <row r="866">
      <c r="A866" s="54"/>
      <c r="B866" s="55"/>
      <c r="C866" s="49"/>
      <c r="D866" s="54"/>
      <c r="E866" s="49"/>
      <c r="F866" s="54"/>
      <c r="G866" s="49"/>
      <c r="H866" s="49"/>
      <c r="I866" s="49"/>
      <c r="J866" s="49"/>
      <c r="K866" s="49"/>
      <c r="L866" s="49"/>
      <c r="M866" s="49"/>
      <c r="N866" s="49"/>
      <c r="O866" s="49"/>
      <c r="P866" s="49"/>
      <c r="Q866" s="49"/>
      <c r="R866" s="49"/>
      <c r="S866" s="49"/>
    </row>
    <row r="867">
      <c r="A867" s="54"/>
      <c r="B867" s="55"/>
      <c r="C867" s="49"/>
      <c r="D867" s="54"/>
      <c r="E867" s="49"/>
      <c r="F867" s="54"/>
      <c r="G867" s="49"/>
      <c r="H867" s="49"/>
      <c r="I867" s="49"/>
      <c r="J867" s="49"/>
      <c r="K867" s="49"/>
      <c r="L867" s="49"/>
      <c r="M867" s="49"/>
      <c r="N867" s="49"/>
      <c r="O867" s="49"/>
      <c r="P867" s="49"/>
      <c r="Q867" s="49"/>
      <c r="R867" s="49"/>
      <c r="S867" s="49"/>
    </row>
    <row r="868">
      <c r="A868" s="54"/>
      <c r="B868" s="55"/>
      <c r="C868" s="49"/>
      <c r="D868" s="54"/>
      <c r="E868" s="49"/>
      <c r="F868" s="54"/>
      <c r="G868" s="49"/>
      <c r="H868" s="49"/>
      <c r="I868" s="49"/>
      <c r="J868" s="49"/>
      <c r="K868" s="49"/>
      <c r="L868" s="49"/>
      <c r="M868" s="49"/>
      <c r="N868" s="49"/>
      <c r="O868" s="49"/>
      <c r="P868" s="49"/>
      <c r="Q868" s="49"/>
      <c r="R868" s="49"/>
      <c r="S868" s="49"/>
    </row>
    <row r="869">
      <c r="A869" s="54"/>
      <c r="B869" s="55"/>
      <c r="C869" s="49"/>
      <c r="D869" s="54"/>
      <c r="E869" s="49"/>
      <c r="F869" s="54"/>
      <c r="G869" s="49"/>
      <c r="H869" s="49"/>
      <c r="I869" s="49"/>
      <c r="J869" s="49"/>
      <c r="K869" s="49"/>
      <c r="L869" s="49"/>
      <c r="M869" s="49"/>
      <c r="N869" s="49"/>
      <c r="O869" s="49"/>
      <c r="P869" s="49"/>
      <c r="Q869" s="49"/>
      <c r="R869" s="49"/>
      <c r="S869" s="49"/>
    </row>
    <row r="870">
      <c r="A870" s="54"/>
      <c r="B870" s="55"/>
      <c r="C870" s="49"/>
      <c r="D870" s="54"/>
      <c r="E870" s="49"/>
      <c r="F870" s="54"/>
      <c r="G870" s="49"/>
      <c r="H870" s="49"/>
      <c r="I870" s="49"/>
      <c r="J870" s="49"/>
      <c r="K870" s="49"/>
      <c r="L870" s="49"/>
      <c r="M870" s="49"/>
      <c r="N870" s="49"/>
      <c r="O870" s="49"/>
      <c r="P870" s="49"/>
      <c r="Q870" s="49"/>
      <c r="R870" s="49"/>
      <c r="S870" s="49"/>
    </row>
    <row r="871">
      <c r="A871" s="54"/>
      <c r="B871" s="55"/>
      <c r="C871" s="49"/>
      <c r="D871" s="54"/>
      <c r="E871" s="49"/>
      <c r="F871" s="54"/>
      <c r="G871" s="49"/>
      <c r="H871" s="49"/>
      <c r="I871" s="49"/>
      <c r="J871" s="49"/>
      <c r="K871" s="49"/>
      <c r="L871" s="49"/>
      <c r="M871" s="49"/>
      <c r="N871" s="49"/>
      <c r="O871" s="49"/>
      <c r="P871" s="49"/>
      <c r="Q871" s="49"/>
      <c r="R871" s="49"/>
      <c r="S871" s="49"/>
    </row>
    <row r="872">
      <c r="A872" s="54"/>
      <c r="B872" s="55"/>
      <c r="C872" s="49"/>
      <c r="D872" s="54"/>
      <c r="E872" s="49"/>
      <c r="F872" s="54"/>
      <c r="G872" s="49"/>
      <c r="H872" s="49"/>
      <c r="I872" s="49"/>
      <c r="J872" s="49"/>
      <c r="K872" s="49"/>
      <c r="L872" s="49"/>
      <c r="M872" s="49"/>
      <c r="N872" s="49"/>
      <c r="O872" s="49"/>
      <c r="P872" s="49"/>
      <c r="Q872" s="49"/>
      <c r="R872" s="49"/>
      <c r="S872" s="49"/>
    </row>
    <row r="873">
      <c r="A873" s="54"/>
      <c r="B873" s="55"/>
      <c r="C873" s="49"/>
      <c r="D873" s="54"/>
      <c r="E873" s="49"/>
      <c r="F873" s="54"/>
      <c r="G873" s="49"/>
      <c r="H873" s="49"/>
      <c r="I873" s="49"/>
      <c r="J873" s="49"/>
      <c r="K873" s="49"/>
      <c r="L873" s="49"/>
      <c r="M873" s="49"/>
      <c r="N873" s="49"/>
      <c r="O873" s="49"/>
      <c r="P873" s="49"/>
      <c r="Q873" s="49"/>
      <c r="R873" s="49"/>
      <c r="S873" s="49"/>
    </row>
    <row r="874">
      <c r="A874" s="54"/>
      <c r="B874" s="55"/>
      <c r="C874" s="49"/>
      <c r="D874" s="54"/>
      <c r="E874" s="49"/>
      <c r="F874" s="54"/>
      <c r="G874" s="49"/>
      <c r="H874" s="49"/>
      <c r="I874" s="49"/>
      <c r="J874" s="49"/>
      <c r="K874" s="49"/>
      <c r="L874" s="49"/>
      <c r="M874" s="49"/>
      <c r="N874" s="49"/>
      <c r="O874" s="49"/>
      <c r="P874" s="49"/>
      <c r="Q874" s="49"/>
      <c r="R874" s="49"/>
      <c r="S874" s="49"/>
    </row>
    <row r="875">
      <c r="A875" s="54"/>
      <c r="B875" s="55"/>
      <c r="C875" s="49"/>
      <c r="D875" s="54"/>
      <c r="E875" s="49"/>
      <c r="F875" s="54"/>
      <c r="G875" s="49"/>
      <c r="H875" s="49"/>
      <c r="I875" s="49"/>
      <c r="J875" s="49"/>
      <c r="K875" s="49"/>
      <c r="L875" s="49"/>
      <c r="M875" s="49"/>
      <c r="N875" s="49"/>
      <c r="O875" s="49"/>
      <c r="P875" s="49"/>
      <c r="Q875" s="49"/>
      <c r="R875" s="49"/>
      <c r="S875" s="49"/>
    </row>
    <row r="876">
      <c r="A876" s="54"/>
      <c r="B876" s="55"/>
      <c r="C876" s="49"/>
      <c r="D876" s="54"/>
      <c r="E876" s="49"/>
      <c r="F876" s="54"/>
      <c r="G876" s="49"/>
      <c r="H876" s="49"/>
      <c r="I876" s="49"/>
      <c r="J876" s="49"/>
      <c r="K876" s="49"/>
      <c r="L876" s="49"/>
      <c r="M876" s="49"/>
      <c r="N876" s="49"/>
      <c r="O876" s="49"/>
      <c r="P876" s="49"/>
      <c r="Q876" s="49"/>
      <c r="R876" s="49"/>
      <c r="S876" s="49"/>
    </row>
    <row r="877">
      <c r="A877" s="54"/>
      <c r="B877" s="55"/>
      <c r="C877" s="49"/>
      <c r="D877" s="54"/>
      <c r="E877" s="49"/>
      <c r="F877" s="54"/>
      <c r="G877" s="49"/>
      <c r="H877" s="49"/>
      <c r="I877" s="49"/>
      <c r="J877" s="49"/>
      <c r="K877" s="49"/>
      <c r="L877" s="49"/>
      <c r="M877" s="49"/>
      <c r="N877" s="49"/>
      <c r="O877" s="49"/>
      <c r="P877" s="49"/>
      <c r="Q877" s="49"/>
      <c r="R877" s="49"/>
      <c r="S877" s="49"/>
    </row>
    <row r="878">
      <c r="A878" s="54"/>
      <c r="B878" s="55"/>
      <c r="C878" s="49"/>
      <c r="D878" s="54"/>
      <c r="E878" s="49"/>
      <c r="F878" s="54"/>
      <c r="G878" s="49"/>
      <c r="H878" s="49"/>
      <c r="I878" s="49"/>
      <c r="J878" s="49"/>
      <c r="K878" s="49"/>
      <c r="L878" s="49"/>
      <c r="M878" s="49"/>
      <c r="N878" s="49"/>
      <c r="O878" s="49"/>
      <c r="P878" s="49"/>
      <c r="Q878" s="49"/>
      <c r="R878" s="49"/>
      <c r="S878" s="49"/>
    </row>
    <row r="879">
      <c r="A879" s="54"/>
      <c r="B879" s="55"/>
      <c r="C879" s="49"/>
      <c r="D879" s="54"/>
      <c r="E879" s="49"/>
      <c r="F879" s="54"/>
      <c r="G879" s="49"/>
      <c r="H879" s="49"/>
      <c r="I879" s="49"/>
      <c r="J879" s="49"/>
      <c r="K879" s="49"/>
      <c r="L879" s="49"/>
      <c r="M879" s="49"/>
      <c r="N879" s="49"/>
      <c r="O879" s="49"/>
      <c r="P879" s="49"/>
      <c r="Q879" s="49"/>
      <c r="R879" s="49"/>
      <c r="S879" s="49"/>
    </row>
    <row r="880">
      <c r="A880" s="54"/>
      <c r="B880" s="55"/>
      <c r="C880" s="49"/>
      <c r="D880" s="54"/>
      <c r="E880" s="49"/>
      <c r="F880" s="54"/>
      <c r="G880" s="49"/>
      <c r="H880" s="49"/>
      <c r="I880" s="49"/>
      <c r="J880" s="49"/>
      <c r="K880" s="49"/>
      <c r="L880" s="49"/>
      <c r="M880" s="49"/>
      <c r="N880" s="49"/>
      <c r="O880" s="49"/>
      <c r="P880" s="49"/>
      <c r="Q880" s="49"/>
      <c r="R880" s="49"/>
      <c r="S880" s="49"/>
    </row>
    <row r="881">
      <c r="A881" s="54"/>
      <c r="B881" s="55"/>
      <c r="C881" s="49"/>
      <c r="D881" s="54"/>
      <c r="E881" s="49"/>
      <c r="F881" s="54"/>
      <c r="G881" s="49"/>
      <c r="H881" s="49"/>
      <c r="I881" s="49"/>
      <c r="J881" s="49"/>
      <c r="K881" s="49"/>
      <c r="L881" s="49"/>
      <c r="M881" s="49"/>
      <c r="N881" s="49"/>
      <c r="O881" s="49"/>
      <c r="P881" s="49"/>
      <c r="Q881" s="49"/>
      <c r="R881" s="49"/>
      <c r="S881" s="49"/>
    </row>
    <row r="882">
      <c r="A882" s="54"/>
      <c r="B882" s="55"/>
      <c r="C882" s="49"/>
      <c r="D882" s="54"/>
      <c r="E882" s="49"/>
      <c r="F882" s="54"/>
      <c r="G882" s="49"/>
      <c r="H882" s="49"/>
      <c r="I882" s="49"/>
      <c r="J882" s="49"/>
      <c r="K882" s="49"/>
      <c r="L882" s="49"/>
      <c r="M882" s="49"/>
      <c r="N882" s="49"/>
      <c r="O882" s="49"/>
      <c r="P882" s="49"/>
      <c r="Q882" s="49"/>
      <c r="R882" s="49"/>
      <c r="S882" s="49"/>
    </row>
    <row r="883">
      <c r="A883" s="54"/>
      <c r="B883" s="55"/>
      <c r="C883" s="49"/>
      <c r="D883" s="54"/>
      <c r="E883" s="49"/>
      <c r="F883" s="54"/>
      <c r="G883" s="49"/>
      <c r="H883" s="49"/>
      <c r="I883" s="49"/>
      <c r="J883" s="49"/>
      <c r="K883" s="49"/>
      <c r="L883" s="49"/>
      <c r="M883" s="49"/>
      <c r="N883" s="49"/>
      <c r="O883" s="49"/>
      <c r="P883" s="49"/>
      <c r="Q883" s="49"/>
      <c r="R883" s="49"/>
      <c r="S883" s="49"/>
    </row>
    <row r="884">
      <c r="A884" s="54"/>
      <c r="B884" s="55"/>
      <c r="C884" s="49"/>
      <c r="D884" s="54"/>
      <c r="E884" s="49"/>
      <c r="F884" s="54"/>
      <c r="G884" s="49"/>
      <c r="H884" s="49"/>
      <c r="I884" s="49"/>
      <c r="J884" s="49"/>
      <c r="K884" s="49"/>
      <c r="L884" s="49"/>
      <c r="M884" s="49"/>
      <c r="N884" s="49"/>
      <c r="O884" s="49"/>
      <c r="P884" s="49"/>
      <c r="Q884" s="49"/>
      <c r="R884" s="49"/>
      <c r="S884" s="49"/>
    </row>
    <row r="885">
      <c r="A885" s="54"/>
      <c r="B885" s="55"/>
      <c r="C885" s="49"/>
      <c r="D885" s="54"/>
      <c r="E885" s="49"/>
      <c r="F885" s="54"/>
      <c r="G885" s="49"/>
      <c r="H885" s="49"/>
      <c r="I885" s="49"/>
      <c r="J885" s="49"/>
      <c r="K885" s="49"/>
      <c r="L885" s="49"/>
      <c r="M885" s="49"/>
      <c r="N885" s="49"/>
      <c r="O885" s="49"/>
      <c r="P885" s="49"/>
      <c r="Q885" s="49"/>
      <c r="R885" s="49"/>
      <c r="S885" s="49"/>
    </row>
    <row r="886">
      <c r="A886" s="54"/>
      <c r="B886" s="55"/>
      <c r="C886" s="49"/>
      <c r="D886" s="54"/>
      <c r="E886" s="49"/>
      <c r="F886" s="54"/>
      <c r="G886" s="49"/>
      <c r="H886" s="49"/>
      <c r="I886" s="49"/>
      <c r="J886" s="49"/>
      <c r="K886" s="49"/>
      <c r="L886" s="49"/>
      <c r="M886" s="49"/>
      <c r="N886" s="49"/>
      <c r="O886" s="49"/>
      <c r="P886" s="49"/>
      <c r="Q886" s="49"/>
      <c r="R886" s="49"/>
      <c r="S886" s="49"/>
    </row>
    <row r="887">
      <c r="A887" s="54"/>
      <c r="B887" s="55"/>
      <c r="C887" s="49"/>
      <c r="D887" s="54"/>
      <c r="E887" s="49"/>
      <c r="F887" s="54"/>
      <c r="G887" s="49"/>
      <c r="H887" s="49"/>
      <c r="I887" s="49"/>
      <c r="J887" s="49"/>
      <c r="K887" s="49"/>
      <c r="L887" s="49"/>
      <c r="M887" s="49"/>
      <c r="N887" s="49"/>
      <c r="O887" s="49"/>
      <c r="P887" s="49"/>
      <c r="Q887" s="49"/>
      <c r="R887" s="49"/>
      <c r="S887" s="49"/>
    </row>
    <row r="888">
      <c r="A888" s="54"/>
      <c r="B888" s="55"/>
      <c r="C888" s="49"/>
      <c r="D888" s="54"/>
      <c r="E888" s="49"/>
      <c r="F888" s="54"/>
      <c r="G888" s="49"/>
      <c r="H888" s="49"/>
      <c r="I888" s="49"/>
      <c r="J888" s="49"/>
      <c r="K888" s="49"/>
      <c r="L888" s="49"/>
      <c r="M888" s="49"/>
      <c r="N888" s="49"/>
      <c r="O888" s="49"/>
      <c r="P888" s="49"/>
      <c r="Q888" s="49"/>
      <c r="R888" s="49"/>
      <c r="S888" s="49"/>
    </row>
    <row r="889">
      <c r="A889" s="54"/>
      <c r="B889" s="55"/>
      <c r="C889" s="49"/>
      <c r="D889" s="54"/>
      <c r="E889" s="49"/>
      <c r="F889" s="54"/>
      <c r="G889" s="49"/>
      <c r="H889" s="49"/>
      <c r="I889" s="49"/>
      <c r="J889" s="49"/>
      <c r="K889" s="49"/>
      <c r="L889" s="49"/>
      <c r="M889" s="49"/>
      <c r="N889" s="49"/>
      <c r="O889" s="49"/>
      <c r="P889" s="49"/>
      <c r="Q889" s="49"/>
      <c r="R889" s="49"/>
      <c r="S889" s="49"/>
    </row>
    <row r="890">
      <c r="A890" s="54"/>
      <c r="B890" s="55"/>
      <c r="C890" s="49"/>
      <c r="D890" s="54"/>
      <c r="E890" s="49"/>
      <c r="F890" s="54"/>
      <c r="G890" s="49"/>
      <c r="H890" s="49"/>
      <c r="I890" s="49"/>
      <c r="J890" s="49"/>
      <c r="K890" s="49"/>
      <c r="L890" s="49"/>
      <c r="M890" s="49"/>
      <c r="N890" s="49"/>
      <c r="O890" s="49"/>
      <c r="P890" s="49"/>
      <c r="Q890" s="49"/>
      <c r="R890" s="49"/>
      <c r="S890" s="49"/>
    </row>
    <row r="891">
      <c r="A891" s="54"/>
      <c r="B891" s="55"/>
      <c r="C891" s="49"/>
      <c r="D891" s="54"/>
      <c r="E891" s="49"/>
      <c r="F891" s="54"/>
      <c r="G891" s="49"/>
      <c r="H891" s="49"/>
      <c r="I891" s="49"/>
      <c r="J891" s="49"/>
      <c r="K891" s="49"/>
      <c r="L891" s="49"/>
      <c r="M891" s="49"/>
      <c r="N891" s="49"/>
      <c r="O891" s="49"/>
      <c r="P891" s="49"/>
      <c r="Q891" s="49"/>
      <c r="R891" s="49"/>
      <c r="S891" s="49"/>
    </row>
    <row r="892">
      <c r="A892" s="54"/>
      <c r="B892" s="55"/>
      <c r="C892" s="49"/>
      <c r="D892" s="54"/>
      <c r="E892" s="49"/>
      <c r="F892" s="54"/>
      <c r="G892" s="49"/>
      <c r="H892" s="49"/>
      <c r="I892" s="49"/>
      <c r="J892" s="49"/>
      <c r="K892" s="49"/>
      <c r="L892" s="49"/>
      <c r="M892" s="49"/>
      <c r="N892" s="49"/>
      <c r="O892" s="49"/>
      <c r="P892" s="49"/>
      <c r="Q892" s="49"/>
      <c r="R892" s="49"/>
      <c r="S892" s="49"/>
    </row>
    <row r="893">
      <c r="A893" s="54"/>
      <c r="B893" s="55"/>
      <c r="C893" s="49"/>
      <c r="D893" s="54"/>
      <c r="E893" s="49"/>
      <c r="F893" s="54"/>
      <c r="G893" s="49"/>
      <c r="H893" s="49"/>
      <c r="I893" s="49"/>
      <c r="J893" s="49"/>
      <c r="K893" s="49"/>
      <c r="L893" s="49"/>
      <c r="M893" s="49"/>
      <c r="N893" s="49"/>
      <c r="O893" s="49"/>
      <c r="P893" s="49"/>
      <c r="Q893" s="49"/>
      <c r="R893" s="49"/>
      <c r="S893" s="49"/>
    </row>
    <row r="894">
      <c r="A894" s="54"/>
      <c r="B894" s="55"/>
      <c r="C894" s="49"/>
      <c r="D894" s="54"/>
      <c r="E894" s="49"/>
      <c r="F894" s="54"/>
      <c r="G894" s="49"/>
      <c r="H894" s="49"/>
      <c r="I894" s="49"/>
      <c r="J894" s="49"/>
      <c r="K894" s="49"/>
      <c r="L894" s="49"/>
      <c r="M894" s="49"/>
      <c r="N894" s="49"/>
      <c r="O894" s="49"/>
      <c r="P894" s="49"/>
      <c r="Q894" s="49"/>
      <c r="R894" s="49"/>
      <c r="S894" s="49"/>
    </row>
    <row r="895">
      <c r="A895" s="54"/>
      <c r="B895" s="55"/>
      <c r="C895" s="49"/>
      <c r="D895" s="54"/>
      <c r="E895" s="49"/>
      <c r="F895" s="54"/>
      <c r="G895" s="49"/>
      <c r="H895" s="49"/>
      <c r="I895" s="49"/>
      <c r="J895" s="49"/>
      <c r="K895" s="49"/>
      <c r="L895" s="49"/>
      <c r="M895" s="49"/>
      <c r="N895" s="49"/>
      <c r="O895" s="49"/>
      <c r="P895" s="49"/>
      <c r="Q895" s="49"/>
      <c r="R895" s="49"/>
      <c r="S895" s="49"/>
    </row>
    <row r="896">
      <c r="A896" s="54"/>
      <c r="B896" s="55"/>
      <c r="C896" s="49"/>
      <c r="D896" s="54"/>
      <c r="E896" s="49"/>
      <c r="F896" s="54"/>
      <c r="G896" s="49"/>
      <c r="H896" s="49"/>
      <c r="I896" s="49"/>
      <c r="J896" s="49"/>
      <c r="K896" s="49"/>
      <c r="L896" s="49"/>
      <c r="M896" s="49"/>
      <c r="N896" s="49"/>
      <c r="O896" s="49"/>
      <c r="P896" s="49"/>
      <c r="Q896" s="49"/>
      <c r="R896" s="49"/>
      <c r="S896" s="49"/>
    </row>
    <row r="897">
      <c r="A897" s="54"/>
      <c r="B897" s="55"/>
      <c r="C897" s="49"/>
      <c r="D897" s="54"/>
      <c r="E897" s="49"/>
      <c r="F897" s="54"/>
      <c r="G897" s="49"/>
      <c r="H897" s="49"/>
      <c r="I897" s="49"/>
      <c r="J897" s="49"/>
      <c r="K897" s="49"/>
      <c r="L897" s="49"/>
      <c r="M897" s="49"/>
      <c r="N897" s="49"/>
      <c r="O897" s="49"/>
      <c r="P897" s="49"/>
      <c r="Q897" s="49"/>
      <c r="R897" s="49"/>
      <c r="S897" s="49"/>
    </row>
    <row r="898">
      <c r="A898" s="54"/>
      <c r="B898" s="55"/>
      <c r="C898" s="49"/>
      <c r="D898" s="54"/>
      <c r="E898" s="49"/>
      <c r="F898" s="54"/>
      <c r="G898" s="49"/>
      <c r="H898" s="49"/>
      <c r="I898" s="49"/>
      <c r="J898" s="49"/>
      <c r="K898" s="49"/>
      <c r="L898" s="49"/>
      <c r="M898" s="49"/>
      <c r="N898" s="49"/>
      <c r="O898" s="49"/>
      <c r="P898" s="49"/>
      <c r="Q898" s="49"/>
      <c r="R898" s="49"/>
      <c r="S898" s="49"/>
    </row>
    <row r="899">
      <c r="A899" s="54"/>
      <c r="B899" s="55"/>
      <c r="C899" s="49"/>
      <c r="D899" s="54"/>
      <c r="E899" s="49"/>
      <c r="F899" s="54"/>
      <c r="G899" s="49"/>
      <c r="H899" s="49"/>
      <c r="I899" s="49"/>
      <c r="J899" s="49"/>
      <c r="K899" s="49"/>
      <c r="L899" s="49"/>
      <c r="M899" s="49"/>
      <c r="N899" s="49"/>
      <c r="O899" s="49"/>
      <c r="P899" s="49"/>
      <c r="Q899" s="49"/>
      <c r="R899" s="49"/>
      <c r="S899" s="49"/>
    </row>
    <row r="900">
      <c r="A900" s="54"/>
      <c r="B900" s="55"/>
      <c r="C900" s="49"/>
      <c r="D900" s="54"/>
      <c r="E900" s="49"/>
      <c r="F900" s="54"/>
      <c r="G900" s="49"/>
      <c r="H900" s="49"/>
      <c r="I900" s="49"/>
      <c r="J900" s="49"/>
      <c r="K900" s="49"/>
      <c r="L900" s="49"/>
      <c r="M900" s="49"/>
      <c r="N900" s="49"/>
      <c r="O900" s="49"/>
      <c r="P900" s="49"/>
      <c r="Q900" s="49"/>
      <c r="R900" s="49"/>
      <c r="S900" s="49"/>
    </row>
    <row r="901">
      <c r="A901" s="54"/>
      <c r="B901" s="55"/>
      <c r="C901" s="49"/>
      <c r="D901" s="54"/>
      <c r="E901" s="49"/>
      <c r="F901" s="54"/>
      <c r="G901" s="49"/>
      <c r="H901" s="49"/>
      <c r="I901" s="49"/>
      <c r="J901" s="49"/>
      <c r="K901" s="49"/>
      <c r="L901" s="49"/>
      <c r="M901" s="49"/>
      <c r="N901" s="49"/>
      <c r="O901" s="49"/>
      <c r="P901" s="49"/>
      <c r="Q901" s="49"/>
      <c r="R901" s="49"/>
      <c r="S901" s="49"/>
    </row>
    <row r="902">
      <c r="A902" s="54"/>
      <c r="B902" s="55"/>
      <c r="C902" s="49"/>
      <c r="D902" s="54"/>
      <c r="E902" s="49"/>
      <c r="F902" s="54"/>
      <c r="G902" s="49"/>
      <c r="H902" s="49"/>
      <c r="I902" s="49"/>
      <c r="J902" s="49"/>
      <c r="K902" s="49"/>
      <c r="L902" s="49"/>
      <c r="M902" s="49"/>
      <c r="N902" s="49"/>
      <c r="O902" s="49"/>
      <c r="P902" s="49"/>
      <c r="Q902" s="49"/>
      <c r="R902" s="49"/>
      <c r="S902" s="49"/>
    </row>
    <row r="903">
      <c r="A903" s="54"/>
      <c r="B903" s="55"/>
      <c r="C903" s="49"/>
      <c r="D903" s="54"/>
      <c r="E903" s="49"/>
      <c r="F903" s="54"/>
      <c r="G903" s="49"/>
      <c r="H903" s="49"/>
      <c r="I903" s="49"/>
      <c r="J903" s="49"/>
      <c r="K903" s="49"/>
      <c r="L903" s="49"/>
      <c r="M903" s="49"/>
      <c r="N903" s="49"/>
      <c r="O903" s="49"/>
      <c r="P903" s="49"/>
      <c r="Q903" s="49"/>
      <c r="R903" s="49"/>
      <c r="S903" s="49"/>
    </row>
    <row r="904">
      <c r="A904" s="54"/>
      <c r="B904" s="55"/>
      <c r="C904" s="49"/>
      <c r="D904" s="54"/>
      <c r="E904" s="49"/>
      <c r="F904" s="54"/>
      <c r="G904" s="49"/>
      <c r="H904" s="49"/>
      <c r="I904" s="49"/>
      <c r="J904" s="49"/>
      <c r="K904" s="49"/>
      <c r="L904" s="49"/>
      <c r="M904" s="49"/>
      <c r="N904" s="49"/>
      <c r="O904" s="49"/>
      <c r="P904" s="49"/>
      <c r="Q904" s="49"/>
      <c r="R904" s="49"/>
      <c r="S904" s="49"/>
    </row>
    <row r="905">
      <c r="A905" s="54"/>
      <c r="B905" s="55"/>
      <c r="C905" s="49"/>
      <c r="D905" s="54"/>
      <c r="E905" s="49"/>
      <c r="F905" s="54"/>
      <c r="G905" s="49"/>
      <c r="H905" s="49"/>
      <c r="I905" s="49"/>
      <c r="J905" s="49"/>
      <c r="K905" s="49"/>
      <c r="L905" s="49"/>
      <c r="M905" s="49"/>
      <c r="N905" s="49"/>
      <c r="O905" s="49"/>
      <c r="P905" s="49"/>
      <c r="Q905" s="49"/>
      <c r="R905" s="49"/>
      <c r="S905" s="49"/>
    </row>
    <row r="906">
      <c r="A906" s="54"/>
      <c r="B906" s="55"/>
      <c r="C906" s="49"/>
      <c r="D906" s="54"/>
      <c r="E906" s="49"/>
      <c r="F906" s="54"/>
      <c r="G906" s="49"/>
      <c r="H906" s="49"/>
      <c r="I906" s="49"/>
      <c r="J906" s="49"/>
      <c r="K906" s="49"/>
      <c r="L906" s="49"/>
      <c r="M906" s="49"/>
      <c r="N906" s="49"/>
      <c r="O906" s="49"/>
      <c r="P906" s="49"/>
      <c r="Q906" s="49"/>
      <c r="R906" s="49"/>
      <c r="S906" s="49"/>
    </row>
    <row r="907">
      <c r="A907" s="54"/>
      <c r="B907" s="55"/>
      <c r="C907" s="49"/>
      <c r="D907" s="54"/>
      <c r="E907" s="49"/>
      <c r="F907" s="54"/>
      <c r="G907" s="49"/>
      <c r="H907" s="49"/>
      <c r="I907" s="49"/>
      <c r="J907" s="49"/>
      <c r="K907" s="49"/>
      <c r="L907" s="49"/>
      <c r="M907" s="49"/>
      <c r="N907" s="49"/>
      <c r="O907" s="49"/>
      <c r="P907" s="49"/>
      <c r="Q907" s="49"/>
      <c r="R907" s="49"/>
      <c r="S907" s="49"/>
    </row>
    <row r="908">
      <c r="A908" s="54"/>
      <c r="B908" s="55"/>
      <c r="C908" s="49"/>
      <c r="D908" s="54"/>
      <c r="E908" s="49"/>
      <c r="F908" s="54"/>
      <c r="G908" s="49"/>
      <c r="H908" s="49"/>
      <c r="I908" s="49"/>
      <c r="J908" s="49"/>
      <c r="K908" s="49"/>
      <c r="L908" s="49"/>
      <c r="M908" s="49"/>
      <c r="N908" s="49"/>
      <c r="O908" s="49"/>
      <c r="P908" s="49"/>
      <c r="Q908" s="49"/>
      <c r="R908" s="49"/>
      <c r="S908" s="49"/>
    </row>
    <row r="909">
      <c r="A909" s="54"/>
      <c r="B909" s="55"/>
      <c r="C909" s="49"/>
      <c r="D909" s="54"/>
      <c r="E909" s="49"/>
      <c r="F909" s="54"/>
      <c r="G909" s="49"/>
      <c r="H909" s="49"/>
      <c r="I909" s="49"/>
      <c r="J909" s="49"/>
      <c r="K909" s="49"/>
      <c r="L909" s="49"/>
      <c r="M909" s="49"/>
      <c r="N909" s="49"/>
      <c r="O909" s="49"/>
      <c r="P909" s="49"/>
      <c r="Q909" s="49"/>
      <c r="R909" s="49"/>
      <c r="S909" s="49"/>
    </row>
    <row r="910">
      <c r="A910" s="54"/>
      <c r="B910" s="55"/>
      <c r="C910" s="49"/>
      <c r="D910" s="54"/>
      <c r="E910" s="49"/>
      <c r="F910" s="54"/>
      <c r="G910" s="49"/>
      <c r="H910" s="49"/>
      <c r="I910" s="49"/>
      <c r="J910" s="49"/>
      <c r="K910" s="49"/>
      <c r="L910" s="49"/>
      <c r="M910" s="49"/>
      <c r="N910" s="49"/>
      <c r="O910" s="49"/>
      <c r="P910" s="49"/>
      <c r="Q910" s="49"/>
      <c r="R910" s="49"/>
      <c r="S910" s="49"/>
    </row>
    <row r="911">
      <c r="A911" s="54"/>
      <c r="B911" s="55"/>
      <c r="C911" s="49"/>
      <c r="D911" s="54"/>
      <c r="E911" s="49"/>
      <c r="F911" s="54"/>
      <c r="G911" s="49"/>
      <c r="H911" s="49"/>
      <c r="I911" s="49"/>
      <c r="J911" s="49"/>
      <c r="K911" s="49"/>
      <c r="L911" s="49"/>
      <c r="M911" s="49"/>
      <c r="N911" s="49"/>
      <c r="O911" s="49"/>
      <c r="P911" s="49"/>
      <c r="Q911" s="49"/>
      <c r="R911" s="49"/>
      <c r="S911" s="49"/>
    </row>
    <row r="912">
      <c r="A912" s="54"/>
      <c r="B912" s="55"/>
      <c r="C912" s="49"/>
      <c r="D912" s="54"/>
      <c r="E912" s="49"/>
      <c r="F912" s="54"/>
      <c r="G912" s="49"/>
      <c r="H912" s="49"/>
      <c r="I912" s="49"/>
      <c r="J912" s="49"/>
      <c r="K912" s="49"/>
      <c r="L912" s="49"/>
      <c r="M912" s="49"/>
      <c r="N912" s="49"/>
      <c r="O912" s="49"/>
      <c r="P912" s="49"/>
      <c r="Q912" s="49"/>
      <c r="R912" s="49"/>
      <c r="S912" s="49"/>
    </row>
    <row r="913">
      <c r="A913" s="54"/>
      <c r="B913" s="55"/>
      <c r="C913" s="49"/>
      <c r="D913" s="54"/>
      <c r="E913" s="49"/>
      <c r="F913" s="54"/>
      <c r="G913" s="49"/>
      <c r="H913" s="49"/>
      <c r="I913" s="49"/>
      <c r="J913" s="49"/>
      <c r="K913" s="49"/>
      <c r="L913" s="49"/>
      <c r="M913" s="49"/>
      <c r="N913" s="49"/>
      <c r="O913" s="49"/>
      <c r="P913" s="49"/>
      <c r="Q913" s="49"/>
      <c r="R913" s="49"/>
      <c r="S913" s="49"/>
    </row>
    <row r="914">
      <c r="A914" s="54"/>
      <c r="B914" s="55"/>
      <c r="C914" s="49"/>
      <c r="D914" s="54"/>
      <c r="E914" s="49"/>
      <c r="F914" s="54"/>
      <c r="G914" s="49"/>
      <c r="H914" s="49"/>
      <c r="I914" s="49"/>
      <c r="J914" s="49"/>
      <c r="K914" s="49"/>
      <c r="L914" s="49"/>
      <c r="M914" s="49"/>
      <c r="N914" s="49"/>
      <c r="O914" s="49"/>
      <c r="P914" s="49"/>
      <c r="Q914" s="49"/>
      <c r="R914" s="49"/>
      <c r="S914" s="49"/>
    </row>
    <row r="915">
      <c r="A915" s="54"/>
      <c r="B915" s="55"/>
      <c r="C915" s="49"/>
      <c r="D915" s="54"/>
      <c r="E915" s="49"/>
      <c r="F915" s="54"/>
      <c r="G915" s="49"/>
      <c r="H915" s="49"/>
      <c r="I915" s="49"/>
      <c r="J915" s="49"/>
      <c r="K915" s="49"/>
      <c r="L915" s="49"/>
      <c r="M915" s="49"/>
      <c r="N915" s="49"/>
      <c r="O915" s="49"/>
      <c r="P915" s="49"/>
      <c r="Q915" s="49"/>
      <c r="R915" s="49"/>
      <c r="S915" s="49"/>
    </row>
    <row r="916">
      <c r="A916" s="54"/>
      <c r="B916" s="55"/>
      <c r="C916" s="49"/>
      <c r="D916" s="54"/>
      <c r="E916" s="49"/>
      <c r="F916" s="54"/>
      <c r="G916" s="49"/>
      <c r="H916" s="49"/>
      <c r="I916" s="49"/>
      <c r="J916" s="49"/>
      <c r="K916" s="49"/>
      <c r="L916" s="49"/>
      <c r="M916" s="49"/>
      <c r="N916" s="49"/>
      <c r="O916" s="49"/>
      <c r="P916" s="49"/>
      <c r="Q916" s="49"/>
      <c r="R916" s="49"/>
      <c r="S916" s="49"/>
    </row>
    <row r="917">
      <c r="A917" s="54"/>
      <c r="B917" s="55"/>
      <c r="C917" s="49"/>
      <c r="D917" s="54"/>
      <c r="E917" s="49"/>
      <c r="F917" s="54"/>
      <c r="G917" s="49"/>
      <c r="H917" s="49"/>
      <c r="I917" s="49"/>
      <c r="J917" s="49"/>
      <c r="K917" s="49"/>
      <c r="L917" s="49"/>
      <c r="M917" s="49"/>
      <c r="N917" s="49"/>
      <c r="O917" s="49"/>
      <c r="P917" s="49"/>
      <c r="Q917" s="49"/>
      <c r="R917" s="49"/>
      <c r="S917" s="49"/>
    </row>
    <row r="918">
      <c r="A918" s="54"/>
      <c r="B918" s="55"/>
      <c r="C918" s="49"/>
      <c r="D918" s="54"/>
      <c r="E918" s="49"/>
      <c r="F918" s="54"/>
      <c r="G918" s="49"/>
      <c r="H918" s="49"/>
      <c r="I918" s="49"/>
      <c r="J918" s="49"/>
      <c r="K918" s="49"/>
      <c r="L918" s="49"/>
      <c r="M918" s="49"/>
      <c r="N918" s="49"/>
      <c r="O918" s="49"/>
      <c r="P918" s="49"/>
      <c r="Q918" s="49"/>
      <c r="R918" s="49"/>
      <c r="S918" s="49"/>
    </row>
    <row r="919">
      <c r="A919" s="54"/>
      <c r="B919" s="55"/>
      <c r="C919" s="49"/>
      <c r="D919" s="54"/>
      <c r="E919" s="49"/>
      <c r="F919" s="54"/>
      <c r="G919" s="49"/>
      <c r="H919" s="49"/>
      <c r="I919" s="49"/>
      <c r="J919" s="49"/>
      <c r="K919" s="49"/>
      <c r="L919" s="49"/>
      <c r="M919" s="49"/>
      <c r="N919" s="49"/>
      <c r="O919" s="49"/>
      <c r="P919" s="49"/>
      <c r="Q919" s="49"/>
      <c r="R919" s="49"/>
      <c r="S919" s="49"/>
    </row>
    <row r="920">
      <c r="A920" s="54"/>
      <c r="B920" s="55"/>
      <c r="C920" s="49"/>
      <c r="D920" s="54"/>
      <c r="E920" s="49"/>
      <c r="F920" s="54"/>
      <c r="G920" s="49"/>
      <c r="H920" s="49"/>
      <c r="I920" s="49"/>
      <c r="J920" s="49"/>
      <c r="K920" s="49"/>
      <c r="L920" s="49"/>
      <c r="M920" s="49"/>
      <c r="N920" s="49"/>
      <c r="O920" s="49"/>
      <c r="P920" s="49"/>
      <c r="Q920" s="49"/>
      <c r="R920" s="49"/>
      <c r="S920" s="49"/>
    </row>
    <row r="921">
      <c r="A921" s="54"/>
      <c r="B921" s="55"/>
      <c r="C921" s="49"/>
      <c r="D921" s="54"/>
      <c r="E921" s="49"/>
      <c r="F921" s="54"/>
      <c r="G921" s="49"/>
      <c r="H921" s="49"/>
      <c r="I921" s="49"/>
      <c r="J921" s="49"/>
      <c r="K921" s="49"/>
      <c r="L921" s="49"/>
      <c r="M921" s="49"/>
      <c r="N921" s="49"/>
      <c r="O921" s="49"/>
      <c r="P921" s="49"/>
      <c r="Q921" s="49"/>
      <c r="R921" s="49"/>
      <c r="S921" s="49"/>
    </row>
    <row r="922">
      <c r="A922" s="54"/>
      <c r="B922" s="55"/>
      <c r="C922" s="49"/>
      <c r="D922" s="54"/>
      <c r="E922" s="49"/>
      <c r="F922" s="54"/>
      <c r="G922" s="49"/>
      <c r="H922" s="49"/>
      <c r="I922" s="49"/>
      <c r="J922" s="49"/>
      <c r="K922" s="49"/>
      <c r="L922" s="49"/>
      <c r="M922" s="49"/>
      <c r="N922" s="49"/>
      <c r="O922" s="49"/>
      <c r="P922" s="49"/>
      <c r="Q922" s="49"/>
      <c r="R922" s="49"/>
      <c r="S922" s="49"/>
    </row>
    <row r="923">
      <c r="A923" s="54"/>
      <c r="B923" s="55"/>
      <c r="C923" s="49"/>
      <c r="D923" s="54"/>
      <c r="E923" s="49"/>
      <c r="F923" s="54"/>
      <c r="G923" s="49"/>
      <c r="H923" s="49"/>
      <c r="I923" s="49"/>
      <c r="J923" s="49"/>
      <c r="K923" s="49"/>
      <c r="L923" s="49"/>
      <c r="M923" s="49"/>
      <c r="N923" s="49"/>
      <c r="O923" s="49"/>
      <c r="P923" s="49"/>
      <c r="Q923" s="49"/>
      <c r="R923" s="49"/>
      <c r="S923" s="49"/>
    </row>
    <row r="924">
      <c r="A924" s="54"/>
      <c r="B924" s="55"/>
      <c r="C924" s="49"/>
      <c r="D924" s="54"/>
      <c r="E924" s="49"/>
      <c r="F924" s="54"/>
      <c r="G924" s="49"/>
      <c r="H924" s="49"/>
      <c r="I924" s="49"/>
      <c r="J924" s="49"/>
      <c r="K924" s="49"/>
      <c r="L924" s="49"/>
      <c r="M924" s="49"/>
      <c r="N924" s="49"/>
      <c r="O924" s="49"/>
      <c r="P924" s="49"/>
      <c r="Q924" s="49"/>
      <c r="R924" s="49"/>
      <c r="S924" s="49"/>
    </row>
    <row r="925">
      <c r="A925" s="54"/>
      <c r="B925" s="55"/>
      <c r="C925" s="49"/>
      <c r="D925" s="54"/>
      <c r="E925" s="49"/>
      <c r="F925" s="54"/>
      <c r="G925" s="49"/>
      <c r="H925" s="49"/>
      <c r="I925" s="49"/>
      <c r="J925" s="49"/>
      <c r="K925" s="49"/>
      <c r="L925" s="49"/>
      <c r="M925" s="49"/>
      <c r="N925" s="49"/>
      <c r="O925" s="49"/>
      <c r="P925" s="49"/>
      <c r="Q925" s="49"/>
      <c r="R925" s="49"/>
      <c r="S925" s="49"/>
    </row>
    <row r="926">
      <c r="A926" s="54"/>
      <c r="B926" s="55"/>
      <c r="C926" s="49"/>
      <c r="D926" s="54"/>
      <c r="E926" s="49"/>
      <c r="F926" s="54"/>
      <c r="G926" s="49"/>
      <c r="H926" s="49"/>
      <c r="I926" s="49"/>
      <c r="J926" s="49"/>
      <c r="K926" s="49"/>
      <c r="L926" s="49"/>
      <c r="M926" s="49"/>
      <c r="N926" s="49"/>
      <c r="O926" s="49"/>
      <c r="P926" s="49"/>
      <c r="Q926" s="49"/>
      <c r="R926" s="49"/>
      <c r="S926" s="49"/>
    </row>
    <row r="927">
      <c r="A927" s="54"/>
      <c r="B927" s="55"/>
      <c r="C927" s="49"/>
      <c r="D927" s="54"/>
      <c r="E927" s="49"/>
      <c r="F927" s="54"/>
      <c r="G927" s="49"/>
      <c r="H927" s="49"/>
      <c r="I927" s="49"/>
      <c r="J927" s="49"/>
      <c r="K927" s="49"/>
      <c r="L927" s="49"/>
      <c r="M927" s="49"/>
      <c r="N927" s="49"/>
      <c r="O927" s="49"/>
      <c r="P927" s="49"/>
      <c r="Q927" s="49"/>
      <c r="R927" s="49"/>
      <c r="S927" s="49"/>
    </row>
    <row r="928">
      <c r="A928" s="54"/>
      <c r="B928" s="55"/>
      <c r="C928" s="49"/>
      <c r="D928" s="54"/>
      <c r="E928" s="49"/>
      <c r="F928" s="54"/>
      <c r="G928" s="49"/>
      <c r="H928" s="49"/>
      <c r="I928" s="49"/>
      <c r="J928" s="49"/>
      <c r="K928" s="49"/>
      <c r="L928" s="49"/>
      <c r="M928" s="49"/>
      <c r="N928" s="49"/>
      <c r="O928" s="49"/>
      <c r="P928" s="49"/>
      <c r="Q928" s="49"/>
      <c r="R928" s="49"/>
      <c r="S928" s="49"/>
    </row>
    <row r="929">
      <c r="A929" s="54"/>
      <c r="B929" s="55"/>
      <c r="C929" s="49"/>
      <c r="D929" s="54"/>
      <c r="E929" s="49"/>
      <c r="F929" s="54"/>
      <c r="G929" s="49"/>
      <c r="H929" s="49"/>
      <c r="I929" s="49"/>
      <c r="J929" s="49"/>
      <c r="K929" s="49"/>
      <c r="L929" s="49"/>
      <c r="M929" s="49"/>
      <c r="N929" s="49"/>
      <c r="O929" s="49"/>
      <c r="P929" s="49"/>
      <c r="Q929" s="49"/>
      <c r="R929" s="49"/>
      <c r="S929" s="49"/>
    </row>
    <row r="930">
      <c r="A930" s="54"/>
      <c r="B930" s="55"/>
      <c r="C930" s="49"/>
      <c r="D930" s="54"/>
      <c r="E930" s="49"/>
      <c r="F930" s="54"/>
      <c r="G930" s="49"/>
      <c r="H930" s="49"/>
      <c r="I930" s="49"/>
      <c r="J930" s="49"/>
      <c r="K930" s="49"/>
      <c r="L930" s="49"/>
      <c r="M930" s="49"/>
      <c r="N930" s="49"/>
      <c r="O930" s="49"/>
      <c r="P930" s="49"/>
      <c r="Q930" s="49"/>
      <c r="R930" s="49"/>
      <c r="S930" s="49"/>
    </row>
    <row r="931">
      <c r="A931" s="54"/>
      <c r="B931" s="55"/>
      <c r="C931" s="49"/>
      <c r="D931" s="54"/>
      <c r="E931" s="49"/>
      <c r="F931" s="54"/>
      <c r="G931" s="49"/>
      <c r="H931" s="49"/>
      <c r="I931" s="49"/>
      <c r="J931" s="49"/>
      <c r="K931" s="49"/>
      <c r="L931" s="49"/>
      <c r="M931" s="49"/>
      <c r="N931" s="49"/>
      <c r="O931" s="49"/>
      <c r="P931" s="49"/>
      <c r="Q931" s="49"/>
      <c r="R931" s="49"/>
      <c r="S931" s="49"/>
    </row>
    <row r="932">
      <c r="A932" s="54"/>
      <c r="B932" s="55"/>
      <c r="C932" s="49"/>
      <c r="D932" s="54"/>
      <c r="E932" s="49"/>
      <c r="F932" s="54"/>
      <c r="G932" s="49"/>
      <c r="H932" s="49"/>
      <c r="I932" s="49"/>
      <c r="J932" s="49"/>
      <c r="K932" s="49"/>
      <c r="L932" s="49"/>
      <c r="M932" s="49"/>
      <c r="N932" s="49"/>
      <c r="O932" s="49"/>
      <c r="P932" s="49"/>
      <c r="Q932" s="49"/>
      <c r="R932" s="49"/>
      <c r="S932" s="49"/>
    </row>
    <row r="933">
      <c r="A933" s="54"/>
      <c r="B933" s="55"/>
      <c r="C933" s="49"/>
      <c r="D933" s="54"/>
      <c r="E933" s="49"/>
      <c r="F933" s="54"/>
      <c r="G933" s="49"/>
      <c r="H933" s="49"/>
      <c r="I933" s="49"/>
      <c r="J933" s="49"/>
      <c r="K933" s="49"/>
      <c r="L933" s="49"/>
      <c r="M933" s="49"/>
      <c r="N933" s="49"/>
      <c r="O933" s="49"/>
      <c r="P933" s="49"/>
      <c r="Q933" s="49"/>
      <c r="R933" s="49"/>
      <c r="S933" s="49"/>
    </row>
    <row r="934">
      <c r="A934" s="54"/>
      <c r="B934" s="55"/>
      <c r="C934" s="49"/>
      <c r="D934" s="54"/>
      <c r="E934" s="49"/>
      <c r="F934" s="54"/>
      <c r="G934" s="49"/>
      <c r="H934" s="49"/>
      <c r="I934" s="49"/>
      <c r="J934" s="49"/>
      <c r="K934" s="49"/>
      <c r="L934" s="49"/>
      <c r="M934" s="49"/>
      <c r="N934" s="49"/>
      <c r="O934" s="49"/>
      <c r="P934" s="49"/>
      <c r="Q934" s="49"/>
      <c r="R934" s="49"/>
      <c r="S934" s="49"/>
    </row>
    <row r="935">
      <c r="A935" s="54"/>
      <c r="B935" s="55"/>
      <c r="C935" s="49"/>
      <c r="D935" s="54"/>
      <c r="E935" s="49"/>
      <c r="F935" s="54"/>
      <c r="G935" s="49"/>
      <c r="H935" s="49"/>
      <c r="I935" s="49"/>
      <c r="J935" s="49"/>
      <c r="K935" s="49"/>
      <c r="L935" s="49"/>
      <c r="M935" s="49"/>
      <c r="N935" s="49"/>
      <c r="O935" s="49"/>
      <c r="P935" s="49"/>
      <c r="Q935" s="49"/>
      <c r="R935" s="49"/>
      <c r="S935" s="49"/>
    </row>
    <row r="936">
      <c r="A936" s="54"/>
      <c r="B936" s="55"/>
      <c r="C936" s="49"/>
      <c r="D936" s="54"/>
      <c r="E936" s="49"/>
      <c r="F936" s="54"/>
      <c r="G936" s="49"/>
      <c r="H936" s="49"/>
      <c r="I936" s="49"/>
      <c r="J936" s="49"/>
      <c r="K936" s="49"/>
      <c r="L936" s="49"/>
      <c r="M936" s="49"/>
      <c r="N936" s="49"/>
      <c r="O936" s="49"/>
      <c r="P936" s="49"/>
      <c r="Q936" s="49"/>
      <c r="R936" s="49"/>
      <c r="S936" s="49"/>
    </row>
    <row r="937">
      <c r="A937" s="54"/>
      <c r="B937" s="55"/>
      <c r="C937" s="49"/>
      <c r="D937" s="54"/>
      <c r="E937" s="49"/>
      <c r="F937" s="54"/>
      <c r="G937" s="49"/>
      <c r="H937" s="49"/>
      <c r="I937" s="49"/>
      <c r="J937" s="49"/>
      <c r="K937" s="49"/>
      <c r="L937" s="49"/>
      <c r="M937" s="49"/>
      <c r="N937" s="49"/>
      <c r="O937" s="49"/>
      <c r="P937" s="49"/>
      <c r="Q937" s="49"/>
      <c r="R937" s="49"/>
      <c r="S937" s="49"/>
    </row>
    <row r="938">
      <c r="A938" s="54"/>
      <c r="B938" s="55"/>
      <c r="C938" s="49"/>
      <c r="D938" s="54"/>
      <c r="E938" s="49"/>
      <c r="F938" s="54"/>
      <c r="G938" s="49"/>
      <c r="H938" s="49"/>
      <c r="I938" s="49"/>
      <c r="J938" s="49"/>
      <c r="K938" s="49"/>
      <c r="L938" s="49"/>
      <c r="M938" s="49"/>
      <c r="N938" s="49"/>
      <c r="O938" s="49"/>
      <c r="P938" s="49"/>
      <c r="Q938" s="49"/>
      <c r="R938" s="49"/>
      <c r="S938" s="49"/>
    </row>
    <row r="939">
      <c r="A939" s="54"/>
      <c r="B939" s="55"/>
      <c r="C939" s="49"/>
      <c r="D939" s="54"/>
      <c r="E939" s="49"/>
      <c r="F939" s="54"/>
      <c r="G939" s="49"/>
      <c r="H939" s="49"/>
      <c r="I939" s="49"/>
      <c r="J939" s="49"/>
      <c r="K939" s="49"/>
      <c r="L939" s="49"/>
      <c r="M939" s="49"/>
      <c r="N939" s="49"/>
      <c r="O939" s="49"/>
      <c r="P939" s="49"/>
      <c r="Q939" s="49"/>
      <c r="R939" s="49"/>
      <c r="S939" s="49"/>
    </row>
    <row r="940">
      <c r="A940" s="54"/>
      <c r="B940" s="55"/>
      <c r="C940" s="49"/>
      <c r="D940" s="54"/>
      <c r="E940" s="49"/>
      <c r="F940" s="54"/>
      <c r="G940" s="49"/>
      <c r="H940" s="49"/>
      <c r="I940" s="49"/>
      <c r="J940" s="49"/>
      <c r="K940" s="49"/>
      <c r="L940" s="49"/>
      <c r="M940" s="49"/>
      <c r="N940" s="49"/>
      <c r="O940" s="49"/>
      <c r="P940" s="49"/>
      <c r="Q940" s="49"/>
      <c r="R940" s="49"/>
      <c r="S940" s="49"/>
    </row>
    <row r="941">
      <c r="A941" s="54"/>
      <c r="B941" s="55"/>
      <c r="C941" s="49"/>
      <c r="D941" s="54"/>
      <c r="E941" s="49"/>
      <c r="F941" s="54"/>
      <c r="G941" s="49"/>
      <c r="H941" s="49"/>
      <c r="I941" s="49"/>
      <c r="J941" s="49"/>
      <c r="K941" s="49"/>
      <c r="L941" s="49"/>
      <c r="M941" s="49"/>
      <c r="N941" s="49"/>
      <c r="O941" s="49"/>
      <c r="P941" s="49"/>
      <c r="Q941" s="49"/>
      <c r="R941" s="49"/>
      <c r="S941" s="49"/>
    </row>
    <row r="942">
      <c r="A942" s="54"/>
      <c r="B942" s="55"/>
      <c r="C942" s="49"/>
      <c r="D942" s="54"/>
      <c r="E942" s="49"/>
      <c r="F942" s="54"/>
      <c r="G942" s="49"/>
      <c r="H942" s="49"/>
      <c r="I942" s="49"/>
      <c r="J942" s="49"/>
      <c r="K942" s="49"/>
      <c r="L942" s="49"/>
      <c r="M942" s="49"/>
      <c r="N942" s="49"/>
      <c r="O942" s="49"/>
      <c r="P942" s="49"/>
      <c r="Q942" s="49"/>
      <c r="R942" s="49"/>
      <c r="S942" s="49"/>
    </row>
    <row r="943">
      <c r="A943" s="54"/>
      <c r="B943" s="55"/>
      <c r="C943" s="49"/>
      <c r="D943" s="54"/>
      <c r="E943" s="49"/>
      <c r="F943" s="54"/>
      <c r="G943" s="49"/>
      <c r="H943" s="49"/>
      <c r="I943" s="49"/>
      <c r="J943" s="49"/>
      <c r="K943" s="49"/>
      <c r="L943" s="49"/>
      <c r="M943" s="49"/>
      <c r="N943" s="49"/>
      <c r="O943" s="49"/>
      <c r="P943" s="49"/>
      <c r="Q943" s="49"/>
      <c r="R943" s="49"/>
      <c r="S943" s="49"/>
    </row>
    <row r="944">
      <c r="A944" s="54"/>
      <c r="B944" s="55"/>
      <c r="C944" s="49"/>
      <c r="D944" s="54"/>
      <c r="E944" s="49"/>
      <c r="F944" s="54"/>
      <c r="G944" s="49"/>
      <c r="H944" s="49"/>
      <c r="I944" s="49"/>
      <c r="J944" s="49"/>
      <c r="K944" s="49"/>
      <c r="L944" s="49"/>
      <c r="M944" s="49"/>
      <c r="N944" s="49"/>
      <c r="O944" s="49"/>
      <c r="P944" s="49"/>
      <c r="Q944" s="49"/>
      <c r="R944" s="49"/>
      <c r="S944" s="49"/>
    </row>
    <row r="945">
      <c r="A945" s="54"/>
      <c r="B945" s="55"/>
      <c r="C945" s="49"/>
      <c r="D945" s="54"/>
      <c r="E945" s="49"/>
      <c r="F945" s="54"/>
      <c r="G945" s="49"/>
      <c r="H945" s="49"/>
      <c r="I945" s="49"/>
      <c r="J945" s="49"/>
      <c r="K945" s="49"/>
      <c r="L945" s="49"/>
      <c r="M945" s="49"/>
      <c r="N945" s="49"/>
      <c r="O945" s="49"/>
      <c r="P945" s="49"/>
      <c r="Q945" s="49"/>
      <c r="R945" s="49"/>
      <c r="S945" s="49"/>
    </row>
    <row r="946">
      <c r="A946" s="54"/>
      <c r="B946" s="55"/>
      <c r="C946" s="49"/>
      <c r="D946" s="54"/>
      <c r="E946" s="49"/>
      <c r="F946" s="54"/>
      <c r="G946" s="49"/>
      <c r="H946" s="49"/>
      <c r="I946" s="49"/>
      <c r="J946" s="49"/>
      <c r="K946" s="49"/>
      <c r="L946" s="49"/>
      <c r="M946" s="49"/>
      <c r="N946" s="49"/>
      <c r="O946" s="49"/>
      <c r="P946" s="49"/>
      <c r="Q946" s="49"/>
      <c r="R946" s="49"/>
      <c r="S946" s="49"/>
    </row>
    <row r="947">
      <c r="A947" s="54"/>
      <c r="B947" s="55"/>
      <c r="C947" s="49"/>
      <c r="D947" s="54"/>
      <c r="E947" s="49"/>
      <c r="F947" s="54"/>
      <c r="G947" s="49"/>
      <c r="H947" s="49"/>
      <c r="I947" s="49"/>
      <c r="J947" s="49"/>
      <c r="K947" s="49"/>
      <c r="L947" s="49"/>
      <c r="M947" s="49"/>
      <c r="N947" s="49"/>
      <c r="O947" s="49"/>
      <c r="P947" s="49"/>
      <c r="Q947" s="49"/>
      <c r="R947" s="49"/>
      <c r="S947" s="49"/>
    </row>
    <row r="948">
      <c r="A948" s="54"/>
      <c r="B948" s="55"/>
      <c r="C948" s="49"/>
      <c r="D948" s="54"/>
      <c r="E948" s="49"/>
      <c r="F948" s="54"/>
      <c r="G948" s="49"/>
      <c r="H948" s="49"/>
      <c r="I948" s="49"/>
      <c r="J948" s="49"/>
      <c r="K948" s="49"/>
      <c r="L948" s="49"/>
      <c r="M948" s="49"/>
      <c r="N948" s="49"/>
      <c r="O948" s="49"/>
      <c r="P948" s="49"/>
      <c r="Q948" s="49"/>
      <c r="R948" s="49"/>
      <c r="S948" s="49"/>
    </row>
    <row r="949">
      <c r="A949" s="54"/>
      <c r="B949" s="55"/>
      <c r="C949" s="49"/>
      <c r="D949" s="54"/>
      <c r="E949" s="49"/>
      <c r="F949" s="54"/>
      <c r="G949" s="49"/>
      <c r="H949" s="49"/>
      <c r="I949" s="49"/>
      <c r="J949" s="49"/>
      <c r="K949" s="49"/>
      <c r="L949" s="49"/>
      <c r="M949" s="49"/>
      <c r="N949" s="49"/>
      <c r="O949" s="49"/>
      <c r="P949" s="49"/>
      <c r="Q949" s="49"/>
      <c r="R949" s="49"/>
      <c r="S949" s="49"/>
    </row>
    <row r="950">
      <c r="A950" s="54"/>
      <c r="B950" s="55"/>
      <c r="C950" s="49"/>
      <c r="D950" s="54"/>
      <c r="E950" s="49"/>
      <c r="F950" s="54"/>
      <c r="G950" s="49"/>
      <c r="H950" s="49"/>
      <c r="I950" s="49"/>
      <c r="J950" s="49"/>
      <c r="K950" s="49"/>
      <c r="L950" s="49"/>
      <c r="M950" s="49"/>
      <c r="N950" s="49"/>
      <c r="O950" s="49"/>
      <c r="P950" s="49"/>
      <c r="Q950" s="49"/>
      <c r="R950" s="49"/>
      <c r="S950" s="49"/>
    </row>
    <row r="951">
      <c r="A951" s="54"/>
      <c r="B951" s="55"/>
      <c r="C951" s="49"/>
      <c r="D951" s="54"/>
      <c r="E951" s="49"/>
      <c r="F951" s="54"/>
      <c r="G951" s="49"/>
      <c r="H951" s="49"/>
      <c r="I951" s="49"/>
      <c r="J951" s="49"/>
      <c r="K951" s="49"/>
      <c r="L951" s="49"/>
      <c r="M951" s="49"/>
      <c r="N951" s="49"/>
      <c r="O951" s="49"/>
      <c r="P951" s="49"/>
      <c r="Q951" s="49"/>
      <c r="R951" s="49"/>
      <c r="S951" s="49"/>
    </row>
    <row r="952">
      <c r="A952" s="54"/>
      <c r="B952" s="55"/>
      <c r="C952" s="49"/>
      <c r="D952" s="54"/>
      <c r="E952" s="49"/>
      <c r="F952" s="54"/>
      <c r="G952" s="49"/>
      <c r="H952" s="49"/>
      <c r="I952" s="49"/>
      <c r="J952" s="49"/>
      <c r="K952" s="49"/>
      <c r="L952" s="49"/>
      <c r="M952" s="49"/>
      <c r="N952" s="49"/>
      <c r="O952" s="49"/>
      <c r="P952" s="49"/>
      <c r="Q952" s="49"/>
      <c r="R952" s="49"/>
      <c r="S952" s="49"/>
    </row>
    <row r="953">
      <c r="A953" s="54"/>
      <c r="B953" s="55"/>
      <c r="C953" s="49"/>
      <c r="D953" s="54"/>
      <c r="E953" s="49"/>
      <c r="F953" s="54"/>
      <c r="G953" s="49"/>
      <c r="H953" s="49"/>
      <c r="I953" s="49"/>
      <c r="J953" s="49"/>
      <c r="K953" s="49"/>
      <c r="L953" s="49"/>
      <c r="M953" s="49"/>
      <c r="N953" s="49"/>
      <c r="O953" s="49"/>
      <c r="P953" s="49"/>
      <c r="Q953" s="49"/>
      <c r="R953" s="49"/>
      <c r="S953" s="49"/>
    </row>
    <row r="954">
      <c r="A954" s="54"/>
      <c r="B954" s="55"/>
      <c r="C954" s="49"/>
      <c r="D954" s="54"/>
      <c r="E954" s="49"/>
      <c r="F954" s="54"/>
      <c r="G954" s="49"/>
      <c r="H954" s="49"/>
      <c r="I954" s="49"/>
      <c r="J954" s="49"/>
      <c r="K954" s="49"/>
      <c r="L954" s="49"/>
      <c r="M954" s="49"/>
      <c r="N954" s="49"/>
      <c r="O954" s="49"/>
      <c r="P954" s="49"/>
      <c r="Q954" s="49"/>
      <c r="R954" s="49"/>
      <c r="S954" s="49"/>
    </row>
    <row r="955">
      <c r="A955" s="54"/>
      <c r="B955" s="55"/>
      <c r="C955" s="49"/>
      <c r="D955" s="54"/>
      <c r="E955" s="49"/>
      <c r="F955" s="54"/>
      <c r="G955" s="49"/>
      <c r="H955" s="49"/>
      <c r="I955" s="49"/>
      <c r="J955" s="49"/>
      <c r="K955" s="49"/>
      <c r="L955" s="49"/>
      <c r="M955" s="49"/>
      <c r="N955" s="49"/>
      <c r="O955" s="49"/>
      <c r="P955" s="49"/>
      <c r="Q955" s="49"/>
      <c r="R955" s="49"/>
      <c r="S955" s="49"/>
    </row>
    <row r="956">
      <c r="A956" s="54"/>
      <c r="B956" s="55"/>
      <c r="C956" s="49"/>
      <c r="D956" s="54"/>
      <c r="E956" s="49"/>
      <c r="F956" s="54"/>
      <c r="G956" s="49"/>
      <c r="H956" s="49"/>
      <c r="I956" s="49"/>
      <c r="J956" s="49"/>
      <c r="K956" s="49"/>
      <c r="L956" s="49"/>
      <c r="M956" s="49"/>
      <c r="N956" s="49"/>
      <c r="O956" s="49"/>
      <c r="P956" s="49"/>
      <c r="Q956" s="49"/>
      <c r="R956" s="49"/>
      <c r="S956" s="49"/>
    </row>
    <row r="957">
      <c r="A957" s="54"/>
      <c r="B957" s="55"/>
      <c r="C957" s="49"/>
      <c r="D957" s="54"/>
      <c r="E957" s="49"/>
      <c r="F957" s="54"/>
      <c r="G957" s="49"/>
      <c r="H957" s="49"/>
      <c r="I957" s="49"/>
      <c r="J957" s="49"/>
      <c r="K957" s="49"/>
      <c r="L957" s="49"/>
      <c r="M957" s="49"/>
      <c r="N957" s="49"/>
      <c r="O957" s="49"/>
      <c r="P957" s="49"/>
      <c r="Q957" s="49"/>
      <c r="R957" s="49"/>
      <c r="S957" s="49"/>
    </row>
    <row r="958">
      <c r="A958" s="54"/>
      <c r="B958" s="55"/>
      <c r="C958" s="49"/>
      <c r="D958" s="54"/>
      <c r="E958" s="49"/>
      <c r="F958" s="54"/>
      <c r="G958" s="49"/>
      <c r="H958" s="49"/>
      <c r="I958" s="49"/>
      <c r="J958" s="49"/>
      <c r="K958" s="49"/>
      <c r="L958" s="49"/>
      <c r="M958" s="49"/>
      <c r="N958" s="49"/>
      <c r="O958" s="49"/>
      <c r="P958" s="49"/>
      <c r="Q958" s="49"/>
      <c r="R958" s="49"/>
      <c r="S958" s="49"/>
    </row>
    <row r="959">
      <c r="A959" s="54"/>
      <c r="B959" s="55"/>
      <c r="C959" s="49"/>
      <c r="D959" s="54"/>
      <c r="E959" s="49"/>
      <c r="F959" s="54"/>
      <c r="G959" s="49"/>
      <c r="H959" s="49"/>
      <c r="I959" s="49"/>
      <c r="J959" s="49"/>
      <c r="K959" s="49"/>
      <c r="L959" s="49"/>
      <c r="M959" s="49"/>
      <c r="N959" s="49"/>
      <c r="O959" s="49"/>
      <c r="P959" s="49"/>
      <c r="Q959" s="49"/>
      <c r="R959" s="49"/>
      <c r="S959" s="49"/>
    </row>
    <row r="960">
      <c r="A960" s="54"/>
      <c r="B960" s="55"/>
      <c r="C960" s="49"/>
      <c r="D960" s="54"/>
      <c r="E960" s="49"/>
      <c r="F960" s="54"/>
      <c r="G960" s="49"/>
      <c r="H960" s="49"/>
      <c r="I960" s="49"/>
      <c r="J960" s="49"/>
      <c r="K960" s="49"/>
      <c r="L960" s="49"/>
      <c r="M960" s="49"/>
      <c r="N960" s="49"/>
      <c r="O960" s="49"/>
      <c r="P960" s="49"/>
      <c r="Q960" s="49"/>
      <c r="R960" s="49"/>
      <c r="S960" s="49"/>
    </row>
    <row r="961">
      <c r="A961" s="54"/>
      <c r="B961" s="55"/>
      <c r="C961" s="49"/>
      <c r="D961" s="54"/>
      <c r="E961" s="49"/>
      <c r="F961" s="54"/>
      <c r="G961" s="49"/>
      <c r="H961" s="49"/>
      <c r="I961" s="49"/>
      <c r="J961" s="49"/>
      <c r="K961" s="49"/>
      <c r="L961" s="49"/>
      <c r="M961" s="49"/>
      <c r="N961" s="49"/>
      <c r="O961" s="49"/>
      <c r="P961" s="49"/>
      <c r="Q961" s="49"/>
      <c r="R961" s="49"/>
      <c r="S961" s="49"/>
    </row>
    <row r="962">
      <c r="A962" s="54"/>
      <c r="B962" s="55"/>
      <c r="C962" s="49"/>
      <c r="D962" s="54"/>
      <c r="E962" s="49"/>
      <c r="F962" s="54"/>
      <c r="G962" s="49"/>
      <c r="H962" s="49"/>
      <c r="I962" s="49"/>
      <c r="J962" s="49"/>
      <c r="K962" s="49"/>
      <c r="L962" s="49"/>
      <c r="M962" s="49"/>
      <c r="N962" s="49"/>
      <c r="O962" s="49"/>
      <c r="P962" s="49"/>
      <c r="Q962" s="49"/>
      <c r="R962" s="49"/>
      <c r="S962" s="49"/>
    </row>
    <row r="963">
      <c r="A963" s="54"/>
      <c r="B963" s="55"/>
      <c r="C963" s="49"/>
      <c r="D963" s="54"/>
      <c r="E963" s="49"/>
      <c r="F963" s="54"/>
      <c r="G963" s="49"/>
      <c r="H963" s="49"/>
      <c r="I963" s="49"/>
      <c r="J963" s="49"/>
      <c r="K963" s="49"/>
      <c r="L963" s="49"/>
      <c r="M963" s="49"/>
      <c r="N963" s="49"/>
      <c r="O963" s="49"/>
      <c r="P963" s="49"/>
      <c r="Q963" s="49"/>
      <c r="R963" s="49"/>
      <c r="S963" s="49"/>
    </row>
    <row r="964">
      <c r="A964" s="54"/>
      <c r="B964" s="55"/>
      <c r="C964" s="49"/>
      <c r="D964" s="54"/>
      <c r="E964" s="49"/>
      <c r="F964" s="54"/>
      <c r="G964" s="49"/>
      <c r="H964" s="49"/>
      <c r="I964" s="49"/>
      <c r="J964" s="49"/>
      <c r="K964" s="49"/>
      <c r="L964" s="49"/>
      <c r="M964" s="49"/>
      <c r="N964" s="49"/>
      <c r="O964" s="49"/>
      <c r="P964" s="49"/>
      <c r="Q964" s="49"/>
      <c r="R964" s="49"/>
      <c r="S964" s="49"/>
    </row>
    <row r="965">
      <c r="A965" s="54"/>
      <c r="B965" s="55"/>
      <c r="C965" s="49"/>
      <c r="D965" s="54"/>
      <c r="E965" s="49"/>
      <c r="F965" s="54"/>
      <c r="G965" s="49"/>
      <c r="H965" s="49"/>
      <c r="I965" s="49"/>
      <c r="J965" s="49"/>
      <c r="K965" s="49"/>
      <c r="L965" s="49"/>
      <c r="M965" s="49"/>
      <c r="N965" s="49"/>
      <c r="O965" s="49"/>
      <c r="P965" s="49"/>
      <c r="Q965" s="49"/>
      <c r="R965" s="49"/>
      <c r="S965" s="49"/>
    </row>
    <row r="966">
      <c r="A966" s="54"/>
      <c r="B966" s="55"/>
      <c r="C966" s="49"/>
      <c r="D966" s="54"/>
      <c r="E966" s="49"/>
      <c r="F966" s="54"/>
      <c r="G966" s="49"/>
      <c r="H966" s="49"/>
      <c r="I966" s="49"/>
      <c r="J966" s="49"/>
      <c r="K966" s="49"/>
      <c r="L966" s="49"/>
      <c r="M966" s="49"/>
      <c r="N966" s="49"/>
      <c r="O966" s="49"/>
      <c r="P966" s="49"/>
      <c r="Q966" s="49"/>
      <c r="R966" s="49"/>
      <c r="S966" s="49"/>
    </row>
    <row r="967">
      <c r="A967" s="54"/>
      <c r="B967" s="55"/>
      <c r="C967" s="49"/>
      <c r="D967" s="54"/>
      <c r="E967" s="49"/>
      <c r="F967" s="54"/>
      <c r="G967" s="49"/>
      <c r="H967" s="49"/>
      <c r="I967" s="49"/>
      <c r="J967" s="49"/>
      <c r="K967" s="49"/>
      <c r="L967" s="49"/>
      <c r="M967" s="49"/>
      <c r="N967" s="49"/>
      <c r="O967" s="49"/>
      <c r="P967" s="49"/>
      <c r="Q967" s="49"/>
      <c r="R967" s="49"/>
      <c r="S967" s="49"/>
    </row>
    <row r="968">
      <c r="A968" s="54"/>
      <c r="B968" s="55"/>
      <c r="C968" s="49"/>
      <c r="D968" s="54"/>
      <c r="E968" s="49"/>
      <c r="F968" s="54"/>
      <c r="G968" s="49"/>
      <c r="H968" s="49"/>
      <c r="I968" s="49"/>
      <c r="J968" s="49"/>
      <c r="K968" s="49"/>
      <c r="L968" s="49"/>
      <c r="M968" s="49"/>
      <c r="N968" s="49"/>
      <c r="O968" s="49"/>
      <c r="P968" s="49"/>
      <c r="Q968" s="49"/>
      <c r="R968" s="49"/>
      <c r="S968" s="49"/>
    </row>
    <row r="969">
      <c r="A969" s="54"/>
      <c r="B969" s="55"/>
      <c r="C969" s="49"/>
      <c r="D969" s="54"/>
      <c r="E969" s="49"/>
      <c r="F969" s="54"/>
      <c r="G969" s="49"/>
      <c r="H969" s="49"/>
      <c r="I969" s="49"/>
      <c r="J969" s="49"/>
      <c r="K969" s="49"/>
      <c r="L969" s="49"/>
      <c r="M969" s="49"/>
      <c r="N969" s="49"/>
      <c r="O969" s="49"/>
      <c r="P969" s="49"/>
      <c r="Q969" s="49"/>
      <c r="R969" s="49"/>
      <c r="S969" s="49"/>
    </row>
    <row r="970">
      <c r="A970" s="54"/>
      <c r="B970" s="55"/>
      <c r="C970" s="49"/>
      <c r="D970" s="54"/>
      <c r="E970" s="49"/>
      <c r="F970" s="54"/>
      <c r="G970" s="49"/>
      <c r="H970" s="49"/>
      <c r="I970" s="49"/>
      <c r="J970" s="49"/>
      <c r="K970" s="49"/>
      <c r="L970" s="49"/>
      <c r="M970" s="49"/>
      <c r="N970" s="49"/>
      <c r="O970" s="49"/>
      <c r="P970" s="49"/>
      <c r="Q970" s="49"/>
      <c r="R970" s="49"/>
      <c r="S970" s="49"/>
    </row>
    <row r="971">
      <c r="A971" s="54"/>
      <c r="B971" s="55"/>
      <c r="C971" s="49"/>
      <c r="D971" s="54"/>
      <c r="E971" s="49"/>
      <c r="F971" s="54"/>
      <c r="G971" s="49"/>
      <c r="H971" s="49"/>
      <c r="I971" s="49"/>
      <c r="J971" s="49"/>
      <c r="K971" s="49"/>
      <c r="L971" s="49"/>
      <c r="M971" s="49"/>
      <c r="N971" s="49"/>
      <c r="O971" s="49"/>
      <c r="P971" s="49"/>
      <c r="Q971" s="49"/>
      <c r="R971" s="49"/>
      <c r="S971" s="49"/>
    </row>
    <row r="972">
      <c r="A972" s="54"/>
      <c r="B972" s="55"/>
      <c r="C972" s="49"/>
      <c r="D972" s="54"/>
      <c r="E972" s="49"/>
      <c r="F972" s="54"/>
      <c r="G972" s="49"/>
      <c r="H972" s="49"/>
      <c r="I972" s="49"/>
      <c r="J972" s="49"/>
      <c r="K972" s="49"/>
      <c r="L972" s="49"/>
      <c r="M972" s="49"/>
      <c r="N972" s="49"/>
      <c r="O972" s="49"/>
      <c r="P972" s="49"/>
      <c r="Q972" s="49"/>
      <c r="R972" s="49"/>
      <c r="S972" s="49"/>
    </row>
    <row r="973">
      <c r="A973" s="54"/>
      <c r="B973" s="55"/>
      <c r="C973" s="49"/>
      <c r="D973" s="54"/>
      <c r="E973" s="49"/>
      <c r="F973" s="54"/>
      <c r="G973" s="49"/>
      <c r="H973" s="49"/>
      <c r="I973" s="49"/>
      <c r="J973" s="49"/>
      <c r="K973" s="49"/>
      <c r="L973" s="49"/>
      <c r="M973" s="49"/>
      <c r="N973" s="49"/>
      <c r="O973" s="49"/>
      <c r="P973" s="49"/>
      <c r="Q973" s="49"/>
      <c r="R973" s="49"/>
      <c r="S973" s="49"/>
    </row>
    <row r="974">
      <c r="A974" s="54"/>
      <c r="B974" s="55"/>
      <c r="C974" s="49"/>
      <c r="D974" s="54"/>
      <c r="E974" s="49"/>
      <c r="F974" s="54"/>
      <c r="G974" s="49"/>
      <c r="H974" s="49"/>
      <c r="I974" s="49"/>
      <c r="J974" s="49"/>
      <c r="K974" s="49"/>
      <c r="L974" s="49"/>
      <c r="M974" s="49"/>
      <c r="N974" s="49"/>
      <c r="O974" s="49"/>
      <c r="P974" s="49"/>
      <c r="Q974" s="49"/>
      <c r="R974" s="49"/>
      <c r="S974" s="49"/>
    </row>
    <row r="975">
      <c r="A975" s="54"/>
      <c r="B975" s="55"/>
      <c r="C975" s="49"/>
      <c r="D975" s="54"/>
      <c r="E975" s="49"/>
      <c r="F975" s="54"/>
      <c r="G975" s="49"/>
      <c r="H975" s="49"/>
      <c r="I975" s="49"/>
      <c r="J975" s="49"/>
      <c r="K975" s="49"/>
      <c r="L975" s="49"/>
      <c r="M975" s="49"/>
      <c r="N975" s="49"/>
      <c r="O975" s="49"/>
      <c r="P975" s="49"/>
      <c r="Q975" s="49"/>
      <c r="R975" s="49"/>
      <c r="S975" s="49"/>
    </row>
    <row r="976">
      <c r="A976" s="54"/>
      <c r="B976" s="55"/>
      <c r="C976" s="49"/>
      <c r="D976" s="54"/>
      <c r="E976" s="49"/>
      <c r="F976" s="54"/>
      <c r="G976" s="49"/>
      <c r="H976" s="49"/>
      <c r="I976" s="49"/>
      <c r="J976" s="49"/>
      <c r="K976" s="49"/>
      <c r="L976" s="49"/>
      <c r="M976" s="49"/>
      <c r="N976" s="49"/>
      <c r="O976" s="49"/>
      <c r="P976" s="49"/>
      <c r="Q976" s="49"/>
      <c r="R976" s="49"/>
      <c r="S976" s="49"/>
    </row>
    <row r="977">
      <c r="A977" s="54"/>
      <c r="B977" s="55"/>
      <c r="C977" s="49"/>
      <c r="D977" s="54"/>
      <c r="E977" s="49"/>
      <c r="F977" s="54"/>
      <c r="G977" s="49"/>
      <c r="H977" s="49"/>
      <c r="I977" s="49"/>
      <c r="J977" s="49"/>
      <c r="K977" s="49"/>
      <c r="L977" s="49"/>
      <c r="M977" s="49"/>
      <c r="N977" s="49"/>
      <c r="O977" s="49"/>
      <c r="P977" s="49"/>
      <c r="Q977" s="49"/>
      <c r="R977" s="49"/>
      <c r="S977" s="49"/>
    </row>
    <row r="978">
      <c r="A978" s="54"/>
      <c r="B978" s="55"/>
      <c r="C978" s="49"/>
      <c r="D978" s="54"/>
      <c r="E978" s="49"/>
      <c r="F978" s="54"/>
      <c r="G978" s="49"/>
      <c r="H978" s="49"/>
      <c r="I978" s="49"/>
      <c r="J978" s="49"/>
      <c r="K978" s="49"/>
      <c r="L978" s="49"/>
      <c r="M978" s="49"/>
      <c r="N978" s="49"/>
      <c r="O978" s="49"/>
      <c r="P978" s="49"/>
      <c r="Q978" s="49"/>
      <c r="R978" s="49"/>
      <c r="S978" s="49"/>
    </row>
    <row r="979">
      <c r="A979" s="54"/>
      <c r="B979" s="55"/>
      <c r="C979" s="49"/>
      <c r="D979" s="54"/>
      <c r="E979" s="49"/>
      <c r="F979" s="54"/>
      <c r="G979" s="49"/>
      <c r="H979" s="49"/>
      <c r="I979" s="49"/>
      <c r="J979" s="49"/>
      <c r="K979" s="49"/>
      <c r="L979" s="49"/>
      <c r="M979" s="49"/>
      <c r="N979" s="49"/>
      <c r="O979" s="49"/>
      <c r="P979" s="49"/>
      <c r="Q979" s="49"/>
      <c r="R979" s="49"/>
      <c r="S979" s="49"/>
    </row>
    <row r="980">
      <c r="A980" s="54"/>
      <c r="B980" s="55"/>
      <c r="C980" s="49"/>
      <c r="D980" s="54"/>
      <c r="E980" s="49"/>
      <c r="F980" s="54"/>
      <c r="G980" s="49"/>
      <c r="H980" s="49"/>
      <c r="I980" s="49"/>
      <c r="J980" s="49"/>
      <c r="K980" s="49"/>
      <c r="L980" s="49"/>
      <c r="M980" s="49"/>
      <c r="N980" s="49"/>
      <c r="O980" s="49"/>
      <c r="P980" s="49"/>
      <c r="Q980" s="49"/>
      <c r="R980" s="49"/>
      <c r="S980" s="49"/>
    </row>
    <row r="981">
      <c r="A981" s="54"/>
      <c r="B981" s="55"/>
      <c r="C981" s="49"/>
      <c r="D981" s="54"/>
      <c r="E981" s="49"/>
      <c r="F981" s="54"/>
      <c r="G981" s="49"/>
      <c r="H981" s="49"/>
      <c r="I981" s="49"/>
      <c r="J981" s="49"/>
      <c r="K981" s="49"/>
      <c r="L981" s="49"/>
      <c r="M981" s="49"/>
      <c r="N981" s="49"/>
      <c r="O981" s="49"/>
      <c r="P981" s="49"/>
      <c r="Q981" s="49"/>
      <c r="R981" s="49"/>
      <c r="S981" s="49"/>
    </row>
    <row r="982">
      <c r="A982" s="54"/>
      <c r="B982" s="55"/>
      <c r="C982" s="49"/>
      <c r="D982" s="54"/>
      <c r="E982" s="49"/>
      <c r="F982" s="54"/>
      <c r="G982" s="49"/>
      <c r="H982" s="49"/>
      <c r="I982" s="49"/>
      <c r="J982" s="49"/>
      <c r="K982" s="49"/>
      <c r="L982" s="49"/>
      <c r="M982" s="49"/>
      <c r="N982" s="49"/>
      <c r="O982" s="49"/>
      <c r="P982" s="49"/>
      <c r="Q982" s="49"/>
      <c r="R982" s="49"/>
      <c r="S982" s="49"/>
    </row>
    <row r="983">
      <c r="A983" s="54"/>
      <c r="B983" s="55"/>
      <c r="C983" s="49"/>
      <c r="D983" s="54"/>
      <c r="E983" s="49"/>
      <c r="F983" s="54"/>
      <c r="G983" s="49"/>
      <c r="H983" s="49"/>
      <c r="I983" s="49"/>
      <c r="J983" s="49"/>
      <c r="K983" s="49"/>
      <c r="L983" s="49"/>
      <c r="M983" s="49"/>
      <c r="N983" s="49"/>
      <c r="O983" s="49"/>
      <c r="P983" s="49"/>
      <c r="Q983" s="49"/>
      <c r="R983" s="49"/>
      <c r="S983" s="49"/>
    </row>
    <row r="984">
      <c r="A984" s="54"/>
      <c r="B984" s="55"/>
      <c r="C984" s="49"/>
      <c r="D984" s="54"/>
      <c r="E984" s="49"/>
      <c r="F984" s="54"/>
      <c r="G984" s="49"/>
      <c r="H984" s="49"/>
      <c r="I984" s="49"/>
      <c r="J984" s="49"/>
      <c r="K984" s="49"/>
      <c r="L984" s="49"/>
      <c r="M984" s="49"/>
      <c r="N984" s="49"/>
      <c r="O984" s="49"/>
      <c r="P984" s="49"/>
      <c r="Q984" s="49"/>
      <c r="R984" s="49"/>
      <c r="S984" s="49"/>
    </row>
    <row r="985">
      <c r="A985" s="54"/>
      <c r="B985" s="55"/>
      <c r="C985" s="49"/>
      <c r="D985" s="54"/>
      <c r="E985" s="49"/>
      <c r="F985" s="54"/>
      <c r="G985" s="49"/>
      <c r="H985" s="49"/>
      <c r="I985" s="49"/>
      <c r="J985" s="49"/>
      <c r="K985" s="49"/>
      <c r="L985" s="49"/>
      <c r="M985" s="49"/>
      <c r="N985" s="49"/>
      <c r="O985" s="49"/>
      <c r="P985" s="49"/>
      <c r="Q985" s="49"/>
      <c r="R985" s="49"/>
      <c r="S985" s="49"/>
    </row>
    <row r="986">
      <c r="A986" s="54"/>
      <c r="B986" s="55"/>
      <c r="C986" s="49"/>
      <c r="D986" s="54"/>
      <c r="E986" s="49"/>
      <c r="F986" s="54"/>
      <c r="G986" s="49"/>
      <c r="H986" s="49"/>
      <c r="I986" s="49"/>
      <c r="J986" s="49"/>
      <c r="K986" s="49"/>
      <c r="L986" s="49"/>
      <c r="M986" s="49"/>
      <c r="N986" s="49"/>
      <c r="O986" s="49"/>
      <c r="P986" s="49"/>
      <c r="Q986" s="49"/>
      <c r="R986" s="49"/>
      <c r="S986" s="49"/>
    </row>
    <row r="987">
      <c r="A987" s="54"/>
      <c r="B987" s="55"/>
      <c r="C987" s="49"/>
      <c r="D987" s="54"/>
      <c r="E987" s="49"/>
      <c r="F987" s="54"/>
      <c r="G987" s="49"/>
      <c r="H987" s="49"/>
      <c r="I987" s="49"/>
      <c r="J987" s="49"/>
      <c r="K987" s="49"/>
      <c r="L987" s="49"/>
      <c r="M987" s="49"/>
      <c r="N987" s="49"/>
      <c r="O987" s="49"/>
      <c r="P987" s="49"/>
      <c r="Q987" s="49"/>
      <c r="R987" s="49"/>
      <c r="S987" s="49"/>
    </row>
    <row r="988">
      <c r="A988" s="54"/>
      <c r="B988" s="55"/>
      <c r="C988" s="49"/>
      <c r="D988" s="54"/>
      <c r="E988" s="49"/>
      <c r="F988" s="54"/>
      <c r="G988" s="49"/>
      <c r="H988" s="49"/>
      <c r="I988" s="49"/>
      <c r="J988" s="49"/>
      <c r="K988" s="49"/>
      <c r="L988" s="49"/>
      <c r="M988" s="49"/>
      <c r="N988" s="49"/>
      <c r="O988" s="49"/>
      <c r="P988" s="49"/>
      <c r="Q988" s="49"/>
      <c r="R988" s="49"/>
      <c r="S988" s="49"/>
    </row>
    <row r="989">
      <c r="A989" s="54"/>
      <c r="B989" s="55"/>
      <c r="C989" s="49"/>
      <c r="D989" s="54"/>
      <c r="E989" s="49"/>
      <c r="F989" s="54"/>
      <c r="G989" s="49"/>
      <c r="H989" s="49"/>
      <c r="I989" s="49"/>
      <c r="J989" s="49"/>
      <c r="K989" s="49"/>
      <c r="L989" s="49"/>
      <c r="M989" s="49"/>
      <c r="N989" s="49"/>
      <c r="O989" s="49"/>
      <c r="P989" s="49"/>
      <c r="Q989" s="49"/>
      <c r="R989" s="49"/>
      <c r="S989" s="49"/>
    </row>
    <row r="990">
      <c r="A990" s="54"/>
      <c r="B990" s="55"/>
      <c r="C990" s="49"/>
      <c r="D990" s="54"/>
      <c r="E990" s="49"/>
      <c r="F990" s="54"/>
      <c r="G990" s="49"/>
      <c r="H990" s="49"/>
      <c r="I990" s="49"/>
      <c r="J990" s="49"/>
      <c r="K990" s="49"/>
      <c r="L990" s="49"/>
      <c r="M990" s="49"/>
      <c r="N990" s="49"/>
      <c r="O990" s="49"/>
      <c r="P990" s="49"/>
      <c r="Q990" s="49"/>
      <c r="R990" s="49"/>
      <c r="S990" s="49"/>
    </row>
    <row r="991">
      <c r="A991" s="54"/>
      <c r="B991" s="55"/>
      <c r="C991" s="49"/>
      <c r="D991" s="54"/>
      <c r="E991" s="49"/>
      <c r="F991" s="54"/>
      <c r="G991" s="49"/>
      <c r="H991" s="49"/>
      <c r="I991" s="49"/>
      <c r="J991" s="49"/>
      <c r="K991" s="49"/>
      <c r="L991" s="49"/>
      <c r="M991" s="49"/>
      <c r="N991" s="49"/>
      <c r="O991" s="49"/>
      <c r="P991" s="49"/>
      <c r="Q991" s="49"/>
      <c r="R991" s="49"/>
      <c r="S991" s="49"/>
    </row>
    <row r="992">
      <c r="A992" s="54"/>
      <c r="B992" s="55"/>
      <c r="C992" s="49"/>
      <c r="D992" s="54"/>
      <c r="E992" s="49"/>
      <c r="F992" s="54"/>
      <c r="G992" s="49"/>
      <c r="H992" s="49"/>
      <c r="I992" s="49"/>
      <c r="J992" s="49"/>
      <c r="K992" s="49"/>
      <c r="L992" s="49"/>
      <c r="M992" s="49"/>
      <c r="N992" s="49"/>
      <c r="O992" s="49"/>
      <c r="P992" s="49"/>
      <c r="Q992" s="49"/>
      <c r="R992" s="49"/>
      <c r="S992" s="49"/>
    </row>
    <row r="993">
      <c r="A993" s="54"/>
      <c r="B993" s="55"/>
      <c r="C993" s="49"/>
      <c r="D993" s="54"/>
      <c r="E993" s="49"/>
      <c r="F993" s="54"/>
      <c r="G993" s="49"/>
      <c r="H993" s="49"/>
      <c r="I993" s="49"/>
      <c r="J993" s="49"/>
      <c r="K993" s="49"/>
      <c r="L993" s="49"/>
      <c r="M993" s="49"/>
      <c r="N993" s="49"/>
      <c r="O993" s="49"/>
      <c r="P993" s="49"/>
      <c r="Q993" s="49"/>
      <c r="R993" s="49"/>
      <c r="S993" s="49"/>
    </row>
    <row r="994">
      <c r="A994" s="54"/>
      <c r="B994" s="55"/>
      <c r="C994" s="49"/>
      <c r="D994" s="54"/>
      <c r="E994" s="49"/>
      <c r="F994" s="54"/>
      <c r="G994" s="49"/>
      <c r="H994" s="49"/>
      <c r="I994" s="49"/>
      <c r="J994" s="49"/>
      <c r="K994" s="49"/>
      <c r="L994" s="49"/>
      <c r="M994" s="49"/>
      <c r="N994" s="49"/>
      <c r="O994" s="49"/>
      <c r="P994" s="49"/>
      <c r="Q994" s="49"/>
      <c r="R994" s="49"/>
      <c r="S994" s="49"/>
    </row>
    <row r="995">
      <c r="A995" s="54"/>
      <c r="B995" s="55"/>
      <c r="C995" s="49"/>
      <c r="D995" s="54"/>
      <c r="E995" s="49"/>
      <c r="F995" s="54"/>
      <c r="G995" s="49"/>
      <c r="H995" s="49"/>
      <c r="I995" s="49"/>
      <c r="J995" s="49"/>
      <c r="K995" s="49"/>
      <c r="L995" s="49"/>
      <c r="M995" s="49"/>
      <c r="N995" s="49"/>
      <c r="O995" s="49"/>
      <c r="P995" s="49"/>
      <c r="Q995" s="49"/>
      <c r="R995" s="49"/>
      <c r="S995" s="49"/>
    </row>
    <row r="996">
      <c r="A996" s="54"/>
      <c r="B996" s="55"/>
      <c r="C996" s="49"/>
      <c r="D996" s="54"/>
      <c r="E996" s="49"/>
      <c r="F996" s="54"/>
      <c r="G996" s="49"/>
      <c r="H996" s="49"/>
      <c r="I996" s="49"/>
      <c r="J996" s="49"/>
      <c r="K996" s="49"/>
      <c r="L996" s="49"/>
      <c r="M996" s="49"/>
      <c r="N996" s="49"/>
      <c r="O996" s="49"/>
      <c r="P996" s="49"/>
      <c r="Q996" s="49"/>
      <c r="R996" s="49"/>
      <c r="S996" s="49"/>
    </row>
    <row r="997">
      <c r="A997" s="54"/>
      <c r="B997" s="55"/>
      <c r="C997" s="49"/>
      <c r="D997" s="54"/>
      <c r="E997" s="49"/>
      <c r="F997" s="54"/>
      <c r="G997" s="49"/>
      <c r="H997" s="49"/>
      <c r="I997" s="49"/>
      <c r="J997" s="49"/>
      <c r="K997" s="49"/>
      <c r="L997" s="49"/>
      <c r="M997" s="49"/>
      <c r="N997" s="49"/>
      <c r="O997" s="49"/>
      <c r="P997" s="49"/>
      <c r="Q997" s="49"/>
      <c r="R997" s="49"/>
      <c r="S997" s="49"/>
    </row>
    <row r="998">
      <c r="A998" s="54"/>
      <c r="B998" s="55"/>
      <c r="C998" s="49"/>
      <c r="D998" s="54"/>
      <c r="E998" s="49"/>
      <c r="F998" s="54"/>
      <c r="G998" s="49"/>
      <c r="H998" s="49"/>
      <c r="I998" s="49"/>
      <c r="J998" s="49"/>
      <c r="K998" s="49"/>
      <c r="L998" s="49"/>
      <c r="M998" s="49"/>
      <c r="N998" s="49"/>
      <c r="O998" s="49"/>
      <c r="P998" s="49"/>
      <c r="Q998" s="49"/>
      <c r="R998" s="49"/>
      <c r="S998" s="49"/>
    </row>
  </sheetData>
  <autoFilter ref="$A$4:$R$315"/>
  <mergeCells count="5">
    <mergeCell ref="A1:H1"/>
    <mergeCell ref="A2:H2"/>
    <mergeCell ref="A3:I3"/>
    <mergeCell ref="J3:M3"/>
    <mergeCell ref="N3:R3"/>
  </mergeCells>
  <hyperlinks>
    <hyperlink r:id="rId1" ref="A2"/>
  </hyperlinks>
  <drawing r:id="rId2"/>
</worksheet>
</file>